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than\OneDrive\Desktop\Data Analytics - CITC - 2308 - C90\Final Project\"/>
    </mc:Choice>
  </mc:AlternateContent>
  <xr:revisionPtr revIDLastSave="0" documentId="13_ncr:1_{971EE59D-BDE2-484A-84D1-9AA153E80CE9}" xr6:coauthVersionLast="47" xr6:coauthVersionMax="47" xr10:uidLastSave="{00000000-0000-0000-0000-000000000000}"/>
  <bookViews>
    <workbookView xWindow="48225" yWindow="855" windowWidth="31950" windowHeight="19080" activeTab="1" xr2:uid="{0D724CE0-C635-44C4-B9B2-D2B20AA416C2}"/>
  </bookViews>
  <sheets>
    <sheet name="raw_copy" sheetId="1" r:id="rId1"/>
    <sheet name="working_copy" sheetId="2" r:id="rId2"/>
    <sheet name="Cost_Descriptive_Statistics" sheetId="3" r:id="rId3"/>
    <sheet name="PerformanceScore_DesStats" sheetId="4" r:id="rId4"/>
    <sheet name="Cost_Per_Mile_DescStats" sheetId="5" r:id="rId5"/>
    <sheet name="ANOVA TABLE" sheetId="7" r:id="rId6"/>
    <sheet name="ANOVA RESULTS" sheetId="8" r:id="rId7"/>
  </sheets>
  <definedNames>
    <definedName name="_xlnm._FilterDatabase" localSheetId="1" hidden="1">working_copy!$A$1:$Q$1960</definedName>
    <definedName name="_xlchart.v1.0" hidden="1">working_copy!$O$2:$O$1960</definedName>
    <definedName name="_xlchart.v1.1" hidden="1">working_copy!$Q$2:$Q$1960</definedName>
    <definedName name="_xlchart.v1.2" hidden="1">working_copy!$O$2:$O$1960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2" l="1"/>
  <c r="Q2" i="2"/>
  <c r="O2" i="2"/>
  <c r="O3" i="2"/>
  <c r="P3" i="2" s="1"/>
  <c r="O4" i="2"/>
  <c r="P4" i="2" s="1"/>
  <c r="O5" i="2"/>
  <c r="P5" i="2" s="1"/>
  <c r="O6" i="2"/>
  <c r="P6" i="2" s="1"/>
  <c r="O7" i="2"/>
  <c r="P7" i="2" s="1"/>
  <c r="O8" i="2"/>
  <c r="P8" i="2" s="1"/>
  <c r="O9" i="2"/>
  <c r="P9" i="2" s="1"/>
  <c r="O10" i="2"/>
  <c r="P10" i="2" s="1"/>
  <c r="O11" i="2"/>
  <c r="P11" i="2" s="1"/>
  <c r="O12" i="2"/>
  <c r="P12" i="2" s="1"/>
  <c r="O13" i="2"/>
  <c r="P13" i="2" s="1"/>
  <c r="O14" i="2"/>
  <c r="P14" i="2" s="1"/>
  <c r="O15" i="2"/>
  <c r="P15" i="2" s="1"/>
  <c r="O16" i="2"/>
  <c r="P16" i="2" s="1"/>
  <c r="O17" i="2"/>
  <c r="P17" i="2" s="1"/>
  <c r="O18" i="2"/>
  <c r="P18" i="2" s="1"/>
  <c r="O19" i="2"/>
  <c r="P19" i="2" s="1"/>
  <c r="O20" i="2"/>
  <c r="P20" i="2" s="1"/>
  <c r="O21" i="2"/>
  <c r="P21" i="2" s="1"/>
  <c r="O22" i="2"/>
  <c r="P22" i="2" s="1"/>
  <c r="O23" i="2"/>
  <c r="P23" i="2" s="1"/>
  <c r="O24" i="2"/>
  <c r="P24" i="2" s="1"/>
  <c r="O25" i="2"/>
  <c r="P25" i="2" s="1"/>
  <c r="O26" i="2"/>
  <c r="P26" i="2" s="1"/>
  <c r="O27" i="2"/>
  <c r="P27" i="2" s="1"/>
  <c r="O28" i="2"/>
  <c r="P28" i="2" s="1"/>
  <c r="O29" i="2"/>
  <c r="P29" i="2" s="1"/>
  <c r="O30" i="2"/>
  <c r="P30" i="2" s="1"/>
  <c r="O31" i="2"/>
  <c r="P31" i="2" s="1"/>
  <c r="O32" i="2"/>
  <c r="P32" i="2" s="1"/>
  <c r="O33" i="2"/>
  <c r="P33" i="2" s="1"/>
  <c r="O34" i="2"/>
  <c r="P34" i="2" s="1"/>
  <c r="O35" i="2"/>
  <c r="P35" i="2" s="1"/>
  <c r="O36" i="2"/>
  <c r="P36" i="2" s="1"/>
  <c r="O37" i="2"/>
  <c r="P37" i="2" s="1"/>
  <c r="O38" i="2"/>
  <c r="P38" i="2" s="1"/>
  <c r="O39" i="2"/>
  <c r="P39" i="2" s="1"/>
  <c r="O40" i="2"/>
  <c r="P40" i="2" s="1"/>
  <c r="O41" i="2"/>
  <c r="P41" i="2" s="1"/>
  <c r="O42" i="2"/>
  <c r="P42" i="2" s="1"/>
  <c r="O43" i="2"/>
  <c r="P43" i="2" s="1"/>
  <c r="O44" i="2"/>
  <c r="P44" i="2" s="1"/>
  <c r="O45" i="2"/>
  <c r="P45" i="2" s="1"/>
  <c r="O46" i="2"/>
  <c r="P46" i="2" s="1"/>
  <c r="O47" i="2"/>
  <c r="P47" i="2" s="1"/>
  <c r="O48" i="2"/>
  <c r="P48" i="2" s="1"/>
  <c r="O49" i="2"/>
  <c r="P49" i="2" s="1"/>
  <c r="O50" i="2"/>
  <c r="P50" i="2" s="1"/>
  <c r="O51" i="2"/>
  <c r="P51" i="2" s="1"/>
  <c r="O52" i="2"/>
  <c r="P52" i="2" s="1"/>
  <c r="O53" i="2"/>
  <c r="P53" i="2" s="1"/>
  <c r="O54" i="2"/>
  <c r="P54" i="2" s="1"/>
  <c r="O55" i="2"/>
  <c r="P55" i="2" s="1"/>
  <c r="O56" i="2"/>
  <c r="P56" i="2" s="1"/>
  <c r="O57" i="2"/>
  <c r="P57" i="2" s="1"/>
  <c r="O58" i="2"/>
  <c r="P58" i="2" s="1"/>
  <c r="O59" i="2"/>
  <c r="P59" i="2" s="1"/>
  <c r="O60" i="2"/>
  <c r="P60" i="2" s="1"/>
  <c r="O61" i="2"/>
  <c r="P61" i="2" s="1"/>
  <c r="O62" i="2"/>
  <c r="P62" i="2" s="1"/>
  <c r="O63" i="2"/>
  <c r="P63" i="2" s="1"/>
  <c r="O64" i="2"/>
  <c r="P64" i="2" s="1"/>
  <c r="O65" i="2"/>
  <c r="P65" i="2" s="1"/>
  <c r="O66" i="2"/>
  <c r="P66" i="2" s="1"/>
  <c r="O67" i="2"/>
  <c r="P67" i="2" s="1"/>
  <c r="O68" i="2"/>
  <c r="P68" i="2" s="1"/>
  <c r="O69" i="2"/>
  <c r="P69" i="2" s="1"/>
  <c r="O70" i="2"/>
  <c r="P70" i="2" s="1"/>
  <c r="O71" i="2"/>
  <c r="P71" i="2" s="1"/>
  <c r="O72" i="2"/>
  <c r="P72" i="2" s="1"/>
  <c r="O73" i="2"/>
  <c r="P73" i="2" s="1"/>
  <c r="O74" i="2"/>
  <c r="P74" i="2" s="1"/>
  <c r="O75" i="2"/>
  <c r="P75" i="2" s="1"/>
  <c r="O76" i="2"/>
  <c r="P76" i="2" s="1"/>
  <c r="O77" i="2"/>
  <c r="P77" i="2" s="1"/>
  <c r="O78" i="2"/>
  <c r="P78" i="2" s="1"/>
  <c r="O79" i="2"/>
  <c r="P79" i="2" s="1"/>
  <c r="O80" i="2"/>
  <c r="P80" i="2" s="1"/>
  <c r="O81" i="2"/>
  <c r="P81" i="2" s="1"/>
  <c r="O82" i="2"/>
  <c r="P82" i="2" s="1"/>
  <c r="O83" i="2"/>
  <c r="P83" i="2" s="1"/>
  <c r="O84" i="2"/>
  <c r="P84" i="2" s="1"/>
  <c r="O85" i="2"/>
  <c r="P85" i="2" s="1"/>
  <c r="O86" i="2"/>
  <c r="P86" i="2" s="1"/>
  <c r="O87" i="2"/>
  <c r="P87" i="2" s="1"/>
  <c r="O88" i="2"/>
  <c r="P88" i="2" s="1"/>
  <c r="O89" i="2"/>
  <c r="P89" i="2" s="1"/>
  <c r="O90" i="2"/>
  <c r="P90" i="2" s="1"/>
  <c r="O91" i="2"/>
  <c r="P91" i="2" s="1"/>
  <c r="O92" i="2"/>
  <c r="P92" i="2" s="1"/>
  <c r="O93" i="2"/>
  <c r="P93" i="2" s="1"/>
  <c r="O94" i="2"/>
  <c r="P94" i="2" s="1"/>
  <c r="O95" i="2"/>
  <c r="P95" i="2" s="1"/>
  <c r="O96" i="2"/>
  <c r="P96" i="2" s="1"/>
  <c r="O97" i="2"/>
  <c r="P97" i="2" s="1"/>
  <c r="O98" i="2"/>
  <c r="P98" i="2" s="1"/>
  <c r="O99" i="2"/>
  <c r="P99" i="2" s="1"/>
  <c r="O100" i="2"/>
  <c r="P100" i="2" s="1"/>
  <c r="O101" i="2"/>
  <c r="P101" i="2" s="1"/>
  <c r="O102" i="2"/>
  <c r="P102" i="2" s="1"/>
  <c r="O103" i="2"/>
  <c r="P103" i="2" s="1"/>
  <c r="O104" i="2"/>
  <c r="P104" i="2" s="1"/>
  <c r="O105" i="2"/>
  <c r="P105" i="2" s="1"/>
  <c r="O106" i="2"/>
  <c r="P106" i="2" s="1"/>
  <c r="O107" i="2"/>
  <c r="P107" i="2" s="1"/>
  <c r="O108" i="2"/>
  <c r="P108" i="2" s="1"/>
  <c r="O109" i="2"/>
  <c r="P109" i="2" s="1"/>
  <c r="O110" i="2"/>
  <c r="P110" i="2" s="1"/>
  <c r="O111" i="2"/>
  <c r="P111" i="2" s="1"/>
  <c r="O112" i="2"/>
  <c r="P112" i="2" s="1"/>
  <c r="O113" i="2"/>
  <c r="P113" i="2" s="1"/>
  <c r="O114" i="2"/>
  <c r="P114" i="2" s="1"/>
  <c r="O115" i="2"/>
  <c r="P115" i="2" s="1"/>
  <c r="O116" i="2"/>
  <c r="P116" i="2" s="1"/>
  <c r="O117" i="2"/>
  <c r="P117" i="2" s="1"/>
  <c r="O118" i="2"/>
  <c r="P118" i="2" s="1"/>
  <c r="O119" i="2"/>
  <c r="P119" i="2" s="1"/>
  <c r="O120" i="2"/>
  <c r="P120" i="2" s="1"/>
  <c r="O121" i="2"/>
  <c r="P121" i="2" s="1"/>
  <c r="O122" i="2"/>
  <c r="P122" i="2" s="1"/>
  <c r="O123" i="2"/>
  <c r="P123" i="2" s="1"/>
  <c r="O124" i="2"/>
  <c r="P124" i="2" s="1"/>
  <c r="O125" i="2"/>
  <c r="P125" i="2" s="1"/>
  <c r="O126" i="2"/>
  <c r="P126" i="2" s="1"/>
  <c r="O127" i="2"/>
  <c r="P127" i="2" s="1"/>
  <c r="O128" i="2"/>
  <c r="P128" i="2" s="1"/>
  <c r="O129" i="2"/>
  <c r="P129" i="2" s="1"/>
  <c r="O130" i="2"/>
  <c r="P130" i="2" s="1"/>
  <c r="O131" i="2"/>
  <c r="P131" i="2" s="1"/>
  <c r="O132" i="2"/>
  <c r="P132" i="2" s="1"/>
  <c r="O133" i="2"/>
  <c r="P133" i="2" s="1"/>
  <c r="O134" i="2"/>
  <c r="P134" i="2" s="1"/>
  <c r="O135" i="2"/>
  <c r="P135" i="2" s="1"/>
  <c r="O136" i="2"/>
  <c r="P136" i="2" s="1"/>
  <c r="O137" i="2"/>
  <c r="P137" i="2" s="1"/>
  <c r="O138" i="2"/>
  <c r="P138" i="2" s="1"/>
  <c r="O139" i="2"/>
  <c r="P139" i="2" s="1"/>
  <c r="O140" i="2"/>
  <c r="P140" i="2" s="1"/>
  <c r="O141" i="2"/>
  <c r="P141" i="2" s="1"/>
  <c r="O142" i="2"/>
  <c r="P142" i="2" s="1"/>
  <c r="O143" i="2"/>
  <c r="P143" i="2" s="1"/>
  <c r="O144" i="2"/>
  <c r="P144" i="2" s="1"/>
  <c r="O145" i="2"/>
  <c r="P145" i="2" s="1"/>
  <c r="O146" i="2"/>
  <c r="P146" i="2" s="1"/>
  <c r="O147" i="2"/>
  <c r="P147" i="2" s="1"/>
  <c r="O148" i="2"/>
  <c r="P148" i="2" s="1"/>
  <c r="O149" i="2"/>
  <c r="P149" i="2" s="1"/>
  <c r="O150" i="2"/>
  <c r="P150" i="2" s="1"/>
  <c r="O151" i="2"/>
  <c r="P151" i="2" s="1"/>
  <c r="O152" i="2"/>
  <c r="P152" i="2" s="1"/>
  <c r="O153" i="2"/>
  <c r="P153" i="2" s="1"/>
  <c r="O154" i="2"/>
  <c r="P154" i="2" s="1"/>
  <c r="O155" i="2"/>
  <c r="P155" i="2" s="1"/>
  <c r="O156" i="2"/>
  <c r="P156" i="2" s="1"/>
  <c r="O157" i="2"/>
  <c r="P157" i="2" s="1"/>
  <c r="O158" i="2"/>
  <c r="P158" i="2" s="1"/>
  <c r="O159" i="2"/>
  <c r="P159" i="2" s="1"/>
  <c r="O160" i="2"/>
  <c r="P160" i="2" s="1"/>
  <c r="O161" i="2"/>
  <c r="P161" i="2" s="1"/>
  <c r="O162" i="2"/>
  <c r="P162" i="2" s="1"/>
  <c r="O163" i="2"/>
  <c r="P163" i="2" s="1"/>
  <c r="O164" i="2"/>
  <c r="P164" i="2" s="1"/>
  <c r="O165" i="2"/>
  <c r="P165" i="2" s="1"/>
  <c r="O166" i="2"/>
  <c r="P166" i="2" s="1"/>
  <c r="O167" i="2"/>
  <c r="P167" i="2" s="1"/>
  <c r="O168" i="2"/>
  <c r="P168" i="2" s="1"/>
  <c r="O169" i="2"/>
  <c r="P169" i="2" s="1"/>
  <c r="O170" i="2"/>
  <c r="P170" i="2" s="1"/>
  <c r="O171" i="2"/>
  <c r="P171" i="2" s="1"/>
  <c r="O172" i="2"/>
  <c r="P172" i="2" s="1"/>
  <c r="O173" i="2"/>
  <c r="P173" i="2" s="1"/>
  <c r="O174" i="2"/>
  <c r="P174" i="2" s="1"/>
  <c r="O175" i="2"/>
  <c r="P175" i="2" s="1"/>
  <c r="O176" i="2"/>
  <c r="P176" i="2" s="1"/>
  <c r="O177" i="2"/>
  <c r="P177" i="2" s="1"/>
  <c r="O178" i="2"/>
  <c r="P178" i="2" s="1"/>
  <c r="O179" i="2"/>
  <c r="P179" i="2" s="1"/>
  <c r="O180" i="2"/>
  <c r="P180" i="2" s="1"/>
  <c r="O181" i="2"/>
  <c r="P181" i="2" s="1"/>
  <c r="O182" i="2"/>
  <c r="P182" i="2" s="1"/>
  <c r="O183" i="2"/>
  <c r="P183" i="2" s="1"/>
  <c r="O184" i="2"/>
  <c r="P184" i="2" s="1"/>
  <c r="O185" i="2"/>
  <c r="P185" i="2" s="1"/>
  <c r="O186" i="2"/>
  <c r="P186" i="2" s="1"/>
  <c r="O187" i="2"/>
  <c r="P187" i="2" s="1"/>
  <c r="O188" i="2"/>
  <c r="P188" i="2" s="1"/>
  <c r="O189" i="2"/>
  <c r="P189" i="2" s="1"/>
  <c r="O190" i="2"/>
  <c r="P190" i="2" s="1"/>
  <c r="O191" i="2"/>
  <c r="P191" i="2" s="1"/>
  <c r="O192" i="2"/>
  <c r="P192" i="2" s="1"/>
  <c r="O193" i="2"/>
  <c r="P193" i="2" s="1"/>
  <c r="O194" i="2"/>
  <c r="P194" i="2" s="1"/>
  <c r="O195" i="2"/>
  <c r="P195" i="2" s="1"/>
  <c r="O196" i="2"/>
  <c r="P196" i="2" s="1"/>
  <c r="O197" i="2"/>
  <c r="P197" i="2" s="1"/>
  <c r="O198" i="2"/>
  <c r="P198" i="2" s="1"/>
  <c r="O199" i="2"/>
  <c r="P199" i="2" s="1"/>
  <c r="O200" i="2"/>
  <c r="P200" i="2" s="1"/>
  <c r="O201" i="2"/>
  <c r="P201" i="2" s="1"/>
  <c r="O202" i="2"/>
  <c r="P202" i="2" s="1"/>
  <c r="O203" i="2"/>
  <c r="P203" i="2" s="1"/>
  <c r="O204" i="2"/>
  <c r="P204" i="2" s="1"/>
  <c r="O205" i="2"/>
  <c r="P205" i="2" s="1"/>
  <c r="O206" i="2"/>
  <c r="P206" i="2" s="1"/>
  <c r="O207" i="2"/>
  <c r="P207" i="2" s="1"/>
  <c r="O208" i="2"/>
  <c r="P208" i="2" s="1"/>
  <c r="O209" i="2"/>
  <c r="P209" i="2" s="1"/>
  <c r="O210" i="2"/>
  <c r="P210" i="2" s="1"/>
  <c r="O211" i="2"/>
  <c r="P211" i="2" s="1"/>
  <c r="O212" i="2"/>
  <c r="P212" i="2" s="1"/>
  <c r="O213" i="2"/>
  <c r="P213" i="2" s="1"/>
  <c r="O214" i="2"/>
  <c r="P214" i="2" s="1"/>
  <c r="O215" i="2"/>
  <c r="P215" i="2" s="1"/>
  <c r="O216" i="2"/>
  <c r="P216" i="2" s="1"/>
  <c r="O217" i="2"/>
  <c r="P217" i="2" s="1"/>
  <c r="O218" i="2"/>
  <c r="P218" i="2" s="1"/>
  <c r="O219" i="2"/>
  <c r="P219" i="2" s="1"/>
  <c r="O220" i="2"/>
  <c r="P220" i="2" s="1"/>
  <c r="O221" i="2"/>
  <c r="P221" i="2" s="1"/>
  <c r="O222" i="2"/>
  <c r="P222" i="2" s="1"/>
  <c r="O223" i="2"/>
  <c r="P223" i="2" s="1"/>
  <c r="O224" i="2"/>
  <c r="P224" i="2" s="1"/>
  <c r="O225" i="2"/>
  <c r="P225" i="2" s="1"/>
  <c r="O226" i="2"/>
  <c r="P226" i="2" s="1"/>
  <c r="O227" i="2"/>
  <c r="P227" i="2" s="1"/>
  <c r="O228" i="2"/>
  <c r="P228" i="2" s="1"/>
  <c r="O229" i="2"/>
  <c r="P229" i="2" s="1"/>
  <c r="O230" i="2"/>
  <c r="P230" i="2" s="1"/>
  <c r="O231" i="2"/>
  <c r="P231" i="2" s="1"/>
  <c r="O232" i="2"/>
  <c r="P232" i="2" s="1"/>
  <c r="O233" i="2"/>
  <c r="P233" i="2" s="1"/>
  <c r="O234" i="2"/>
  <c r="P234" i="2" s="1"/>
  <c r="O235" i="2"/>
  <c r="P235" i="2" s="1"/>
  <c r="O236" i="2"/>
  <c r="P236" i="2" s="1"/>
  <c r="O237" i="2"/>
  <c r="P237" i="2" s="1"/>
  <c r="O238" i="2"/>
  <c r="P238" i="2" s="1"/>
  <c r="O239" i="2"/>
  <c r="P239" i="2" s="1"/>
  <c r="O240" i="2"/>
  <c r="P240" i="2" s="1"/>
  <c r="O241" i="2"/>
  <c r="P241" i="2" s="1"/>
  <c r="O242" i="2"/>
  <c r="P242" i="2" s="1"/>
  <c r="O243" i="2"/>
  <c r="P243" i="2" s="1"/>
  <c r="O244" i="2"/>
  <c r="P244" i="2" s="1"/>
  <c r="O245" i="2"/>
  <c r="P245" i="2" s="1"/>
  <c r="O246" i="2"/>
  <c r="P246" i="2" s="1"/>
  <c r="O247" i="2"/>
  <c r="P247" i="2" s="1"/>
  <c r="O248" i="2"/>
  <c r="P248" i="2" s="1"/>
  <c r="O249" i="2"/>
  <c r="P249" i="2" s="1"/>
  <c r="O250" i="2"/>
  <c r="P250" i="2" s="1"/>
  <c r="O251" i="2"/>
  <c r="P251" i="2" s="1"/>
  <c r="O252" i="2"/>
  <c r="P252" i="2" s="1"/>
  <c r="O253" i="2"/>
  <c r="P253" i="2" s="1"/>
  <c r="O254" i="2"/>
  <c r="P254" i="2" s="1"/>
  <c r="O255" i="2"/>
  <c r="P255" i="2" s="1"/>
  <c r="O256" i="2"/>
  <c r="P256" i="2" s="1"/>
  <c r="O257" i="2"/>
  <c r="P257" i="2" s="1"/>
  <c r="O258" i="2"/>
  <c r="P258" i="2" s="1"/>
  <c r="O259" i="2"/>
  <c r="P259" i="2" s="1"/>
  <c r="O260" i="2"/>
  <c r="P260" i="2" s="1"/>
  <c r="O261" i="2"/>
  <c r="P261" i="2" s="1"/>
  <c r="O262" i="2"/>
  <c r="P262" i="2" s="1"/>
  <c r="O263" i="2"/>
  <c r="P263" i="2" s="1"/>
  <c r="O264" i="2"/>
  <c r="P264" i="2" s="1"/>
  <c r="O265" i="2"/>
  <c r="P265" i="2" s="1"/>
  <c r="O266" i="2"/>
  <c r="P266" i="2" s="1"/>
  <c r="O267" i="2"/>
  <c r="P267" i="2" s="1"/>
  <c r="O268" i="2"/>
  <c r="P268" i="2" s="1"/>
  <c r="O269" i="2"/>
  <c r="P269" i="2" s="1"/>
  <c r="O270" i="2"/>
  <c r="P270" i="2" s="1"/>
  <c r="O271" i="2"/>
  <c r="P271" i="2" s="1"/>
  <c r="O272" i="2"/>
  <c r="P272" i="2" s="1"/>
  <c r="O273" i="2"/>
  <c r="P273" i="2" s="1"/>
  <c r="O274" i="2"/>
  <c r="P274" i="2" s="1"/>
  <c r="O275" i="2"/>
  <c r="P275" i="2" s="1"/>
  <c r="O276" i="2"/>
  <c r="P276" i="2" s="1"/>
  <c r="O277" i="2"/>
  <c r="P277" i="2" s="1"/>
  <c r="O278" i="2"/>
  <c r="P278" i="2" s="1"/>
  <c r="O279" i="2"/>
  <c r="P279" i="2" s="1"/>
  <c r="O280" i="2"/>
  <c r="P280" i="2" s="1"/>
  <c r="O281" i="2"/>
  <c r="P281" i="2" s="1"/>
  <c r="O282" i="2"/>
  <c r="P282" i="2" s="1"/>
  <c r="O283" i="2"/>
  <c r="P283" i="2" s="1"/>
  <c r="O284" i="2"/>
  <c r="P284" i="2" s="1"/>
  <c r="O285" i="2"/>
  <c r="P285" i="2" s="1"/>
  <c r="O286" i="2"/>
  <c r="P286" i="2" s="1"/>
  <c r="O287" i="2"/>
  <c r="P287" i="2" s="1"/>
  <c r="O288" i="2"/>
  <c r="P288" i="2" s="1"/>
  <c r="O289" i="2"/>
  <c r="P289" i="2" s="1"/>
  <c r="O290" i="2"/>
  <c r="P290" i="2" s="1"/>
  <c r="O291" i="2"/>
  <c r="P291" i="2" s="1"/>
  <c r="O292" i="2"/>
  <c r="P292" i="2" s="1"/>
  <c r="O293" i="2"/>
  <c r="P293" i="2" s="1"/>
  <c r="O294" i="2"/>
  <c r="P294" i="2" s="1"/>
  <c r="O295" i="2"/>
  <c r="P295" i="2" s="1"/>
  <c r="O296" i="2"/>
  <c r="P296" i="2" s="1"/>
  <c r="O297" i="2"/>
  <c r="P297" i="2" s="1"/>
  <c r="O298" i="2"/>
  <c r="P298" i="2" s="1"/>
  <c r="O299" i="2"/>
  <c r="P299" i="2" s="1"/>
  <c r="O300" i="2"/>
  <c r="P300" i="2" s="1"/>
  <c r="O301" i="2"/>
  <c r="P301" i="2" s="1"/>
  <c r="O302" i="2"/>
  <c r="P302" i="2" s="1"/>
  <c r="O303" i="2"/>
  <c r="P303" i="2" s="1"/>
  <c r="O304" i="2"/>
  <c r="P304" i="2" s="1"/>
  <c r="O305" i="2"/>
  <c r="P305" i="2" s="1"/>
  <c r="O306" i="2"/>
  <c r="P306" i="2" s="1"/>
  <c r="O307" i="2"/>
  <c r="P307" i="2" s="1"/>
  <c r="O308" i="2"/>
  <c r="P308" i="2" s="1"/>
  <c r="O309" i="2"/>
  <c r="P309" i="2" s="1"/>
  <c r="O310" i="2"/>
  <c r="P310" i="2" s="1"/>
  <c r="O311" i="2"/>
  <c r="P311" i="2" s="1"/>
  <c r="O312" i="2"/>
  <c r="P312" i="2" s="1"/>
  <c r="O313" i="2"/>
  <c r="P313" i="2" s="1"/>
  <c r="O314" i="2"/>
  <c r="P314" i="2" s="1"/>
  <c r="O315" i="2"/>
  <c r="P315" i="2" s="1"/>
  <c r="O316" i="2"/>
  <c r="P316" i="2" s="1"/>
  <c r="O317" i="2"/>
  <c r="P317" i="2" s="1"/>
  <c r="O318" i="2"/>
  <c r="P318" i="2" s="1"/>
  <c r="O319" i="2"/>
  <c r="P319" i="2" s="1"/>
  <c r="O320" i="2"/>
  <c r="P320" i="2" s="1"/>
  <c r="O321" i="2"/>
  <c r="P321" i="2" s="1"/>
  <c r="O322" i="2"/>
  <c r="P322" i="2" s="1"/>
  <c r="O323" i="2"/>
  <c r="P323" i="2" s="1"/>
  <c r="O324" i="2"/>
  <c r="P324" i="2" s="1"/>
  <c r="O325" i="2"/>
  <c r="P325" i="2" s="1"/>
  <c r="O326" i="2"/>
  <c r="P326" i="2" s="1"/>
  <c r="O327" i="2"/>
  <c r="P327" i="2" s="1"/>
  <c r="O328" i="2"/>
  <c r="P328" i="2" s="1"/>
  <c r="O329" i="2"/>
  <c r="P329" i="2" s="1"/>
  <c r="O330" i="2"/>
  <c r="P330" i="2" s="1"/>
  <c r="O331" i="2"/>
  <c r="P331" i="2" s="1"/>
  <c r="O332" i="2"/>
  <c r="P332" i="2" s="1"/>
  <c r="O333" i="2"/>
  <c r="P333" i="2" s="1"/>
  <c r="O334" i="2"/>
  <c r="P334" i="2" s="1"/>
  <c r="O335" i="2"/>
  <c r="P335" i="2" s="1"/>
  <c r="O336" i="2"/>
  <c r="P336" i="2" s="1"/>
  <c r="O337" i="2"/>
  <c r="P337" i="2" s="1"/>
  <c r="O338" i="2"/>
  <c r="P338" i="2" s="1"/>
  <c r="O339" i="2"/>
  <c r="P339" i="2" s="1"/>
  <c r="O340" i="2"/>
  <c r="P340" i="2" s="1"/>
  <c r="O341" i="2"/>
  <c r="P341" i="2" s="1"/>
  <c r="O342" i="2"/>
  <c r="P342" i="2" s="1"/>
  <c r="O343" i="2"/>
  <c r="P343" i="2" s="1"/>
  <c r="O344" i="2"/>
  <c r="P344" i="2" s="1"/>
  <c r="O345" i="2"/>
  <c r="P345" i="2" s="1"/>
  <c r="O346" i="2"/>
  <c r="P346" i="2" s="1"/>
  <c r="O347" i="2"/>
  <c r="P347" i="2" s="1"/>
  <c r="O348" i="2"/>
  <c r="P348" i="2" s="1"/>
  <c r="O349" i="2"/>
  <c r="P349" i="2" s="1"/>
  <c r="O350" i="2"/>
  <c r="P350" i="2" s="1"/>
  <c r="O351" i="2"/>
  <c r="P351" i="2" s="1"/>
  <c r="O352" i="2"/>
  <c r="P352" i="2" s="1"/>
  <c r="O353" i="2"/>
  <c r="P353" i="2" s="1"/>
  <c r="O354" i="2"/>
  <c r="P354" i="2" s="1"/>
  <c r="O355" i="2"/>
  <c r="P355" i="2" s="1"/>
  <c r="O356" i="2"/>
  <c r="P356" i="2" s="1"/>
  <c r="O357" i="2"/>
  <c r="P357" i="2" s="1"/>
  <c r="O358" i="2"/>
  <c r="P358" i="2" s="1"/>
  <c r="O359" i="2"/>
  <c r="P359" i="2" s="1"/>
  <c r="O360" i="2"/>
  <c r="P360" i="2" s="1"/>
  <c r="O361" i="2"/>
  <c r="P361" i="2" s="1"/>
  <c r="O362" i="2"/>
  <c r="P362" i="2" s="1"/>
  <c r="O363" i="2"/>
  <c r="P363" i="2" s="1"/>
  <c r="O364" i="2"/>
  <c r="P364" i="2" s="1"/>
  <c r="O365" i="2"/>
  <c r="P365" i="2" s="1"/>
  <c r="O366" i="2"/>
  <c r="P366" i="2" s="1"/>
  <c r="O367" i="2"/>
  <c r="P367" i="2" s="1"/>
  <c r="O368" i="2"/>
  <c r="P368" i="2" s="1"/>
  <c r="O369" i="2"/>
  <c r="P369" i="2" s="1"/>
  <c r="O370" i="2"/>
  <c r="P370" i="2" s="1"/>
  <c r="O371" i="2"/>
  <c r="P371" i="2" s="1"/>
  <c r="O372" i="2"/>
  <c r="P372" i="2" s="1"/>
  <c r="O373" i="2"/>
  <c r="P373" i="2" s="1"/>
  <c r="O374" i="2"/>
  <c r="P374" i="2" s="1"/>
  <c r="O375" i="2"/>
  <c r="P375" i="2" s="1"/>
  <c r="O376" i="2"/>
  <c r="P376" i="2" s="1"/>
  <c r="O377" i="2"/>
  <c r="P377" i="2" s="1"/>
  <c r="O378" i="2"/>
  <c r="P378" i="2" s="1"/>
  <c r="O379" i="2"/>
  <c r="P379" i="2" s="1"/>
  <c r="O380" i="2"/>
  <c r="P380" i="2" s="1"/>
  <c r="O381" i="2"/>
  <c r="P381" i="2" s="1"/>
  <c r="O382" i="2"/>
  <c r="P382" i="2" s="1"/>
  <c r="O383" i="2"/>
  <c r="P383" i="2" s="1"/>
  <c r="O384" i="2"/>
  <c r="P384" i="2" s="1"/>
  <c r="O385" i="2"/>
  <c r="P385" i="2" s="1"/>
  <c r="O386" i="2"/>
  <c r="P386" i="2" s="1"/>
  <c r="O387" i="2"/>
  <c r="P387" i="2" s="1"/>
  <c r="O388" i="2"/>
  <c r="P388" i="2" s="1"/>
  <c r="O389" i="2"/>
  <c r="P389" i="2" s="1"/>
  <c r="O390" i="2"/>
  <c r="P390" i="2" s="1"/>
  <c r="O391" i="2"/>
  <c r="P391" i="2" s="1"/>
  <c r="O392" i="2"/>
  <c r="P392" i="2" s="1"/>
  <c r="O393" i="2"/>
  <c r="P393" i="2" s="1"/>
  <c r="O394" i="2"/>
  <c r="P394" i="2" s="1"/>
  <c r="O395" i="2"/>
  <c r="P395" i="2" s="1"/>
  <c r="O396" i="2"/>
  <c r="P396" i="2" s="1"/>
  <c r="O397" i="2"/>
  <c r="P397" i="2" s="1"/>
  <c r="O398" i="2"/>
  <c r="P398" i="2" s="1"/>
  <c r="O399" i="2"/>
  <c r="P399" i="2" s="1"/>
  <c r="O400" i="2"/>
  <c r="P400" i="2" s="1"/>
  <c r="O401" i="2"/>
  <c r="P401" i="2" s="1"/>
  <c r="O402" i="2"/>
  <c r="P402" i="2" s="1"/>
  <c r="O403" i="2"/>
  <c r="P403" i="2" s="1"/>
  <c r="O404" i="2"/>
  <c r="P404" i="2" s="1"/>
  <c r="O405" i="2"/>
  <c r="P405" i="2" s="1"/>
  <c r="O406" i="2"/>
  <c r="P406" i="2" s="1"/>
  <c r="O407" i="2"/>
  <c r="P407" i="2" s="1"/>
  <c r="O408" i="2"/>
  <c r="P408" i="2" s="1"/>
  <c r="O409" i="2"/>
  <c r="P409" i="2" s="1"/>
  <c r="O410" i="2"/>
  <c r="P410" i="2" s="1"/>
  <c r="O411" i="2"/>
  <c r="P411" i="2" s="1"/>
  <c r="O412" i="2"/>
  <c r="P412" i="2" s="1"/>
  <c r="O413" i="2"/>
  <c r="P413" i="2" s="1"/>
  <c r="O414" i="2"/>
  <c r="P414" i="2" s="1"/>
  <c r="O415" i="2"/>
  <c r="P415" i="2" s="1"/>
  <c r="O416" i="2"/>
  <c r="P416" i="2" s="1"/>
  <c r="O417" i="2"/>
  <c r="P417" i="2" s="1"/>
  <c r="O418" i="2"/>
  <c r="P418" i="2" s="1"/>
  <c r="O419" i="2"/>
  <c r="P419" i="2" s="1"/>
  <c r="O420" i="2"/>
  <c r="P420" i="2" s="1"/>
  <c r="O421" i="2"/>
  <c r="P421" i="2" s="1"/>
  <c r="O422" i="2"/>
  <c r="P422" i="2" s="1"/>
  <c r="O423" i="2"/>
  <c r="P423" i="2" s="1"/>
  <c r="O424" i="2"/>
  <c r="P424" i="2" s="1"/>
  <c r="O425" i="2"/>
  <c r="P425" i="2" s="1"/>
  <c r="O426" i="2"/>
  <c r="P426" i="2" s="1"/>
  <c r="O427" i="2"/>
  <c r="P427" i="2" s="1"/>
  <c r="O428" i="2"/>
  <c r="P428" i="2" s="1"/>
  <c r="O429" i="2"/>
  <c r="P429" i="2" s="1"/>
  <c r="O430" i="2"/>
  <c r="P430" i="2" s="1"/>
  <c r="O431" i="2"/>
  <c r="P431" i="2" s="1"/>
  <c r="O432" i="2"/>
  <c r="P432" i="2" s="1"/>
  <c r="O433" i="2"/>
  <c r="P433" i="2" s="1"/>
  <c r="O434" i="2"/>
  <c r="P434" i="2" s="1"/>
  <c r="O435" i="2"/>
  <c r="P435" i="2" s="1"/>
  <c r="O436" i="2"/>
  <c r="P436" i="2" s="1"/>
  <c r="O437" i="2"/>
  <c r="P437" i="2" s="1"/>
  <c r="O438" i="2"/>
  <c r="P438" i="2" s="1"/>
  <c r="O439" i="2"/>
  <c r="P439" i="2" s="1"/>
  <c r="O440" i="2"/>
  <c r="P440" i="2" s="1"/>
  <c r="O441" i="2"/>
  <c r="P441" i="2" s="1"/>
  <c r="O442" i="2"/>
  <c r="P442" i="2" s="1"/>
  <c r="O443" i="2"/>
  <c r="P443" i="2" s="1"/>
  <c r="O444" i="2"/>
  <c r="P444" i="2" s="1"/>
  <c r="O445" i="2"/>
  <c r="P445" i="2" s="1"/>
  <c r="O446" i="2"/>
  <c r="P446" i="2" s="1"/>
  <c r="O447" i="2"/>
  <c r="P447" i="2" s="1"/>
  <c r="O448" i="2"/>
  <c r="P448" i="2" s="1"/>
  <c r="O449" i="2"/>
  <c r="P449" i="2" s="1"/>
  <c r="O450" i="2"/>
  <c r="P450" i="2" s="1"/>
  <c r="O451" i="2"/>
  <c r="P451" i="2" s="1"/>
  <c r="O452" i="2"/>
  <c r="P452" i="2" s="1"/>
  <c r="O453" i="2"/>
  <c r="P453" i="2" s="1"/>
  <c r="O454" i="2"/>
  <c r="P454" i="2" s="1"/>
  <c r="O455" i="2"/>
  <c r="P455" i="2" s="1"/>
  <c r="O456" i="2"/>
  <c r="P456" i="2" s="1"/>
  <c r="O457" i="2"/>
  <c r="P457" i="2" s="1"/>
  <c r="O458" i="2"/>
  <c r="P458" i="2" s="1"/>
  <c r="O459" i="2"/>
  <c r="P459" i="2" s="1"/>
  <c r="O460" i="2"/>
  <c r="P460" i="2" s="1"/>
  <c r="O461" i="2"/>
  <c r="P461" i="2" s="1"/>
  <c r="O462" i="2"/>
  <c r="P462" i="2" s="1"/>
  <c r="O463" i="2"/>
  <c r="P463" i="2" s="1"/>
  <c r="O464" i="2"/>
  <c r="P464" i="2" s="1"/>
  <c r="O465" i="2"/>
  <c r="P465" i="2" s="1"/>
  <c r="O466" i="2"/>
  <c r="P466" i="2" s="1"/>
  <c r="O467" i="2"/>
  <c r="P467" i="2" s="1"/>
  <c r="O468" i="2"/>
  <c r="P468" i="2" s="1"/>
  <c r="O469" i="2"/>
  <c r="P469" i="2" s="1"/>
  <c r="O470" i="2"/>
  <c r="P470" i="2" s="1"/>
  <c r="O471" i="2"/>
  <c r="P471" i="2" s="1"/>
  <c r="O472" i="2"/>
  <c r="P472" i="2" s="1"/>
  <c r="O473" i="2"/>
  <c r="P473" i="2" s="1"/>
  <c r="O474" i="2"/>
  <c r="P474" i="2" s="1"/>
  <c r="O475" i="2"/>
  <c r="P475" i="2" s="1"/>
  <c r="O476" i="2"/>
  <c r="P476" i="2" s="1"/>
  <c r="O477" i="2"/>
  <c r="P477" i="2" s="1"/>
  <c r="O478" i="2"/>
  <c r="P478" i="2" s="1"/>
  <c r="O479" i="2"/>
  <c r="P479" i="2" s="1"/>
  <c r="O480" i="2"/>
  <c r="P480" i="2" s="1"/>
  <c r="O481" i="2"/>
  <c r="P481" i="2" s="1"/>
  <c r="O482" i="2"/>
  <c r="P482" i="2" s="1"/>
  <c r="O483" i="2"/>
  <c r="P483" i="2" s="1"/>
  <c r="O484" i="2"/>
  <c r="P484" i="2" s="1"/>
  <c r="O485" i="2"/>
  <c r="P485" i="2" s="1"/>
  <c r="O486" i="2"/>
  <c r="P486" i="2" s="1"/>
  <c r="O487" i="2"/>
  <c r="P487" i="2" s="1"/>
  <c r="O488" i="2"/>
  <c r="P488" i="2" s="1"/>
  <c r="O489" i="2"/>
  <c r="P489" i="2" s="1"/>
  <c r="O490" i="2"/>
  <c r="P490" i="2" s="1"/>
  <c r="O491" i="2"/>
  <c r="P491" i="2" s="1"/>
  <c r="O492" i="2"/>
  <c r="P492" i="2" s="1"/>
  <c r="O493" i="2"/>
  <c r="P493" i="2" s="1"/>
  <c r="O494" i="2"/>
  <c r="P494" i="2" s="1"/>
  <c r="O495" i="2"/>
  <c r="P495" i="2" s="1"/>
  <c r="O496" i="2"/>
  <c r="P496" i="2" s="1"/>
  <c r="O497" i="2"/>
  <c r="P497" i="2" s="1"/>
  <c r="O498" i="2"/>
  <c r="P498" i="2" s="1"/>
  <c r="O499" i="2"/>
  <c r="P499" i="2" s="1"/>
  <c r="O500" i="2"/>
  <c r="P500" i="2" s="1"/>
  <c r="O501" i="2"/>
  <c r="P501" i="2" s="1"/>
  <c r="O502" i="2"/>
  <c r="P502" i="2" s="1"/>
  <c r="O503" i="2"/>
  <c r="P503" i="2" s="1"/>
  <c r="O504" i="2"/>
  <c r="P504" i="2" s="1"/>
  <c r="O505" i="2"/>
  <c r="P505" i="2" s="1"/>
  <c r="O506" i="2"/>
  <c r="P506" i="2" s="1"/>
  <c r="O507" i="2"/>
  <c r="P507" i="2" s="1"/>
  <c r="O508" i="2"/>
  <c r="P508" i="2" s="1"/>
  <c r="O509" i="2"/>
  <c r="P509" i="2" s="1"/>
  <c r="O510" i="2"/>
  <c r="P510" i="2" s="1"/>
  <c r="O511" i="2"/>
  <c r="P511" i="2" s="1"/>
  <c r="O512" i="2"/>
  <c r="P512" i="2" s="1"/>
  <c r="O513" i="2"/>
  <c r="P513" i="2" s="1"/>
  <c r="O514" i="2"/>
  <c r="P514" i="2" s="1"/>
  <c r="O515" i="2"/>
  <c r="P515" i="2" s="1"/>
  <c r="O516" i="2"/>
  <c r="P516" i="2" s="1"/>
  <c r="O517" i="2"/>
  <c r="P517" i="2" s="1"/>
  <c r="O518" i="2"/>
  <c r="P518" i="2" s="1"/>
  <c r="O519" i="2"/>
  <c r="P519" i="2" s="1"/>
  <c r="O520" i="2"/>
  <c r="P520" i="2" s="1"/>
  <c r="O521" i="2"/>
  <c r="P521" i="2" s="1"/>
  <c r="O522" i="2"/>
  <c r="P522" i="2" s="1"/>
  <c r="O523" i="2"/>
  <c r="P523" i="2" s="1"/>
  <c r="O524" i="2"/>
  <c r="P524" i="2" s="1"/>
  <c r="O525" i="2"/>
  <c r="P525" i="2" s="1"/>
  <c r="O526" i="2"/>
  <c r="P526" i="2" s="1"/>
  <c r="O527" i="2"/>
  <c r="P527" i="2" s="1"/>
  <c r="O528" i="2"/>
  <c r="P528" i="2" s="1"/>
  <c r="O529" i="2"/>
  <c r="P529" i="2" s="1"/>
  <c r="O530" i="2"/>
  <c r="P530" i="2" s="1"/>
  <c r="O531" i="2"/>
  <c r="P531" i="2" s="1"/>
  <c r="O532" i="2"/>
  <c r="P532" i="2" s="1"/>
  <c r="O533" i="2"/>
  <c r="P533" i="2" s="1"/>
  <c r="O534" i="2"/>
  <c r="P534" i="2" s="1"/>
  <c r="O535" i="2"/>
  <c r="P535" i="2" s="1"/>
  <c r="O536" i="2"/>
  <c r="P536" i="2" s="1"/>
  <c r="O537" i="2"/>
  <c r="P537" i="2" s="1"/>
  <c r="O538" i="2"/>
  <c r="P538" i="2" s="1"/>
  <c r="O539" i="2"/>
  <c r="P539" i="2" s="1"/>
  <c r="O540" i="2"/>
  <c r="P540" i="2" s="1"/>
  <c r="O541" i="2"/>
  <c r="P541" i="2" s="1"/>
  <c r="O542" i="2"/>
  <c r="P542" i="2" s="1"/>
  <c r="O543" i="2"/>
  <c r="P543" i="2" s="1"/>
  <c r="O544" i="2"/>
  <c r="P544" i="2" s="1"/>
  <c r="O545" i="2"/>
  <c r="P545" i="2" s="1"/>
  <c r="O546" i="2"/>
  <c r="P546" i="2" s="1"/>
  <c r="O547" i="2"/>
  <c r="P547" i="2" s="1"/>
  <c r="O548" i="2"/>
  <c r="P548" i="2" s="1"/>
  <c r="O549" i="2"/>
  <c r="P549" i="2" s="1"/>
  <c r="O550" i="2"/>
  <c r="P550" i="2" s="1"/>
  <c r="O551" i="2"/>
  <c r="P551" i="2" s="1"/>
  <c r="O552" i="2"/>
  <c r="P552" i="2" s="1"/>
  <c r="O553" i="2"/>
  <c r="P553" i="2" s="1"/>
  <c r="O554" i="2"/>
  <c r="P554" i="2" s="1"/>
  <c r="O555" i="2"/>
  <c r="P555" i="2" s="1"/>
  <c r="O556" i="2"/>
  <c r="P556" i="2" s="1"/>
  <c r="O557" i="2"/>
  <c r="P557" i="2" s="1"/>
  <c r="O558" i="2"/>
  <c r="P558" i="2" s="1"/>
  <c r="O559" i="2"/>
  <c r="P559" i="2" s="1"/>
  <c r="O560" i="2"/>
  <c r="P560" i="2" s="1"/>
  <c r="O561" i="2"/>
  <c r="P561" i="2" s="1"/>
  <c r="O562" i="2"/>
  <c r="P562" i="2" s="1"/>
  <c r="O563" i="2"/>
  <c r="P563" i="2" s="1"/>
  <c r="O564" i="2"/>
  <c r="P564" i="2" s="1"/>
  <c r="O565" i="2"/>
  <c r="P565" i="2" s="1"/>
  <c r="O566" i="2"/>
  <c r="P566" i="2" s="1"/>
  <c r="O567" i="2"/>
  <c r="P567" i="2" s="1"/>
  <c r="O568" i="2"/>
  <c r="P568" i="2" s="1"/>
  <c r="O569" i="2"/>
  <c r="P569" i="2" s="1"/>
  <c r="O570" i="2"/>
  <c r="P570" i="2" s="1"/>
  <c r="O571" i="2"/>
  <c r="P571" i="2" s="1"/>
  <c r="O572" i="2"/>
  <c r="P572" i="2" s="1"/>
  <c r="O573" i="2"/>
  <c r="P573" i="2" s="1"/>
  <c r="O574" i="2"/>
  <c r="P574" i="2" s="1"/>
  <c r="O575" i="2"/>
  <c r="P575" i="2" s="1"/>
  <c r="O576" i="2"/>
  <c r="P576" i="2" s="1"/>
  <c r="O577" i="2"/>
  <c r="P577" i="2" s="1"/>
  <c r="O578" i="2"/>
  <c r="P578" i="2" s="1"/>
  <c r="O579" i="2"/>
  <c r="P579" i="2" s="1"/>
  <c r="O580" i="2"/>
  <c r="P580" i="2" s="1"/>
  <c r="O581" i="2"/>
  <c r="P581" i="2" s="1"/>
  <c r="O582" i="2"/>
  <c r="P582" i="2" s="1"/>
  <c r="O583" i="2"/>
  <c r="P583" i="2" s="1"/>
  <c r="O584" i="2"/>
  <c r="P584" i="2" s="1"/>
  <c r="O585" i="2"/>
  <c r="P585" i="2" s="1"/>
  <c r="O586" i="2"/>
  <c r="P586" i="2" s="1"/>
  <c r="O587" i="2"/>
  <c r="P587" i="2" s="1"/>
  <c r="O588" i="2"/>
  <c r="P588" i="2" s="1"/>
  <c r="O589" i="2"/>
  <c r="P589" i="2" s="1"/>
  <c r="O590" i="2"/>
  <c r="P590" i="2" s="1"/>
  <c r="O591" i="2"/>
  <c r="P591" i="2" s="1"/>
  <c r="O592" i="2"/>
  <c r="P592" i="2" s="1"/>
  <c r="O593" i="2"/>
  <c r="P593" i="2" s="1"/>
  <c r="O594" i="2"/>
  <c r="P594" i="2" s="1"/>
  <c r="O595" i="2"/>
  <c r="P595" i="2" s="1"/>
  <c r="O596" i="2"/>
  <c r="P596" i="2" s="1"/>
  <c r="O597" i="2"/>
  <c r="P597" i="2" s="1"/>
  <c r="O598" i="2"/>
  <c r="P598" i="2" s="1"/>
  <c r="O599" i="2"/>
  <c r="P599" i="2" s="1"/>
  <c r="O600" i="2"/>
  <c r="P600" i="2" s="1"/>
  <c r="O601" i="2"/>
  <c r="P601" i="2" s="1"/>
  <c r="O602" i="2"/>
  <c r="P602" i="2" s="1"/>
  <c r="O603" i="2"/>
  <c r="P603" i="2" s="1"/>
  <c r="O604" i="2"/>
  <c r="P604" i="2" s="1"/>
  <c r="O605" i="2"/>
  <c r="P605" i="2" s="1"/>
  <c r="O606" i="2"/>
  <c r="P606" i="2" s="1"/>
  <c r="O607" i="2"/>
  <c r="P607" i="2" s="1"/>
  <c r="O608" i="2"/>
  <c r="P608" i="2" s="1"/>
  <c r="O609" i="2"/>
  <c r="P609" i="2" s="1"/>
  <c r="O610" i="2"/>
  <c r="P610" i="2" s="1"/>
  <c r="O611" i="2"/>
  <c r="P611" i="2" s="1"/>
  <c r="O612" i="2"/>
  <c r="P612" i="2" s="1"/>
  <c r="O613" i="2"/>
  <c r="P613" i="2" s="1"/>
  <c r="O614" i="2"/>
  <c r="P614" i="2" s="1"/>
  <c r="O615" i="2"/>
  <c r="P615" i="2" s="1"/>
  <c r="O616" i="2"/>
  <c r="P616" i="2" s="1"/>
  <c r="O617" i="2"/>
  <c r="P617" i="2" s="1"/>
  <c r="O618" i="2"/>
  <c r="P618" i="2" s="1"/>
  <c r="O619" i="2"/>
  <c r="P619" i="2" s="1"/>
  <c r="O620" i="2"/>
  <c r="P620" i="2" s="1"/>
  <c r="O621" i="2"/>
  <c r="P621" i="2" s="1"/>
  <c r="O622" i="2"/>
  <c r="P622" i="2" s="1"/>
  <c r="O623" i="2"/>
  <c r="P623" i="2" s="1"/>
  <c r="O624" i="2"/>
  <c r="P624" i="2" s="1"/>
  <c r="O625" i="2"/>
  <c r="P625" i="2" s="1"/>
  <c r="O626" i="2"/>
  <c r="P626" i="2" s="1"/>
  <c r="O627" i="2"/>
  <c r="P627" i="2" s="1"/>
  <c r="O628" i="2"/>
  <c r="P628" i="2" s="1"/>
  <c r="O629" i="2"/>
  <c r="P629" i="2" s="1"/>
  <c r="O630" i="2"/>
  <c r="P630" i="2" s="1"/>
  <c r="O631" i="2"/>
  <c r="P631" i="2" s="1"/>
  <c r="O632" i="2"/>
  <c r="P632" i="2" s="1"/>
  <c r="O633" i="2"/>
  <c r="P633" i="2" s="1"/>
  <c r="O634" i="2"/>
  <c r="P634" i="2" s="1"/>
  <c r="O635" i="2"/>
  <c r="P635" i="2" s="1"/>
  <c r="O636" i="2"/>
  <c r="P636" i="2" s="1"/>
  <c r="O637" i="2"/>
  <c r="P637" i="2" s="1"/>
  <c r="O638" i="2"/>
  <c r="P638" i="2" s="1"/>
  <c r="O639" i="2"/>
  <c r="P639" i="2" s="1"/>
  <c r="O640" i="2"/>
  <c r="P640" i="2" s="1"/>
  <c r="O641" i="2"/>
  <c r="P641" i="2" s="1"/>
  <c r="O642" i="2"/>
  <c r="P642" i="2" s="1"/>
  <c r="O643" i="2"/>
  <c r="P643" i="2" s="1"/>
  <c r="O644" i="2"/>
  <c r="P644" i="2" s="1"/>
  <c r="O645" i="2"/>
  <c r="P645" i="2" s="1"/>
  <c r="O646" i="2"/>
  <c r="P646" i="2" s="1"/>
  <c r="O647" i="2"/>
  <c r="P647" i="2" s="1"/>
  <c r="O648" i="2"/>
  <c r="P648" i="2" s="1"/>
  <c r="O649" i="2"/>
  <c r="P649" i="2" s="1"/>
  <c r="O650" i="2"/>
  <c r="P650" i="2" s="1"/>
  <c r="O651" i="2"/>
  <c r="P651" i="2" s="1"/>
  <c r="O652" i="2"/>
  <c r="P652" i="2" s="1"/>
  <c r="O653" i="2"/>
  <c r="P653" i="2" s="1"/>
  <c r="O654" i="2"/>
  <c r="P654" i="2" s="1"/>
  <c r="O655" i="2"/>
  <c r="P655" i="2" s="1"/>
  <c r="O656" i="2"/>
  <c r="P656" i="2" s="1"/>
  <c r="O657" i="2"/>
  <c r="P657" i="2" s="1"/>
  <c r="O658" i="2"/>
  <c r="P658" i="2" s="1"/>
  <c r="O659" i="2"/>
  <c r="P659" i="2" s="1"/>
  <c r="O660" i="2"/>
  <c r="P660" i="2" s="1"/>
  <c r="O661" i="2"/>
  <c r="P661" i="2" s="1"/>
  <c r="O662" i="2"/>
  <c r="P662" i="2" s="1"/>
  <c r="O663" i="2"/>
  <c r="P663" i="2" s="1"/>
  <c r="O664" i="2"/>
  <c r="P664" i="2" s="1"/>
  <c r="O665" i="2"/>
  <c r="P665" i="2" s="1"/>
  <c r="O666" i="2"/>
  <c r="P666" i="2" s="1"/>
  <c r="O667" i="2"/>
  <c r="P667" i="2" s="1"/>
  <c r="O668" i="2"/>
  <c r="P668" i="2" s="1"/>
  <c r="O669" i="2"/>
  <c r="P669" i="2" s="1"/>
  <c r="O670" i="2"/>
  <c r="P670" i="2" s="1"/>
  <c r="O671" i="2"/>
  <c r="P671" i="2" s="1"/>
  <c r="O672" i="2"/>
  <c r="P672" i="2" s="1"/>
  <c r="O673" i="2"/>
  <c r="P673" i="2" s="1"/>
  <c r="O674" i="2"/>
  <c r="P674" i="2" s="1"/>
  <c r="O675" i="2"/>
  <c r="P675" i="2" s="1"/>
  <c r="O676" i="2"/>
  <c r="P676" i="2" s="1"/>
  <c r="O677" i="2"/>
  <c r="P677" i="2" s="1"/>
  <c r="O678" i="2"/>
  <c r="P678" i="2" s="1"/>
  <c r="O679" i="2"/>
  <c r="P679" i="2" s="1"/>
  <c r="O680" i="2"/>
  <c r="P680" i="2" s="1"/>
  <c r="O681" i="2"/>
  <c r="P681" i="2" s="1"/>
  <c r="O682" i="2"/>
  <c r="P682" i="2" s="1"/>
  <c r="O683" i="2"/>
  <c r="P683" i="2" s="1"/>
  <c r="O684" i="2"/>
  <c r="P684" i="2" s="1"/>
  <c r="O685" i="2"/>
  <c r="P685" i="2" s="1"/>
  <c r="O686" i="2"/>
  <c r="P686" i="2" s="1"/>
  <c r="O687" i="2"/>
  <c r="P687" i="2" s="1"/>
  <c r="O688" i="2"/>
  <c r="P688" i="2" s="1"/>
  <c r="O689" i="2"/>
  <c r="P689" i="2" s="1"/>
  <c r="O690" i="2"/>
  <c r="P690" i="2" s="1"/>
  <c r="O691" i="2"/>
  <c r="P691" i="2" s="1"/>
  <c r="O692" i="2"/>
  <c r="P692" i="2" s="1"/>
  <c r="O693" i="2"/>
  <c r="P693" i="2" s="1"/>
  <c r="O694" i="2"/>
  <c r="P694" i="2" s="1"/>
  <c r="O695" i="2"/>
  <c r="P695" i="2" s="1"/>
  <c r="O696" i="2"/>
  <c r="P696" i="2" s="1"/>
  <c r="O697" i="2"/>
  <c r="P697" i="2" s="1"/>
  <c r="O698" i="2"/>
  <c r="P698" i="2" s="1"/>
  <c r="O699" i="2"/>
  <c r="P699" i="2" s="1"/>
  <c r="O700" i="2"/>
  <c r="P700" i="2" s="1"/>
  <c r="O701" i="2"/>
  <c r="P701" i="2" s="1"/>
  <c r="O702" i="2"/>
  <c r="P702" i="2" s="1"/>
  <c r="O703" i="2"/>
  <c r="P703" i="2" s="1"/>
  <c r="O704" i="2"/>
  <c r="P704" i="2" s="1"/>
  <c r="O705" i="2"/>
  <c r="P705" i="2" s="1"/>
  <c r="O706" i="2"/>
  <c r="P706" i="2" s="1"/>
  <c r="O707" i="2"/>
  <c r="P707" i="2" s="1"/>
  <c r="O708" i="2"/>
  <c r="P708" i="2" s="1"/>
  <c r="O709" i="2"/>
  <c r="P709" i="2" s="1"/>
  <c r="O710" i="2"/>
  <c r="P710" i="2" s="1"/>
  <c r="O711" i="2"/>
  <c r="P711" i="2" s="1"/>
  <c r="O712" i="2"/>
  <c r="P712" i="2" s="1"/>
  <c r="O713" i="2"/>
  <c r="P713" i="2" s="1"/>
  <c r="O714" i="2"/>
  <c r="P714" i="2" s="1"/>
  <c r="O715" i="2"/>
  <c r="P715" i="2" s="1"/>
  <c r="O716" i="2"/>
  <c r="P716" i="2" s="1"/>
  <c r="O717" i="2"/>
  <c r="P717" i="2" s="1"/>
  <c r="O718" i="2"/>
  <c r="P718" i="2" s="1"/>
  <c r="O719" i="2"/>
  <c r="P719" i="2" s="1"/>
  <c r="O720" i="2"/>
  <c r="P720" i="2" s="1"/>
  <c r="O721" i="2"/>
  <c r="P721" i="2" s="1"/>
  <c r="O722" i="2"/>
  <c r="P722" i="2" s="1"/>
  <c r="O723" i="2"/>
  <c r="P723" i="2" s="1"/>
  <c r="O724" i="2"/>
  <c r="P724" i="2" s="1"/>
  <c r="O725" i="2"/>
  <c r="P725" i="2" s="1"/>
  <c r="O726" i="2"/>
  <c r="P726" i="2" s="1"/>
  <c r="O727" i="2"/>
  <c r="P727" i="2" s="1"/>
  <c r="O728" i="2"/>
  <c r="P728" i="2" s="1"/>
  <c r="O729" i="2"/>
  <c r="P729" i="2" s="1"/>
  <c r="O730" i="2"/>
  <c r="P730" i="2" s="1"/>
  <c r="O731" i="2"/>
  <c r="P731" i="2" s="1"/>
  <c r="O732" i="2"/>
  <c r="P732" i="2" s="1"/>
  <c r="O733" i="2"/>
  <c r="P733" i="2" s="1"/>
  <c r="O734" i="2"/>
  <c r="P734" i="2" s="1"/>
  <c r="O735" i="2"/>
  <c r="P735" i="2" s="1"/>
  <c r="O736" i="2"/>
  <c r="P736" i="2" s="1"/>
  <c r="O737" i="2"/>
  <c r="P737" i="2" s="1"/>
  <c r="O738" i="2"/>
  <c r="P738" i="2" s="1"/>
  <c r="O739" i="2"/>
  <c r="P739" i="2" s="1"/>
  <c r="O740" i="2"/>
  <c r="P740" i="2" s="1"/>
  <c r="O741" i="2"/>
  <c r="P741" i="2" s="1"/>
  <c r="O742" i="2"/>
  <c r="P742" i="2" s="1"/>
  <c r="O743" i="2"/>
  <c r="P743" i="2" s="1"/>
  <c r="O744" i="2"/>
  <c r="P744" i="2" s="1"/>
  <c r="O745" i="2"/>
  <c r="P745" i="2" s="1"/>
  <c r="O746" i="2"/>
  <c r="P746" i="2" s="1"/>
  <c r="O747" i="2"/>
  <c r="P747" i="2" s="1"/>
  <c r="O748" i="2"/>
  <c r="P748" i="2" s="1"/>
  <c r="O749" i="2"/>
  <c r="P749" i="2" s="1"/>
  <c r="O750" i="2"/>
  <c r="P750" i="2" s="1"/>
  <c r="O751" i="2"/>
  <c r="P751" i="2" s="1"/>
  <c r="O752" i="2"/>
  <c r="P752" i="2" s="1"/>
  <c r="O753" i="2"/>
  <c r="P753" i="2" s="1"/>
  <c r="O754" i="2"/>
  <c r="P754" i="2" s="1"/>
  <c r="O755" i="2"/>
  <c r="P755" i="2" s="1"/>
  <c r="O756" i="2"/>
  <c r="P756" i="2" s="1"/>
  <c r="O757" i="2"/>
  <c r="P757" i="2" s="1"/>
  <c r="O758" i="2"/>
  <c r="P758" i="2" s="1"/>
  <c r="O759" i="2"/>
  <c r="P759" i="2" s="1"/>
  <c r="O760" i="2"/>
  <c r="P760" i="2" s="1"/>
  <c r="O761" i="2"/>
  <c r="P761" i="2" s="1"/>
  <c r="O762" i="2"/>
  <c r="P762" i="2" s="1"/>
  <c r="O763" i="2"/>
  <c r="P763" i="2" s="1"/>
  <c r="O764" i="2"/>
  <c r="P764" i="2" s="1"/>
  <c r="O765" i="2"/>
  <c r="P765" i="2" s="1"/>
  <c r="O766" i="2"/>
  <c r="P766" i="2" s="1"/>
  <c r="O767" i="2"/>
  <c r="P767" i="2" s="1"/>
  <c r="O768" i="2"/>
  <c r="P768" i="2" s="1"/>
  <c r="O769" i="2"/>
  <c r="P769" i="2" s="1"/>
  <c r="O770" i="2"/>
  <c r="P770" i="2" s="1"/>
  <c r="O771" i="2"/>
  <c r="P771" i="2" s="1"/>
  <c r="O772" i="2"/>
  <c r="P772" i="2" s="1"/>
  <c r="O773" i="2"/>
  <c r="P773" i="2" s="1"/>
  <c r="O774" i="2"/>
  <c r="P774" i="2" s="1"/>
  <c r="O775" i="2"/>
  <c r="P775" i="2" s="1"/>
  <c r="O776" i="2"/>
  <c r="P776" i="2" s="1"/>
  <c r="O777" i="2"/>
  <c r="P777" i="2" s="1"/>
  <c r="O778" i="2"/>
  <c r="P778" i="2" s="1"/>
  <c r="O779" i="2"/>
  <c r="P779" i="2" s="1"/>
  <c r="O780" i="2"/>
  <c r="P780" i="2" s="1"/>
  <c r="O781" i="2"/>
  <c r="P781" i="2" s="1"/>
  <c r="O782" i="2"/>
  <c r="P782" i="2" s="1"/>
  <c r="O783" i="2"/>
  <c r="P783" i="2" s="1"/>
  <c r="O784" i="2"/>
  <c r="P784" i="2" s="1"/>
  <c r="O785" i="2"/>
  <c r="P785" i="2" s="1"/>
  <c r="O786" i="2"/>
  <c r="P786" i="2" s="1"/>
  <c r="O787" i="2"/>
  <c r="P787" i="2" s="1"/>
  <c r="O788" i="2"/>
  <c r="P788" i="2" s="1"/>
  <c r="O789" i="2"/>
  <c r="P789" i="2" s="1"/>
  <c r="O790" i="2"/>
  <c r="P790" i="2" s="1"/>
  <c r="O791" i="2"/>
  <c r="P791" i="2" s="1"/>
  <c r="O792" i="2"/>
  <c r="P792" i="2" s="1"/>
  <c r="O793" i="2"/>
  <c r="P793" i="2" s="1"/>
  <c r="O794" i="2"/>
  <c r="P794" i="2" s="1"/>
  <c r="O795" i="2"/>
  <c r="P795" i="2" s="1"/>
  <c r="O796" i="2"/>
  <c r="P796" i="2" s="1"/>
  <c r="O797" i="2"/>
  <c r="P797" i="2" s="1"/>
  <c r="O798" i="2"/>
  <c r="P798" i="2" s="1"/>
  <c r="O799" i="2"/>
  <c r="P799" i="2" s="1"/>
  <c r="O800" i="2"/>
  <c r="P800" i="2" s="1"/>
  <c r="O801" i="2"/>
  <c r="P801" i="2" s="1"/>
  <c r="O802" i="2"/>
  <c r="P802" i="2" s="1"/>
  <c r="O803" i="2"/>
  <c r="P803" i="2" s="1"/>
  <c r="O804" i="2"/>
  <c r="P804" i="2" s="1"/>
  <c r="O805" i="2"/>
  <c r="P805" i="2" s="1"/>
  <c r="O806" i="2"/>
  <c r="P806" i="2" s="1"/>
  <c r="O807" i="2"/>
  <c r="P807" i="2" s="1"/>
  <c r="O808" i="2"/>
  <c r="P808" i="2" s="1"/>
  <c r="O809" i="2"/>
  <c r="P809" i="2" s="1"/>
  <c r="O810" i="2"/>
  <c r="P810" i="2" s="1"/>
  <c r="O811" i="2"/>
  <c r="P811" i="2" s="1"/>
  <c r="O812" i="2"/>
  <c r="P812" i="2" s="1"/>
  <c r="O813" i="2"/>
  <c r="P813" i="2" s="1"/>
  <c r="O814" i="2"/>
  <c r="P814" i="2" s="1"/>
  <c r="O815" i="2"/>
  <c r="P815" i="2" s="1"/>
  <c r="O816" i="2"/>
  <c r="P816" i="2" s="1"/>
  <c r="O817" i="2"/>
  <c r="P817" i="2" s="1"/>
  <c r="O818" i="2"/>
  <c r="P818" i="2" s="1"/>
  <c r="O819" i="2"/>
  <c r="P819" i="2" s="1"/>
  <c r="O820" i="2"/>
  <c r="P820" i="2" s="1"/>
  <c r="O821" i="2"/>
  <c r="P821" i="2" s="1"/>
  <c r="O822" i="2"/>
  <c r="P822" i="2" s="1"/>
  <c r="O823" i="2"/>
  <c r="P823" i="2" s="1"/>
  <c r="O824" i="2"/>
  <c r="P824" i="2" s="1"/>
  <c r="O825" i="2"/>
  <c r="P825" i="2" s="1"/>
  <c r="O826" i="2"/>
  <c r="P826" i="2" s="1"/>
  <c r="O827" i="2"/>
  <c r="P827" i="2" s="1"/>
  <c r="O828" i="2"/>
  <c r="P828" i="2" s="1"/>
  <c r="O829" i="2"/>
  <c r="P829" i="2" s="1"/>
  <c r="O830" i="2"/>
  <c r="P830" i="2" s="1"/>
  <c r="O831" i="2"/>
  <c r="P831" i="2" s="1"/>
  <c r="O832" i="2"/>
  <c r="P832" i="2" s="1"/>
  <c r="O833" i="2"/>
  <c r="P833" i="2" s="1"/>
  <c r="O834" i="2"/>
  <c r="P834" i="2" s="1"/>
  <c r="O835" i="2"/>
  <c r="P835" i="2" s="1"/>
  <c r="O836" i="2"/>
  <c r="P836" i="2" s="1"/>
  <c r="O837" i="2"/>
  <c r="P837" i="2" s="1"/>
  <c r="O838" i="2"/>
  <c r="P838" i="2" s="1"/>
  <c r="O839" i="2"/>
  <c r="P839" i="2" s="1"/>
  <c r="O840" i="2"/>
  <c r="P840" i="2" s="1"/>
  <c r="O841" i="2"/>
  <c r="P841" i="2" s="1"/>
  <c r="O842" i="2"/>
  <c r="P842" i="2" s="1"/>
  <c r="O843" i="2"/>
  <c r="P843" i="2" s="1"/>
  <c r="O844" i="2"/>
  <c r="P844" i="2" s="1"/>
  <c r="O845" i="2"/>
  <c r="P845" i="2" s="1"/>
  <c r="O846" i="2"/>
  <c r="P846" i="2" s="1"/>
  <c r="O847" i="2"/>
  <c r="P847" i="2" s="1"/>
  <c r="O848" i="2"/>
  <c r="P848" i="2" s="1"/>
  <c r="O849" i="2"/>
  <c r="P849" i="2" s="1"/>
  <c r="O850" i="2"/>
  <c r="P850" i="2" s="1"/>
  <c r="O851" i="2"/>
  <c r="P851" i="2" s="1"/>
  <c r="O852" i="2"/>
  <c r="P852" i="2" s="1"/>
  <c r="O853" i="2"/>
  <c r="P853" i="2" s="1"/>
  <c r="O854" i="2"/>
  <c r="P854" i="2" s="1"/>
  <c r="O855" i="2"/>
  <c r="P855" i="2" s="1"/>
  <c r="O856" i="2"/>
  <c r="P856" i="2" s="1"/>
  <c r="O857" i="2"/>
  <c r="P857" i="2" s="1"/>
  <c r="O858" i="2"/>
  <c r="P858" i="2" s="1"/>
  <c r="O859" i="2"/>
  <c r="P859" i="2" s="1"/>
  <c r="O860" i="2"/>
  <c r="P860" i="2" s="1"/>
  <c r="O861" i="2"/>
  <c r="P861" i="2" s="1"/>
  <c r="O862" i="2"/>
  <c r="P862" i="2" s="1"/>
  <c r="O863" i="2"/>
  <c r="P863" i="2" s="1"/>
  <c r="O864" i="2"/>
  <c r="P864" i="2" s="1"/>
  <c r="O865" i="2"/>
  <c r="P865" i="2" s="1"/>
  <c r="O866" i="2"/>
  <c r="P866" i="2" s="1"/>
  <c r="O867" i="2"/>
  <c r="P867" i="2" s="1"/>
  <c r="O868" i="2"/>
  <c r="P868" i="2" s="1"/>
  <c r="O869" i="2"/>
  <c r="P869" i="2" s="1"/>
  <c r="O870" i="2"/>
  <c r="P870" i="2" s="1"/>
  <c r="O871" i="2"/>
  <c r="P871" i="2" s="1"/>
  <c r="O872" i="2"/>
  <c r="P872" i="2" s="1"/>
  <c r="O873" i="2"/>
  <c r="P873" i="2" s="1"/>
  <c r="O874" i="2"/>
  <c r="P874" i="2" s="1"/>
  <c r="O875" i="2"/>
  <c r="P875" i="2" s="1"/>
  <c r="O876" i="2"/>
  <c r="P876" i="2" s="1"/>
  <c r="O877" i="2"/>
  <c r="P877" i="2" s="1"/>
  <c r="O878" i="2"/>
  <c r="P878" i="2" s="1"/>
  <c r="O879" i="2"/>
  <c r="P879" i="2" s="1"/>
  <c r="O880" i="2"/>
  <c r="P880" i="2" s="1"/>
  <c r="O881" i="2"/>
  <c r="P881" i="2" s="1"/>
  <c r="O882" i="2"/>
  <c r="P882" i="2" s="1"/>
  <c r="O883" i="2"/>
  <c r="P883" i="2" s="1"/>
  <c r="O884" i="2"/>
  <c r="P884" i="2" s="1"/>
  <c r="O885" i="2"/>
  <c r="P885" i="2" s="1"/>
  <c r="O886" i="2"/>
  <c r="P886" i="2" s="1"/>
  <c r="O887" i="2"/>
  <c r="P887" i="2" s="1"/>
  <c r="O888" i="2"/>
  <c r="P888" i="2" s="1"/>
  <c r="O889" i="2"/>
  <c r="P889" i="2" s="1"/>
  <c r="O890" i="2"/>
  <c r="P890" i="2" s="1"/>
  <c r="O891" i="2"/>
  <c r="P891" i="2" s="1"/>
  <c r="O892" i="2"/>
  <c r="P892" i="2" s="1"/>
  <c r="O893" i="2"/>
  <c r="P893" i="2" s="1"/>
  <c r="O894" i="2"/>
  <c r="P894" i="2" s="1"/>
  <c r="O895" i="2"/>
  <c r="P895" i="2" s="1"/>
  <c r="O896" i="2"/>
  <c r="P896" i="2" s="1"/>
  <c r="O897" i="2"/>
  <c r="P897" i="2" s="1"/>
  <c r="O898" i="2"/>
  <c r="P898" i="2" s="1"/>
  <c r="O899" i="2"/>
  <c r="P899" i="2" s="1"/>
  <c r="O900" i="2"/>
  <c r="P900" i="2" s="1"/>
  <c r="O901" i="2"/>
  <c r="P901" i="2" s="1"/>
  <c r="O902" i="2"/>
  <c r="P902" i="2" s="1"/>
  <c r="O903" i="2"/>
  <c r="P903" i="2" s="1"/>
  <c r="O904" i="2"/>
  <c r="P904" i="2" s="1"/>
  <c r="O905" i="2"/>
  <c r="P905" i="2" s="1"/>
  <c r="O906" i="2"/>
  <c r="P906" i="2" s="1"/>
  <c r="O907" i="2"/>
  <c r="P907" i="2" s="1"/>
  <c r="O908" i="2"/>
  <c r="P908" i="2" s="1"/>
  <c r="O909" i="2"/>
  <c r="P909" i="2" s="1"/>
  <c r="O910" i="2"/>
  <c r="P910" i="2" s="1"/>
  <c r="O911" i="2"/>
  <c r="P911" i="2" s="1"/>
  <c r="O912" i="2"/>
  <c r="P912" i="2" s="1"/>
  <c r="O913" i="2"/>
  <c r="P913" i="2" s="1"/>
  <c r="O914" i="2"/>
  <c r="P914" i="2" s="1"/>
  <c r="O915" i="2"/>
  <c r="P915" i="2" s="1"/>
  <c r="O916" i="2"/>
  <c r="P916" i="2" s="1"/>
  <c r="O917" i="2"/>
  <c r="P917" i="2" s="1"/>
  <c r="O918" i="2"/>
  <c r="P918" i="2" s="1"/>
  <c r="O919" i="2"/>
  <c r="P919" i="2" s="1"/>
  <c r="O920" i="2"/>
  <c r="P920" i="2" s="1"/>
  <c r="O921" i="2"/>
  <c r="P921" i="2" s="1"/>
  <c r="O922" i="2"/>
  <c r="P922" i="2" s="1"/>
  <c r="O923" i="2"/>
  <c r="P923" i="2" s="1"/>
  <c r="O924" i="2"/>
  <c r="P924" i="2" s="1"/>
  <c r="O925" i="2"/>
  <c r="P925" i="2" s="1"/>
  <c r="O926" i="2"/>
  <c r="P926" i="2" s="1"/>
  <c r="O927" i="2"/>
  <c r="P927" i="2" s="1"/>
  <c r="O928" i="2"/>
  <c r="P928" i="2" s="1"/>
  <c r="O929" i="2"/>
  <c r="P929" i="2" s="1"/>
  <c r="O930" i="2"/>
  <c r="P930" i="2" s="1"/>
  <c r="O931" i="2"/>
  <c r="P931" i="2" s="1"/>
  <c r="O932" i="2"/>
  <c r="P932" i="2" s="1"/>
  <c r="O933" i="2"/>
  <c r="P933" i="2" s="1"/>
  <c r="O934" i="2"/>
  <c r="P934" i="2" s="1"/>
  <c r="O935" i="2"/>
  <c r="P935" i="2" s="1"/>
  <c r="O936" i="2"/>
  <c r="P936" i="2" s="1"/>
  <c r="O937" i="2"/>
  <c r="P937" i="2" s="1"/>
  <c r="O938" i="2"/>
  <c r="P938" i="2" s="1"/>
  <c r="O939" i="2"/>
  <c r="P939" i="2" s="1"/>
  <c r="O940" i="2"/>
  <c r="P940" i="2" s="1"/>
  <c r="O941" i="2"/>
  <c r="P941" i="2" s="1"/>
  <c r="O942" i="2"/>
  <c r="P942" i="2" s="1"/>
  <c r="O943" i="2"/>
  <c r="P943" i="2" s="1"/>
  <c r="O944" i="2"/>
  <c r="P944" i="2" s="1"/>
  <c r="O945" i="2"/>
  <c r="P945" i="2" s="1"/>
  <c r="O946" i="2"/>
  <c r="P946" i="2" s="1"/>
  <c r="O947" i="2"/>
  <c r="P947" i="2" s="1"/>
  <c r="O948" i="2"/>
  <c r="P948" i="2" s="1"/>
  <c r="O949" i="2"/>
  <c r="P949" i="2" s="1"/>
  <c r="O950" i="2"/>
  <c r="P950" i="2" s="1"/>
  <c r="O951" i="2"/>
  <c r="P951" i="2" s="1"/>
  <c r="O952" i="2"/>
  <c r="P952" i="2" s="1"/>
  <c r="O953" i="2"/>
  <c r="P953" i="2" s="1"/>
  <c r="O954" i="2"/>
  <c r="P954" i="2" s="1"/>
  <c r="O955" i="2"/>
  <c r="P955" i="2" s="1"/>
  <c r="O956" i="2"/>
  <c r="P956" i="2" s="1"/>
  <c r="O957" i="2"/>
  <c r="P957" i="2" s="1"/>
  <c r="O958" i="2"/>
  <c r="P958" i="2" s="1"/>
  <c r="O959" i="2"/>
  <c r="P959" i="2" s="1"/>
  <c r="O960" i="2"/>
  <c r="P960" i="2" s="1"/>
  <c r="O961" i="2"/>
  <c r="P961" i="2" s="1"/>
  <c r="O962" i="2"/>
  <c r="P962" i="2" s="1"/>
  <c r="O963" i="2"/>
  <c r="P963" i="2" s="1"/>
  <c r="O964" i="2"/>
  <c r="P964" i="2" s="1"/>
  <c r="O965" i="2"/>
  <c r="P965" i="2" s="1"/>
  <c r="O966" i="2"/>
  <c r="P966" i="2" s="1"/>
  <c r="O967" i="2"/>
  <c r="P967" i="2" s="1"/>
  <c r="O968" i="2"/>
  <c r="P968" i="2" s="1"/>
  <c r="O969" i="2"/>
  <c r="P969" i="2" s="1"/>
  <c r="O970" i="2"/>
  <c r="P970" i="2" s="1"/>
  <c r="O971" i="2"/>
  <c r="P971" i="2" s="1"/>
  <c r="O972" i="2"/>
  <c r="P972" i="2" s="1"/>
  <c r="O973" i="2"/>
  <c r="P973" i="2" s="1"/>
  <c r="O974" i="2"/>
  <c r="P974" i="2" s="1"/>
  <c r="O975" i="2"/>
  <c r="P975" i="2" s="1"/>
  <c r="O976" i="2"/>
  <c r="P976" i="2" s="1"/>
  <c r="O977" i="2"/>
  <c r="P977" i="2" s="1"/>
  <c r="O978" i="2"/>
  <c r="P978" i="2" s="1"/>
  <c r="O979" i="2"/>
  <c r="P979" i="2" s="1"/>
  <c r="O980" i="2"/>
  <c r="P980" i="2" s="1"/>
  <c r="O981" i="2"/>
  <c r="P981" i="2" s="1"/>
  <c r="O982" i="2"/>
  <c r="P982" i="2" s="1"/>
  <c r="O983" i="2"/>
  <c r="P983" i="2" s="1"/>
  <c r="O984" i="2"/>
  <c r="P984" i="2" s="1"/>
  <c r="O985" i="2"/>
  <c r="P985" i="2" s="1"/>
  <c r="O986" i="2"/>
  <c r="P986" i="2" s="1"/>
  <c r="O987" i="2"/>
  <c r="P987" i="2" s="1"/>
  <c r="O988" i="2"/>
  <c r="P988" i="2" s="1"/>
  <c r="O989" i="2"/>
  <c r="P989" i="2" s="1"/>
  <c r="O990" i="2"/>
  <c r="P990" i="2" s="1"/>
  <c r="O991" i="2"/>
  <c r="P991" i="2" s="1"/>
  <c r="O992" i="2"/>
  <c r="P992" i="2" s="1"/>
  <c r="O993" i="2"/>
  <c r="P993" i="2" s="1"/>
  <c r="O994" i="2"/>
  <c r="P994" i="2" s="1"/>
  <c r="O995" i="2"/>
  <c r="P995" i="2" s="1"/>
  <c r="O996" i="2"/>
  <c r="P996" i="2" s="1"/>
  <c r="O997" i="2"/>
  <c r="P997" i="2" s="1"/>
  <c r="O998" i="2"/>
  <c r="P998" i="2" s="1"/>
  <c r="O999" i="2"/>
  <c r="P999" i="2" s="1"/>
  <c r="O1000" i="2"/>
  <c r="P1000" i="2" s="1"/>
  <c r="O1001" i="2"/>
  <c r="P1001" i="2" s="1"/>
  <c r="O1002" i="2"/>
  <c r="P1002" i="2" s="1"/>
  <c r="O1003" i="2"/>
  <c r="P1003" i="2" s="1"/>
  <c r="O1004" i="2"/>
  <c r="P1004" i="2" s="1"/>
  <c r="O1005" i="2"/>
  <c r="P1005" i="2" s="1"/>
  <c r="O1006" i="2"/>
  <c r="P1006" i="2" s="1"/>
  <c r="O1007" i="2"/>
  <c r="P1007" i="2" s="1"/>
  <c r="O1008" i="2"/>
  <c r="P1008" i="2" s="1"/>
  <c r="O1009" i="2"/>
  <c r="P1009" i="2" s="1"/>
  <c r="O1010" i="2"/>
  <c r="P1010" i="2" s="1"/>
  <c r="O1011" i="2"/>
  <c r="P1011" i="2" s="1"/>
  <c r="O1012" i="2"/>
  <c r="P1012" i="2" s="1"/>
  <c r="O1013" i="2"/>
  <c r="P1013" i="2" s="1"/>
  <c r="O1014" i="2"/>
  <c r="P1014" i="2" s="1"/>
  <c r="O1015" i="2"/>
  <c r="P1015" i="2" s="1"/>
  <c r="O1016" i="2"/>
  <c r="P1016" i="2" s="1"/>
  <c r="O1017" i="2"/>
  <c r="P1017" i="2" s="1"/>
  <c r="O1018" i="2"/>
  <c r="P1018" i="2" s="1"/>
  <c r="O1019" i="2"/>
  <c r="P1019" i="2" s="1"/>
  <c r="O1020" i="2"/>
  <c r="P1020" i="2" s="1"/>
  <c r="O1021" i="2"/>
  <c r="P1021" i="2" s="1"/>
  <c r="O1022" i="2"/>
  <c r="P1022" i="2" s="1"/>
  <c r="O1023" i="2"/>
  <c r="P1023" i="2" s="1"/>
  <c r="O1024" i="2"/>
  <c r="P1024" i="2" s="1"/>
  <c r="O1025" i="2"/>
  <c r="P1025" i="2" s="1"/>
  <c r="O1026" i="2"/>
  <c r="P1026" i="2" s="1"/>
  <c r="O1027" i="2"/>
  <c r="P1027" i="2" s="1"/>
  <c r="O1028" i="2"/>
  <c r="P1028" i="2" s="1"/>
  <c r="O1029" i="2"/>
  <c r="P1029" i="2" s="1"/>
  <c r="O1030" i="2"/>
  <c r="P1030" i="2" s="1"/>
  <c r="O1031" i="2"/>
  <c r="P1031" i="2" s="1"/>
  <c r="O1032" i="2"/>
  <c r="P1032" i="2" s="1"/>
  <c r="O1033" i="2"/>
  <c r="P1033" i="2" s="1"/>
  <c r="O1034" i="2"/>
  <c r="P1034" i="2" s="1"/>
  <c r="O1035" i="2"/>
  <c r="P1035" i="2" s="1"/>
  <c r="O1036" i="2"/>
  <c r="P1036" i="2" s="1"/>
  <c r="O1037" i="2"/>
  <c r="P1037" i="2" s="1"/>
  <c r="O1038" i="2"/>
  <c r="P1038" i="2" s="1"/>
  <c r="O1039" i="2"/>
  <c r="P1039" i="2" s="1"/>
  <c r="O1040" i="2"/>
  <c r="P1040" i="2" s="1"/>
  <c r="O1041" i="2"/>
  <c r="P1041" i="2" s="1"/>
  <c r="O1042" i="2"/>
  <c r="P1042" i="2" s="1"/>
  <c r="O1043" i="2"/>
  <c r="P1043" i="2" s="1"/>
  <c r="O1044" i="2"/>
  <c r="P1044" i="2" s="1"/>
  <c r="O1045" i="2"/>
  <c r="P1045" i="2" s="1"/>
  <c r="O1046" i="2"/>
  <c r="P1046" i="2" s="1"/>
  <c r="O1047" i="2"/>
  <c r="P1047" i="2" s="1"/>
  <c r="O1048" i="2"/>
  <c r="P1048" i="2" s="1"/>
  <c r="O1049" i="2"/>
  <c r="P1049" i="2" s="1"/>
  <c r="O1050" i="2"/>
  <c r="P1050" i="2" s="1"/>
  <c r="O1051" i="2"/>
  <c r="P1051" i="2" s="1"/>
  <c r="O1052" i="2"/>
  <c r="P1052" i="2" s="1"/>
  <c r="O1053" i="2"/>
  <c r="P1053" i="2" s="1"/>
  <c r="O1054" i="2"/>
  <c r="P1054" i="2" s="1"/>
  <c r="O1055" i="2"/>
  <c r="P1055" i="2" s="1"/>
  <c r="O1056" i="2"/>
  <c r="P1056" i="2" s="1"/>
  <c r="O1057" i="2"/>
  <c r="P1057" i="2" s="1"/>
  <c r="O1058" i="2"/>
  <c r="P1058" i="2" s="1"/>
  <c r="O1059" i="2"/>
  <c r="P1059" i="2" s="1"/>
  <c r="O1060" i="2"/>
  <c r="P1060" i="2" s="1"/>
  <c r="O1061" i="2"/>
  <c r="P1061" i="2" s="1"/>
  <c r="O1062" i="2"/>
  <c r="P1062" i="2" s="1"/>
  <c r="O1063" i="2"/>
  <c r="P1063" i="2" s="1"/>
  <c r="O1064" i="2"/>
  <c r="P1064" i="2" s="1"/>
  <c r="O1065" i="2"/>
  <c r="P1065" i="2" s="1"/>
  <c r="O1066" i="2"/>
  <c r="P1066" i="2" s="1"/>
  <c r="O1067" i="2"/>
  <c r="P1067" i="2" s="1"/>
  <c r="O1068" i="2"/>
  <c r="P1068" i="2" s="1"/>
  <c r="O1069" i="2"/>
  <c r="P1069" i="2" s="1"/>
  <c r="O1070" i="2"/>
  <c r="P1070" i="2" s="1"/>
  <c r="O1071" i="2"/>
  <c r="P1071" i="2" s="1"/>
  <c r="O1072" i="2"/>
  <c r="P1072" i="2" s="1"/>
  <c r="O1073" i="2"/>
  <c r="P1073" i="2" s="1"/>
  <c r="O1074" i="2"/>
  <c r="P1074" i="2" s="1"/>
  <c r="O1075" i="2"/>
  <c r="P1075" i="2" s="1"/>
  <c r="O1076" i="2"/>
  <c r="P1076" i="2" s="1"/>
  <c r="O1077" i="2"/>
  <c r="P1077" i="2" s="1"/>
  <c r="O1078" i="2"/>
  <c r="P1078" i="2" s="1"/>
  <c r="O1079" i="2"/>
  <c r="P1079" i="2" s="1"/>
  <c r="O1080" i="2"/>
  <c r="P1080" i="2" s="1"/>
  <c r="O1081" i="2"/>
  <c r="P1081" i="2" s="1"/>
  <c r="O1082" i="2"/>
  <c r="P1082" i="2" s="1"/>
  <c r="O1083" i="2"/>
  <c r="P1083" i="2" s="1"/>
  <c r="O1084" i="2"/>
  <c r="P1084" i="2" s="1"/>
  <c r="O1085" i="2"/>
  <c r="P1085" i="2" s="1"/>
  <c r="O1086" i="2"/>
  <c r="P1086" i="2" s="1"/>
  <c r="O1087" i="2"/>
  <c r="P1087" i="2" s="1"/>
  <c r="O1088" i="2"/>
  <c r="P1088" i="2" s="1"/>
  <c r="O1089" i="2"/>
  <c r="P1089" i="2" s="1"/>
  <c r="O1090" i="2"/>
  <c r="P1090" i="2" s="1"/>
  <c r="O1091" i="2"/>
  <c r="P1091" i="2" s="1"/>
  <c r="O1092" i="2"/>
  <c r="P1092" i="2" s="1"/>
  <c r="O1093" i="2"/>
  <c r="P1093" i="2" s="1"/>
  <c r="O1094" i="2"/>
  <c r="P1094" i="2" s="1"/>
  <c r="O1095" i="2"/>
  <c r="P1095" i="2" s="1"/>
  <c r="O1096" i="2"/>
  <c r="P1096" i="2" s="1"/>
  <c r="O1097" i="2"/>
  <c r="P1097" i="2" s="1"/>
  <c r="O1098" i="2"/>
  <c r="P1098" i="2" s="1"/>
  <c r="O1099" i="2"/>
  <c r="P1099" i="2" s="1"/>
  <c r="O1100" i="2"/>
  <c r="P1100" i="2" s="1"/>
  <c r="O1101" i="2"/>
  <c r="P1101" i="2" s="1"/>
  <c r="O1102" i="2"/>
  <c r="P1102" i="2" s="1"/>
  <c r="O1103" i="2"/>
  <c r="P1103" i="2" s="1"/>
  <c r="O1104" i="2"/>
  <c r="P1104" i="2" s="1"/>
  <c r="O1105" i="2"/>
  <c r="P1105" i="2" s="1"/>
  <c r="O1106" i="2"/>
  <c r="P1106" i="2" s="1"/>
  <c r="O1107" i="2"/>
  <c r="P1107" i="2" s="1"/>
  <c r="O1108" i="2"/>
  <c r="P1108" i="2" s="1"/>
  <c r="O1109" i="2"/>
  <c r="P1109" i="2" s="1"/>
  <c r="O1110" i="2"/>
  <c r="P1110" i="2" s="1"/>
  <c r="O1111" i="2"/>
  <c r="P1111" i="2" s="1"/>
  <c r="O1112" i="2"/>
  <c r="P1112" i="2" s="1"/>
  <c r="O1113" i="2"/>
  <c r="P1113" i="2" s="1"/>
  <c r="O1114" i="2"/>
  <c r="P1114" i="2" s="1"/>
  <c r="O1115" i="2"/>
  <c r="P1115" i="2" s="1"/>
  <c r="O1116" i="2"/>
  <c r="P1116" i="2" s="1"/>
  <c r="O1117" i="2"/>
  <c r="P1117" i="2" s="1"/>
  <c r="O1118" i="2"/>
  <c r="P1118" i="2" s="1"/>
  <c r="O1119" i="2"/>
  <c r="P1119" i="2" s="1"/>
  <c r="O1120" i="2"/>
  <c r="P1120" i="2" s="1"/>
  <c r="O1121" i="2"/>
  <c r="P1121" i="2" s="1"/>
  <c r="O1122" i="2"/>
  <c r="P1122" i="2" s="1"/>
  <c r="O1123" i="2"/>
  <c r="P1123" i="2" s="1"/>
  <c r="O1124" i="2"/>
  <c r="P1124" i="2" s="1"/>
  <c r="O1125" i="2"/>
  <c r="P1125" i="2" s="1"/>
  <c r="O1126" i="2"/>
  <c r="P1126" i="2" s="1"/>
  <c r="O1127" i="2"/>
  <c r="P1127" i="2" s="1"/>
  <c r="O1128" i="2"/>
  <c r="P1128" i="2" s="1"/>
  <c r="O1129" i="2"/>
  <c r="P1129" i="2" s="1"/>
  <c r="O1130" i="2"/>
  <c r="P1130" i="2" s="1"/>
  <c r="O1131" i="2"/>
  <c r="P1131" i="2" s="1"/>
  <c r="O1132" i="2"/>
  <c r="P1132" i="2" s="1"/>
  <c r="O1133" i="2"/>
  <c r="P1133" i="2" s="1"/>
  <c r="O1134" i="2"/>
  <c r="P1134" i="2" s="1"/>
  <c r="O1135" i="2"/>
  <c r="P1135" i="2" s="1"/>
  <c r="O1136" i="2"/>
  <c r="P1136" i="2" s="1"/>
  <c r="O1137" i="2"/>
  <c r="P1137" i="2" s="1"/>
  <c r="O1138" i="2"/>
  <c r="P1138" i="2" s="1"/>
  <c r="O1139" i="2"/>
  <c r="P1139" i="2" s="1"/>
  <c r="O1140" i="2"/>
  <c r="P1140" i="2" s="1"/>
  <c r="O1141" i="2"/>
  <c r="P1141" i="2" s="1"/>
  <c r="O1142" i="2"/>
  <c r="P1142" i="2" s="1"/>
  <c r="O1143" i="2"/>
  <c r="P1143" i="2" s="1"/>
  <c r="O1144" i="2"/>
  <c r="P1144" i="2" s="1"/>
  <c r="O1145" i="2"/>
  <c r="P1145" i="2" s="1"/>
  <c r="O1146" i="2"/>
  <c r="P1146" i="2" s="1"/>
  <c r="O1147" i="2"/>
  <c r="P1147" i="2" s="1"/>
  <c r="O1148" i="2"/>
  <c r="P1148" i="2" s="1"/>
  <c r="O1149" i="2"/>
  <c r="P1149" i="2" s="1"/>
  <c r="O1150" i="2"/>
  <c r="P1150" i="2" s="1"/>
  <c r="O1151" i="2"/>
  <c r="P1151" i="2" s="1"/>
  <c r="O1152" i="2"/>
  <c r="P1152" i="2" s="1"/>
  <c r="O1153" i="2"/>
  <c r="P1153" i="2" s="1"/>
  <c r="O1154" i="2"/>
  <c r="P1154" i="2" s="1"/>
  <c r="O1155" i="2"/>
  <c r="P1155" i="2" s="1"/>
  <c r="O1156" i="2"/>
  <c r="P1156" i="2" s="1"/>
  <c r="O1157" i="2"/>
  <c r="P1157" i="2" s="1"/>
  <c r="O1158" i="2"/>
  <c r="P1158" i="2" s="1"/>
  <c r="O1159" i="2"/>
  <c r="P1159" i="2" s="1"/>
  <c r="O1160" i="2"/>
  <c r="P1160" i="2" s="1"/>
  <c r="O1161" i="2"/>
  <c r="P1161" i="2" s="1"/>
  <c r="O1162" i="2"/>
  <c r="P1162" i="2" s="1"/>
  <c r="O1163" i="2"/>
  <c r="P1163" i="2" s="1"/>
  <c r="O1164" i="2"/>
  <c r="P1164" i="2" s="1"/>
  <c r="O1165" i="2"/>
  <c r="P1165" i="2" s="1"/>
  <c r="O1166" i="2"/>
  <c r="P1166" i="2" s="1"/>
  <c r="O1167" i="2"/>
  <c r="P1167" i="2" s="1"/>
  <c r="O1168" i="2"/>
  <c r="P1168" i="2" s="1"/>
  <c r="O1169" i="2"/>
  <c r="P1169" i="2" s="1"/>
  <c r="O1170" i="2"/>
  <c r="P1170" i="2" s="1"/>
  <c r="O1171" i="2"/>
  <c r="P1171" i="2" s="1"/>
  <c r="O1172" i="2"/>
  <c r="P1172" i="2" s="1"/>
  <c r="O1173" i="2"/>
  <c r="P1173" i="2" s="1"/>
  <c r="O1174" i="2"/>
  <c r="P1174" i="2" s="1"/>
  <c r="O1175" i="2"/>
  <c r="P1175" i="2" s="1"/>
  <c r="O1176" i="2"/>
  <c r="P1176" i="2" s="1"/>
  <c r="O1177" i="2"/>
  <c r="P1177" i="2" s="1"/>
  <c r="O1178" i="2"/>
  <c r="P1178" i="2" s="1"/>
  <c r="O1179" i="2"/>
  <c r="P1179" i="2" s="1"/>
  <c r="O1180" i="2"/>
  <c r="P1180" i="2" s="1"/>
  <c r="O1181" i="2"/>
  <c r="P1181" i="2" s="1"/>
  <c r="O1182" i="2"/>
  <c r="P1182" i="2" s="1"/>
  <c r="O1183" i="2"/>
  <c r="P1183" i="2" s="1"/>
  <c r="O1184" i="2"/>
  <c r="P1184" i="2" s="1"/>
  <c r="O1185" i="2"/>
  <c r="P1185" i="2" s="1"/>
  <c r="O1186" i="2"/>
  <c r="P1186" i="2" s="1"/>
  <c r="O1187" i="2"/>
  <c r="P1187" i="2" s="1"/>
  <c r="O1188" i="2"/>
  <c r="P1188" i="2" s="1"/>
  <c r="O1189" i="2"/>
  <c r="P1189" i="2" s="1"/>
  <c r="O1190" i="2"/>
  <c r="P1190" i="2" s="1"/>
  <c r="O1191" i="2"/>
  <c r="P1191" i="2" s="1"/>
  <c r="O1192" i="2"/>
  <c r="P1192" i="2" s="1"/>
  <c r="O1193" i="2"/>
  <c r="P1193" i="2" s="1"/>
  <c r="O1194" i="2"/>
  <c r="P1194" i="2" s="1"/>
  <c r="O1195" i="2"/>
  <c r="P1195" i="2" s="1"/>
  <c r="O1196" i="2"/>
  <c r="P1196" i="2" s="1"/>
  <c r="O1197" i="2"/>
  <c r="P1197" i="2" s="1"/>
  <c r="O1198" i="2"/>
  <c r="P1198" i="2" s="1"/>
  <c r="O1199" i="2"/>
  <c r="P1199" i="2" s="1"/>
  <c r="O1200" i="2"/>
  <c r="P1200" i="2" s="1"/>
  <c r="O1201" i="2"/>
  <c r="P1201" i="2" s="1"/>
  <c r="O1202" i="2"/>
  <c r="P1202" i="2" s="1"/>
  <c r="O1203" i="2"/>
  <c r="P1203" i="2" s="1"/>
  <c r="O1204" i="2"/>
  <c r="P1204" i="2" s="1"/>
  <c r="O1205" i="2"/>
  <c r="P1205" i="2" s="1"/>
  <c r="O1206" i="2"/>
  <c r="P1206" i="2" s="1"/>
  <c r="O1207" i="2"/>
  <c r="P1207" i="2" s="1"/>
  <c r="O1208" i="2"/>
  <c r="P1208" i="2" s="1"/>
  <c r="O1209" i="2"/>
  <c r="P1209" i="2" s="1"/>
  <c r="O1210" i="2"/>
  <c r="P1210" i="2" s="1"/>
  <c r="O1211" i="2"/>
  <c r="P1211" i="2" s="1"/>
  <c r="O1212" i="2"/>
  <c r="P1212" i="2" s="1"/>
  <c r="O1213" i="2"/>
  <c r="P1213" i="2" s="1"/>
  <c r="O1214" i="2"/>
  <c r="P1214" i="2" s="1"/>
  <c r="O1215" i="2"/>
  <c r="P1215" i="2" s="1"/>
  <c r="O1216" i="2"/>
  <c r="P1216" i="2" s="1"/>
  <c r="O1217" i="2"/>
  <c r="P1217" i="2" s="1"/>
  <c r="O1218" i="2"/>
  <c r="P1218" i="2" s="1"/>
  <c r="O1219" i="2"/>
  <c r="P1219" i="2" s="1"/>
  <c r="O1220" i="2"/>
  <c r="P1220" i="2" s="1"/>
  <c r="O1221" i="2"/>
  <c r="P1221" i="2" s="1"/>
  <c r="O1222" i="2"/>
  <c r="P1222" i="2" s="1"/>
  <c r="O1223" i="2"/>
  <c r="P1223" i="2" s="1"/>
  <c r="O1224" i="2"/>
  <c r="P1224" i="2" s="1"/>
  <c r="O1225" i="2"/>
  <c r="P1225" i="2" s="1"/>
  <c r="O1226" i="2"/>
  <c r="P1226" i="2" s="1"/>
  <c r="O1227" i="2"/>
  <c r="P1227" i="2" s="1"/>
  <c r="O1228" i="2"/>
  <c r="P1228" i="2" s="1"/>
  <c r="O1229" i="2"/>
  <c r="P1229" i="2" s="1"/>
  <c r="O1230" i="2"/>
  <c r="P1230" i="2" s="1"/>
  <c r="O1231" i="2"/>
  <c r="P1231" i="2" s="1"/>
  <c r="O1232" i="2"/>
  <c r="P1232" i="2" s="1"/>
  <c r="O1233" i="2"/>
  <c r="P1233" i="2" s="1"/>
  <c r="O1234" i="2"/>
  <c r="P1234" i="2" s="1"/>
  <c r="O1235" i="2"/>
  <c r="P1235" i="2" s="1"/>
  <c r="O1236" i="2"/>
  <c r="P1236" i="2" s="1"/>
  <c r="O1237" i="2"/>
  <c r="P1237" i="2" s="1"/>
  <c r="O1238" i="2"/>
  <c r="P1238" i="2" s="1"/>
  <c r="O1239" i="2"/>
  <c r="P1239" i="2" s="1"/>
  <c r="O1240" i="2"/>
  <c r="P1240" i="2" s="1"/>
  <c r="O1241" i="2"/>
  <c r="P1241" i="2" s="1"/>
  <c r="O1242" i="2"/>
  <c r="P1242" i="2" s="1"/>
  <c r="O1243" i="2"/>
  <c r="P1243" i="2" s="1"/>
  <c r="O1244" i="2"/>
  <c r="P1244" i="2" s="1"/>
  <c r="O1245" i="2"/>
  <c r="P1245" i="2" s="1"/>
  <c r="O1246" i="2"/>
  <c r="P1246" i="2" s="1"/>
  <c r="O1247" i="2"/>
  <c r="P1247" i="2" s="1"/>
  <c r="O1248" i="2"/>
  <c r="P1248" i="2" s="1"/>
  <c r="O1249" i="2"/>
  <c r="P1249" i="2" s="1"/>
  <c r="O1250" i="2"/>
  <c r="P1250" i="2" s="1"/>
  <c r="O1251" i="2"/>
  <c r="P1251" i="2" s="1"/>
  <c r="O1252" i="2"/>
  <c r="P1252" i="2" s="1"/>
  <c r="O1253" i="2"/>
  <c r="P1253" i="2" s="1"/>
  <c r="O1254" i="2"/>
  <c r="P1254" i="2" s="1"/>
  <c r="O1255" i="2"/>
  <c r="P1255" i="2" s="1"/>
  <c r="O1256" i="2"/>
  <c r="P1256" i="2" s="1"/>
  <c r="O1257" i="2"/>
  <c r="P1257" i="2" s="1"/>
  <c r="O1258" i="2"/>
  <c r="P1258" i="2" s="1"/>
  <c r="O1259" i="2"/>
  <c r="P1259" i="2" s="1"/>
  <c r="O1260" i="2"/>
  <c r="P1260" i="2" s="1"/>
  <c r="O1261" i="2"/>
  <c r="P1261" i="2" s="1"/>
  <c r="O1262" i="2"/>
  <c r="P1262" i="2" s="1"/>
  <c r="O1263" i="2"/>
  <c r="P1263" i="2" s="1"/>
  <c r="O1264" i="2"/>
  <c r="P1264" i="2" s="1"/>
  <c r="O1265" i="2"/>
  <c r="P1265" i="2" s="1"/>
  <c r="O1266" i="2"/>
  <c r="P1266" i="2" s="1"/>
  <c r="O1267" i="2"/>
  <c r="P1267" i="2" s="1"/>
  <c r="O1268" i="2"/>
  <c r="P1268" i="2" s="1"/>
  <c r="O1269" i="2"/>
  <c r="P1269" i="2" s="1"/>
  <c r="O1270" i="2"/>
  <c r="P1270" i="2" s="1"/>
  <c r="O1271" i="2"/>
  <c r="P1271" i="2" s="1"/>
  <c r="O1272" i="2"/>
  <c r="P1272" i="2" s="1"/>
  <c r="O1273" i="2"/>
  <c r="P1273" i="2" s="1"/>
  <c r="O1274" i="2"/>
  <c r="P1274" i="2" s="1"/>
  <c r="O1275" i="2"/>
  <c r="P1275" i="2" s="1"/>
  <c r="O1276" i="2"/>
  <c r="P1276" i="2" s="1"/>
  <c r="O1277" i="2"/>
  <c r="P1277" i="2" s="1"/>
  <c r="O1278" i="2"/>
  <c r="P1278" i="2" s="1"/>
  <c r="O1279" i="2"/>
  <c r="P1279" i="2" s="1"/>
  <c r="O1280" i="2"/>
  <c r="P1280" i="2" s="1"/>
  <c r="O1281" i="2"/>
  <c r="P1281" i="2" s="1"/>
  <c r="O1282" i="2"/>
  <c r="P1282" i="2" s="1"/>
  <c r="O1283" i="2"/>
  <c r="P1283" i="2" s="1"/>
  <c r="O1284" i="2"/>
  <c r="P1284" i="2" s="1"/>
  <c r="O1285" i="2"/>
  <c r="P1285" i="2" s="1"/>
  <c r="O1286" i="2"/>
  <c r="P1286" i="2" s="1"/>
  <c r="O1287" i="2"/>
  <c r="P1287" i="2" s="1"/>
  <c r="O1288" i="2"/>
  <c r="P1288" i="2" s="1"/>
  <c r="O1289" i="2"/>
  <c r="P1289" i="2" s="1"/>
  <c r="O1290" i="2"/>
  <c r="P1290" i="2" s="1"/>
  <c r="O1291" i="2"/>
  <c r="P1291" i="2" s="1"/>
  <c r="O1292" i="2"/>
  <c r="P1292" i="2" s="1"/>
  <c r="O1293" i="2"/>
  <c r="P1293" i="2" s="1"/>
  <c r="O1294" i="2"/>
  <c r="P1294" i="2" s="1"/>
  <c r="O1295" i="2"/>
  <c r="P1295" i="2" s="1"/>
  <c r="O1296" i="2"/>
  <c r="P1296" i="2" s="1"/>
  <c r="O1297" i="2"/>
  <c r="P1297" i="2" s="1"/>
  <c r="O1298" i="2"/>
  <c r="P1298" i="2" s="1"/>
  <c r="O1299" i="2"/>
  <c r="P1299" i="2" s="1"/>
  <c r="O1300" i="2"/>
  <c r="P1300" i="2" s="1"/>
  <c r="O1301" i="2"/>
  <c r="P1301" i="2" s="1"/>
  <c r="O1302" i="2"/>
  <c r="P1302" i="2" s="1"/>
  <c r="O1303" i="2"/>
  <c r="P1303" i="2" s="1"/>
  <c r="O1304" i="2"/>
  <c r="P1304" i="2" s="1"/>
  <c r="O1305" i="2"/>
  <c r="P1305" i="2" s="1"/>
  <c r="O1306" i="2"/>
  <c r="P1306" i="2" s="1"/>
  <c r="O1307" i="2"/>
  <c r="P1307" i="2" s="1"/>
  <c r="O1308" i="2"/>
  <c r="P1308" i="2" s="1"/>
  <c r="O1309" i="2"/>
  <c r="P1309" i="2" s="1"/>
  <c r="O1310" i="2"/>
  <c r="P1310" i="2" s="1"/>
  <c r="O1311" i="2"/>
  <c r="P1311" i="2" s="1"/>
  <c r="O1312" i="2"/>
  <c r="P1312" i="2" s="1"/>
  <c r="O1313" i="2"/>
  <c r="P1313" i="2" s="1"/>
  <c r="O1314" i="2"/>
  <c r="P1314" i="2" s="1"/>
  <c r="O1315" i="2"/>
  <c r="P1315" i="2" s="1"/>
  <c r="O1316" i="2"/>
  <c r="P1316" i="2" s="1"/>
  <c r="O1317" i="2"/>
  <c r="P1317" i="2" s="1"/>
  <c r="O1318" i="2"/>
  <c r="P1318" i="2" s="1"/>
  <c r="O1319" i="2"/>
  <c r="P1319" i="2" s="1"/>
  <c r="O1320" i="2"/>
  <c r="P1320" i="2" s="1"/>
  <c r="O1321" i="2"/>
  <c r="P1321" i="2" s="1"/>
  <c r="O1322" i="2"/>
  <c r="P1322" i="2" s="1"/>
  <c r="O1323" i="2"/>
  <c r="P1323" i="2" s="1"/>
  <c r="O1324" i="2"/>
  <c r="P1324" i="2" s="1"/>
  <c r="O1325" i="2"/>
  <c r="P1325" i="2" s="1"/>
  <c r="O1326" i="2"/>
  <c r="P1326" i="2" s="1"/>
  <c r="O1327" i="2"/>
  <c r="P1327" i="2" s="1"/>
  <c r="O1328" i="2"/>
  <c r="P1328" i="2" s="1"/>
  <c r="O1329" i="2"/>
  <c r="P1329" i="2" s="1"/>
  <c r="O1330" i="2"/>
  <c r="P1330" i="2" s="1"/>
  <c r="O1331" i="2"/>
  <c r="P1331" i="2" s="1"/>
  <c r="O1332" i="2"/>
  <c r="P1332" i="2" s="1"/>
  <c r="O1333" i="2"/>
  <c r="P1333" i="2" s="1"/>
  <c r="O1334" i="2"/>
  <c r="P1334" i="2" s="1"/>
  <c r="O1335" i="2"/>
  <c r="P1335" i="2" s="1"/>
  <c r="O1336" i="2"/>
  <c r="P1336" i="2" s="1"/>
  <c r="O1337" i="2"/>
  <c r="P1337" i="2" s="1"/>
  <c r="O1338" i="2"/>
  <c r="P1338" i="2" s="1"/>
  <c r="O1339" i="2"/>
  <c r="P1339" i="2" s="1"/>
  <c r="O1340" i="2"/>
  <c r="P1340" i="2" s="1"/>
  <c r="O1341" i="2"/>
  <c r="P1341" i="2" s="1"/>
  <c r="O1342" i="2"/>
  <c r="P1342" i="2" s="1"/>
  <c r="O1343" i="2"/>
  <c r="P1343" i="2" s="1"/>
  <c r="O1344" i="2"/>
  <c r="P1344" i="2" s="1"/>
  <c r="O1345" i="2"/>
  <c r="P1345" i="2" s="1"/>
  <c r="O1346" i="2"/>
  <c r="P1346" i="2" s="1"/>
  <c r="O1347" i="2"/>
  <c r="P1347" i="2" s="1"/>
  <c r="O1348" i="2"/>
  <c r="P1348" i="2" s="1"/>
  <c r="O1349" i="2"/>
  <c r="P1349" i="2" s="1"/>
  <c r="O1350" i="2"/>
  <c r="P1350" i="2" s="1"/>
  <c r="O1351" i="2"/>
  <c r="P1351" i="2" s="1"/>
  <c r="O1352" i="2"/>
  <c r="P1352" i="2" s="1"/>
  <c r="O1353" i="2"/>
  <c r="P1353" i="2" s="1"/>
  <c r="O1354" i="2"/>
  <c r="P1354" i="2" s="1"/>
  <c r="O1355" i="2"/>
  <c r="P1355" i="2" s="1"/>
  <c r="O1356" i="2"/>
  <c r="P1356" i="2" s="1"/>
  <c r="O1357" i="2"/>
  <c r="P1357" i="2" s="1"/>
  <c r="O1358" i="2"/>
  <c r="P1358" i="2" s="1"/>
  <c r="O1359" i="2"/>
  <c r="P1359" i="2" s="1"/>
  <c r="O1360" i="2"/>
  <c r="P1360" i="2" s="1"/>
  <c r="O1361" i="2"/>
  <c r="P1361" i="2" s="1"/>
  <c r="O1362" i="2"/>
  <c r="P1362" i="2" s="1"/>
  <c r="O1363" i="2"/>
  <c r="P1363" i="2" s="1"/>
  <c r="O1364" i="2"/>
  <c r="P1364" i="2" s="1"/>
  <c r="O1365" i="2"/>
  <c r="P1365" i="2" s="1"/>
  <c r="O1366" i="2"/>
  <c r="P1366" i="2" s="1"/>
  <c r="O1367" i="2"/>
  <c r="P1367" i="2" s="1"/>
  <c r="O1368" i="2"/>
  <c r="P1368" i="2" s="1"/>
  <c r="O1369" i="2"/>
  <c r="P1369" i="2" s="1"/>
  <c r="O1370" i="2"/>
  <c r="P1370" i="2" s="1"/>
  <c r="O1371" i="2"/>
  <c r="P1371" i="2" s="1"/>
  <c r="O1372" i="2"/>
  <c r="P1372" i="2" s="1"/>
  <c r="O1373" i="2"/>
  <c r="P1373" i="2" s="1"/>
  <c r="O1374" i="2"/>
  <c r="P1374" i="2" s="1"/>
  <c r="O1375" i="2"/>
  <c r="P1375" i="2" s="1"/>
  <c r="O1376" i="2"/>
  <c r="P1376" i="2" s="1"/>
  <c r="O1377" i="2"/>
  <c r="P1377" i="2" s="1"/>
  <c r="O1378" i="2"/>
  <c r="P1378" i="2" s="1"/>
  <c r="O1379" i="2"/>
  <c r="P1379" i="2" s="1"/>
  <c r="O1380" i="2"/>
  <c r="P1380" i="2" s="1"/>
  <c r="O1381" i="2"/>
  <c r="P1381" i="2" s="1"/>
  <c r="O1382" i="2"/>
  <c r="P1382" i="2" s="1"/>
  <c r="O1383" i="2"/>
  <c r="P1383" i="2" s="1"/>
  <c r="O1384" i="2"/>
  <c r="P1384" i="2" s="1"/>
  <c r="O1385" i="2"/>
  <c r="P1385" i="2" s="1"/>
  <c r="O1386" i="2"/>
  <c r="P1386" i="2" s="1"/>
  <c r="O1387" i="2"/>
  <c r="P1387" i="2" s="1"/>
  <c r="O1388" i="2"/>
  <c r="P1388" i="2" s="1"/>
  <c r="O1389" i="2"/>
  <c r="P1389" i="2" s="1"/>
  <c r="O1390" i="2"/>
  <c r="P1390" i="2" s="1"/>
  <c r="O1391" i="2"/>
  <c r="P1391" i="2" s="1"/>
  <c r="O1392" i="2"/>
  <c r="P1392" i="2" s="1"/>
  <c r="O1393" i="2"/>
  <c r="P1393" i="2" s="1"/>
  <c r="O1394" i="2"/>
  <c r="P1394" i="2" s="1"/>
  <c r="O1395" i="2"/>
  <c r="P1395" i="2" s="1"/>
  <c r="O1396" i="2"/>
  <c r="P1396" i="2" s="1"/>
  <c r="O1397" i="2"/>
  <c r="P1397" i="2" s="1"/>
  <c r="O1398" i="2"/>
  <c r="P1398" i="2" s="1"/>
  <c r="O1399" i="2"/>
  <c r="P1399" i="2" s="1"/>
  <c r="O1400" i="2"/>
  <c r="P1400" i="2" s="1"/>
  <c r="O1401" i="2"/>
  <c r="P1401" i="2" s="1"/>
  <c r="O1402" i="2"/>
  <c r="P1402" i="2" s="1"/>
  <c r="O1403" i="2"/>
  <c r="P1403" i="2" s="1"/>
  <c r="O1404" i="2"/>
  <c r="P1404" i="2" s="1"/>
  <c r="O1405" i="2"/>
  <c r="P1405" i="2" s="1"/>
  <c r="O1406" i="2"/>
  <c r="P1406" i="2" s="1"/>
  <c r="O1407" i="2"/>
  <c r="P1407" i="2" s="1"/>
  <c r="O1408" i="2"/>
  <c r="P1408" i="2" s="1"/>
  <c r="O1409" i="2"/>
  <c r="P1409" i="2" s="1"/>
  <c r="O1410" i="2"/>
  <c r="P1410" i="2" s="1"/>
  <c r="O1411" i="2"/>
  <c r="P1411" i="2" s="1"/>
  <c r="O1412" i="2"/>
  <c r="P1412" i="2" s="1"/>
  <c r="O1413" i="2"/>
  <c r="P1413" i="2" s="1"/>
  <c r="O1414" i="2"/>
  <c r="P1414" i="2" s="1"/>
  <c r="O1415" i="2"/>
  <c r="P1415" i="2" s="1"/>
  <c r="O1416" i="2"/>
  <c r="P1416" i="2" s="1"/>
  <c r="O1417" i="2"/>
  <c r="P1417" i="2" s="1"/>
  <c r="O1418" i="2"/>
  <c r="P1418" i="2" s="1"/>
  <c r="O1419" i="2"/>
  <c r="P1419" i="2" s="1"/>
  <c r="O1420" i="2"/>
  <c r="P1420" i="2" s="1"/>
  <c r="O1421" i="2"/>
  <c r="P1421" i="2" s="1"/>
  <c r="O1422" i="2"/>
  <c r="P1422" i="2" s="1"/>
  <c r="O1423" i="2"/>
  <c r="P1423" i="2" s="1"/>
  <c r="O1424" i="2"/>
  <c r="P1424" i="2" s="1"/>
  <c r="O1425" i="2"/>
  <c r="P1425" i="2" s="1"/>
  <c r="O1426" i="2"/>
  <c r="P1426" i="2" s="1"/>
  <c r="O1427" i="2"/>
  <c r="P1427" i="2" s="1"/>
  <c r="O1428" i="2"/>
  <c r="P1428" i="2" s="1"/>
  <c r="O1429" i="2"/>
  <c r="P1429" i="2" s="1"/>
  <c r="O1430" i="2"/>
  <c r="P1430" i="2" s="1"/>
  <c r="O1431" i="2"/>
  <c r="P1431" i="2" s="1"/>
  <c r="O1432" i="2"/>
  <c r="P1432" i="2" s="1"/>
  <c r="O1433" i="2"/>
  <c r="P1433" i="2" s="1"/>
  <c r="O1434" i="2"/>
  <c r="P1434" i="2" s="1"/>
  <c r="O1435" i="2"/>
  <c r="P1435" i="2" s="1"/>
  <c r="O1436" i="2"/>
  <c r="P1436" i="2" s="1"/>
  <c r="O1437" i="2"/>
  <c r="P1437" i="2" s="1"/>
  <c r="O1438" i="2"/>
  <c r="P1438" i="2" s="1"/>
  <c r="O1439" i="2"/>
  <c r="P1439" i="2" s="1"/>
  <c r="O1440" i="2"/>
  <c r="P1440" i="2" s="1"/>
  <c r="O1441" i="2"/>
  <c r="P1441" i="2" s="1"/>
  <c r="O1442" i="2"/>
  <c r="P1442" i="2" s="1"/>
  <c r="O1443" i="2"/>
  <c r="P1443" i="2" s="1"/>
  <c r="O1444" i="2"/>
  <c r="P1444" i="2" s="1"/>
  <c r="O1445" i="2"/>
  <c r="P1445" i="2" s="1"/>
  <c r="O1446" i="2"/>
  <c r="P1446" i="2" s="1"/>
  <c r="O1447" i="2"/>
  <c r="P1447" i="2" s="1"/>
  <c r="O1448" i="2"/>
  <c r="P1448" i="2" s="1"/>
  <c r="O1449" i="2"/>
  <c r="P1449" i="2" s="1"/>
  <c r="O1450" i="2"/>
  <c r="P1450" i="2" s="1"/>
  <c r="O1451" i="2"/>
  <c r="P1451" i="2" s="1"/>
  <c r="O1452" i="2"/>
  <c r="P1452" i="2" s="1"/>
  <c r="O1453" i="2"/>
  <c r="P1453" i="2" s="1"/>
  <c r="O1454" i="2"/>
  <c r="P1454" i="2" s="1"/>
  <c r="O1455" i="2"/>
  <c r="P1455" i="2" s="1"/>
  <c r="O1456" i="2"/>
  <c r="P1456" i="2" s="1"/>
  <c r="O1457" i="2"/>
  <c r="P1457" i="2" s="1"/>
  <c r="O1458" i="2"/>
  <c r="P1458" i="2" s="1"/>
  <c r="O1459" i="2"/>
  <c r="P1459" i="2" s="1"/>
  <c r="O1460" i="2"/>
  <c r="P1460" i="2" s="1"/>
  <c r="O1461" i="2"/>
  <c r="P1461" i="2" s="1"/>
  <c r="O1462" i="2"/>
  <c r="P1462" i="2" s="1"/>
  <c r="O1463" i="2"/>
  <c r="P1463" i="2" s="1"/>
  <c r="O1464" i="2"/>
  <c r="P1464" i="2" s="1"/>
  <c r="O1465" i="2"/>
  <c r="P1465" i="2" s="1"/>
  <c r="O1466" i="2"/>
  <c r="P1466" i="2" s="1"/>
  <c r="O1467" i="2"/>
  <c r="P1467" i="2" s="1"/>
  <c r="O1468" i="2"/>
  <c r="P1468" i="2" s="1"/>
  <c r="O1469" i="2"/>
  <c r="P1469" i="2" s="1"/>
  <c r="O1470" i="2"/>
  <c r="P1470" i="2" s="1"/>
  <c r="O1471" i="2"/>
  <c r="P1471" i="2" s="1"/>
  <c r="O1472" i="2"/>
  <c r="P1472" i="2" s="1"/>
  <c r="O1473" i="2"/>
  <c r="P1473" i="2" s="1"/>
  <c r="O1474" i="2"/>
  <c r="P1474" i="2" s="1"/>
  <c r="O1475" i="2"/>
  <c r="P1475" i="2" s="1"/>
  <c r="O1476" i="2"/>
  <c r="P1476" i="2" s="1"/>
  <c r="O1477" i="2"/>
  <c r="P1477" i="2" s="1"/>
  <c r="O1478" i="2"/>
  <c r="P1478" i="2" s="1"/>
  <c r="O1479" i="2"/>
  <c r="P1479" i="2" s="1"/>
  <c r="O1480" i="2"/>
  <c r="P1480" i="2" s="1"/>
  <c r="O1481" i="2"/>
  <c r="P1481" i="2" s="1"/>
  <c r="O1482" i="2"/>
  <c r="P1482" i="2" s="1"/>
  <c r="O1483" i="2"/>
  <c r="P1483" i="2" s="1"/>
  <c r="O1484" i="2"/>
  <c r="P1484" i="2" s="1"/>
  <c r="O1485" i="2"/>
  <c r="P1485" i="2" s="1"/>
  <c r="O1486" i="2"/>
  <c r="P1486" i="2" s="1"/>
  <c r="O1487" i="2"/>
  <c r="P1487" i="2" s="1"/>
  <c r="O1488" i="2"/>
  <c r="P1488" i="2" s="1"/>
  <c r="O1489" i="2"/>
  <c r="P1489" i="2" s="1"/>
  <c r="O1490" i="2"/>
  <c r="P1490" i="2" s="1"/>
  <c r="O1491" i="2"/>
  <c r="P1491" i="2" s="1"/>
  <c r="O1492" i="2"/>
  <c r="P1492" i="2" s="1"/>
  <c r="O1493" i="2"/>
  <c r="P1493" i="2" s="1"/>
  <c r="O1494" i="2"/>
  <c r="P1494" i="2" s="1"/>
  <c r="O1495" i="2"/>
  <c r="P1495" i="2" s="1"/>
  <c r="O1496" i="2"/>
  <c r="P1496" i="2" s="1"/>
  <c r="O1497" i="2"/>
  <c r="P1497" i="2" s="1"/>
  <c r="O1498" i="2"/>
  <c r="P1498" i="2" s="1"/>
  <c r="O1499" i="2"/>
  <c r="P1499" i="2" s="1"/>
  <c r="O1500" i="2"/>
  <c r="P1500" i="2" s="1"/>
  <c r="O1501" i="2"/>
  <c r="P1501" i="2" s="1"/>
  <c r="O1502" i="2"/>
  <c r="P1502" i="2" s="1"/>
  <c r="O1503" i="2"/>
  <c r="P1503" i="2" s="1"/>
  <c r="O1504" i="2"/>
  <c r="P1504" i="2" s="1"/>
  <c r="O1505" i="2"/>
  <c r="P1505" i="2" s="1"/>
  <c r="O1506" i="2"/>
  <c r="P1506" i="2" s="1"/>
  <c r="O1507" i="2"/>
  <c r="P1507" i="2" s="1"/>
  <c r="O1508" i="2"/>
  <c r="P1508" i="2" s="1"/>
  <c r="O1509" i="2"/>
  <c r="P1509" i="2" s="1"/>
  <c r="O1510" i="2"/>
  <c r="P1510" i="2" s="1"/>
  <c r="O1511" i="2"/>
  <c r="P1511" i="2" s="1"/>
  <c r="O1512" i="2"/>
  <c r="P1512" i="2" s="1"/>
  <c r="O1513" i="2"/>
  <c r="P1513" i="2" s="1"/>
  <c r="O1514" i="2"/>
  <c r="P1514" i="2" s="1"/>
  <c r="O1515" i="2"/>
  <c r="P1515" i="2" s="1"/>
  <c r="O1516" i="2"/>
  <c r="P1516" i="2" s="1"/>
  <c r="O1517" i="2"/>
  <c r="P1517" i="2" s="1"/>
  <c r="O1518" i="2"/>
  <c r="P1518" i="2" s="1"/>
  <c r="O1519" i="2"/>
  <c r="P1519" i="2" s="1"/>
  <c r="O1520" i="2"/>
  <c r="P1520" i="2" s="1"/>
  <c r="O1521" i="2"/>
  <c r="P1521" i="2" s="1"/>
  <c r="O1522" i="2"/>
  <c r="P1522" i="2" s="1"/>
  <c r="O1523" i="2"/>
  <c r="P1523" i="2" s="1"/>
  <c r="O1524" i="2"/>
  <c r="P1524" i="2" s="1"/>
  <c r="O1525" i="2"/>
  <c r="P1525" i="2" s="1"/>
  <c r="O1526" i="2"/>
  <c r="P1526" i="2" s="1"/>
  <c r="O1527" i="2"/>
  <c r="P1527" i="2" s="1"/>
  <c r="O1528" i="2"/>
  <c r="P1528" i="2" s="1"/>
  <c r="O1529" i="2"/>
  <c r="P1529" i="2" s="1"/>
  <c r="O1530" i="2"/>
  <c r="P1530" i="2" s="1"/>
  <c r="O1531" i="2"/>
  <c r="P1531" i="2" s="1"/>
  <c r="O1532" i="2"/>
  <c r="P1532" i="2" s="1"/>
  <c r="O1533" i="2"/>
  <c r="P1533" i="2" s="1"/>
  <c r="O1534" i="2"/>
  <c r="P1534" i="2" s="1"/>
  <c r="O1535" i="2"/>
  <c r="P1535" i="2" s="1"/>
  <c r="O1536" i="2"/>
  <c r="P1536" i="2" s="1"/>
  <c r="O1537" i="2"/>
  <c r="P1537" i="2" s="1"/>
  <c r="O1538" i="2"/>
  <c r="P1538" i="2" s="1"/>
  <c r="O1539" i="2"/>
  <c r="P1539" i="2" s="1"/>
  <c r="O1540" i="2"/>
  <c r="P1540" i="2" s="1"/>
  <c r="O1541" i="2"/>
  <c r="P1541" i="2" s="1"/>
  <c r="O1542" i="2"/>
  <c r="P1542" i="2" s="1"/>
  <c r="O1543" i="2"/>
  <c r="P1543" i="2" s="1"/>
  <c r="O1544" i="2"/>
  <c r="P1544" i="2" s="1"/>
  <c r="O1545" i="2"/>
  <c r="P1545" i="2" s="1"/>
  <c r="O1546" i="2"/>
  <c r="P1546" i="2" s="1"/>
  <c r="O1547" i="2"/>
  <c r="P1547" i="2" s="1"/>
  <c r="O1548" i="2"/>
  <c r="P1548" i="2" s="1"/>
  <c r="O1549" i="2"/>
  <c r="P1549" i="2" s="1"/>
  <c r="O1550" i="2"/>
  <c r="P1550" i="2" s="1"/>
  <c r="O1551" i="2"/>
  <c r="P1551" i="2" s="1"/>
  <c r="O1552" i="2"/>
  <c r="P1552" i="2" s="1"/>
  <c r="O1553" i="2"/>
  <c r="P1553" i="2" s="1"/>
  <c r="O1554" i="2"/>
  <c r="P1554" i="2" s="1"/>
  <c r="O1555" i="2"/>
  <c r="P1555" i="2" s="1"/>
  <c r="O1556" i="2"/>
  <c r="P1556" i="2" s="1"/>
  <c r="O1557" i="2"/>
  <c r="P1557" i="2" s="1"/>
  <c r="O1558" i="2"/>
  <c r="P1558" i="2" s="1"/>
  <c r="O1559" i="2"/>
  <c r="P1559" i="2" s="1"/>
  <c r="O1560" i="2"/>
  <c r="P1560" i="2" s="1"/>
  <c r="O1561" i="2"/>
  <c r="P1561" i="2" s="1"/>
  <c r="O1562" i="2"/>
  <c r="P1562" i="2" s="1"/>
  <c r="O1563" i="2"/>
  <c r="P1563" i="2" s="1"/>
  <c r="O1564" i="2"/>
  <c r="P1564" i="2" s="1"/>
  <c r="O1565" i="2"/>
  <c r="P1565" i="2" s="1"/>
  <c r="O1566" i="2"/>
  <c r="P1566" i="2" s="1"/>
  <c r="O1567" i="2"/>
  <c r="P1567" i="2" s="1"/>
  <c r="O1568" i="2"/>
  <c r="P1568" i="2" s="1"/>
  <c r="O1569" i="2"/>
  <c r="P1569" i="2" s="1"/>
  <c r="O1570" i="2"/>
  <c r="P1570" i="2" s="1"/>
  <c r="O1571" i="2"/>
  <c r="P1571" i="2" s="1"/>
  <c r="O1572" i="2"/>
  <c r="P1572" i="2" s="1"/>
  <c r="O1573" i="2"/>
  <c r="P1573" i="2" s="1"/>
  <c r="O1574" i="2"/>
  <c r="P1574" i="2" s="1"/>
  <c r="O1575" i="2"/>
  <c r="P1575" i="2" s="1"/>
  <c r="O1576" i="2"/>
  <c r="P1576" i="2" s="1"/>
  <c r="O1577" i="2"/>
  <c r="P1577" i="2" s="1"/>
  <c r="O1578" i="2"/>
  <c r="P1578" i="2" s="1"/>
  <c r="O1579" i="2"/>
  <c r="P1579" i="2" s="1"/>
  <c r="O1580" i="2"/>
  <c r="P1580" i="2" s="1"/>
  <c r="O1581" i="2"/>
  <c r="P1581" i="2" s="1"/>
  <c r="O1582" i="2"/>
  <c r="P1582" i="2" s="1"/>
  <c r="O1583" i="2"/>
  <c r="P1583" i="2" s="1"/>
  <c r="O1584" i="2"/>
  <c r="P1584" i="2" s="1"/>
  <c r="O1585" i="2"/>
  <c r="P1585" i="2" s="1"/>
  <c r="O1586" i="2"/>
  <c r="P1586" i="2" s="1"/>
  <c r="O1587" i="2"/>
  <c r="P1587" i="2" s="1"/>
  <c r="O1588" i="2"/>
  <c r="P1588" i="2" s="1"/>
  <c r="O1589" i="2"/>
  <c r="P1589" i="2" s="1"/>
  <c r="O1590" i="2"/>
  <c r="P1590" i="2" s="1"/>
  <c r="O1591" i="2"/>
  <c r="P1591" i="2" s="1"/>
  <c r="O1592" i="2"/>
  <c r="P1592" i="2" s="1"/>
  <c r="O1593" i="2"/>
  <c r="P1593" i="2" s="1"/>
  <c r="O1594" i="2"/>
  <c r="P1594" i="2" s="1"/>
  <c r="O1595" i="2"/>
  <c r="P1595" i="2" s="1"/>
  <c r="O1596" i="2"/>
  <c r="P1596" i="2" s="1"/>
  <c r="O1597" i="2"/>
  <c r="P1597" i="2" s="1"/>
  <c r="O1598" i="2"/>
  <c r="P1598" i="2" s="1"/>
  <c r="O1599" i="2"/>
  <c r="P1599" i="2" s="1"/>
  <c r="O1600" i="2"/>
  <c r="P1600" i="2" s="1"/>
  <c r="O1601" i="2"/>
  <c r="P1601" i="2" s="1"/>
  <c r="O1602" i="2"/>
  <c r="P1602" i="2" s="1"/>
  <c r="O1603" i="2"/>
  <c r="P1603" i="2" s="1"/>
  <c r="O1604" i="2"/>
  <c r="P1604" i="2" s="1"/>
  <c r="O1605" i="2"/>
  <c r="P1605" i="2" s="1"/>
  <c r="O1606" i="2"/>
  <c r="P1606" i="2" s="1"/>
  <c r="O1607" i="2"/>
  <c r="P1607" i="2" s="1"/>
  <c r="O1608" i="2"/>
  <c r="P1608" i="2" s="1"/>
  <c r="O1609" i="2"/>
  <c r="P1609" i="2" s="1"/>
  <c r="O1610" i="2"/>
  <c r="P1610" i="2" s="1"/>
  <c r="O1611" i="2"/>
  <c r="P1611" i="2" s="1"/>
  <c r="O1612" i="2"/>
  <c r="P1612" i="2" s="1"/>
  <c r="O1613" i="2"/>
  <c r="P1613" i="2" s="1"/>
  <c r="O1614" i="2"/>
  <c r="P1614" i="2" s="1"/>
  <c r="O1615" i="2"/>
  <c r="P1615" i="2" s="1"/>
  <c r="O1616" i="2"/>
  <c r="P1616" i="2" s="1"/>
  <c r="O1617" i="2"/>
  <c r="P1617" i="2" s="1"/>
  <c r="O1618" i="2"/>
  <c r="P1618" i="2" s="1"/>
  <c r="O1619" i="2"/>
  <c r="P1619" i="2" s="1"/>
  <c r="O1620" i="2"/>
  <c r="P1620" i="2" s="1"/>
  <c r="O1621" i="2"/>
  <c r="P1621" i="2" s="1"/>
  <c r="O1622" i="2"/>
  <c r="P1622" i="2" s="1"/>
  <c r="O1623" i="2"/>
  <c r="P1623" i="2" s="1"/>
  <c r="O1624" i="2"/>
  <c r="P1624" i="2" s="1"/>
  <c r="O1625" i="2"/>
  <c r="P1625" i="2" s="1"/>
  <c r="O1626" i="2"/>
  <c r="P1626" i="2" s="1"/>
  <c r="O1627" i="2"/>
  <c r="P1627" i="2" s="1"/>
  <c r="O1628" i="2"/>
  <c r="P1628" i="2" s="1"/>
  <c r="O1629" i="2"/>
  <c r="P1629" i="2" s="1"/>
  <c r="O1630" i="2"/>
  <c r="P1630" i="2" s="1"/>
  <c r="O1631" i="2"/>
  <c r="P1631" i="2" s="1"/>
  <c r="O1632" i="2"/>
  <c r="P1632" i="2" s="1"/>
  <c r="O1633" i="2"/>
  <c r="P1633" i="2" s="1"/>
  <c r="O1634" i="2"/>
  <c r="P1634" i="2" s="1"/>
  <c r="O1635" i="2"/>
  <c r="P1635" i="2" s="1"/>
  <c r="O1636" i="2"/>
  <c r="P1636" i="2" s="1"/>
  <c r="O1637" i="2"/>
  <c r="P1637" i="2" s="1"/>
  <c r="O1638" i="2"/>
  <c r="P1638" i="2" s="1"/>
  <c r="O1639" i="2"/>
  <c r="P1639" i="2" s="1"/>
  <c r="O1640" i="2"/>
  <c r="P1640" i="2" s="1"/>
  <c r="O1641" i="2"/>
  <c r="P1641" i="2" s="1"/>
  <c r="O1642" i="2"/>
  <c r="P1642" i="2" s="1"/>
  <c r="O1643" i="2"/>
  <c r="P1643" i="2" s="1"/>
  <c r="O1644" i="2"/>
  <c r="P1644" i="2" s="1"/>
  <c r="O1645" i="2"/>
  <c r="P1645" i="2" s="1"/>
  <c r="O1646" i="2"/>
  <c r="P1646" i="2" s="1"/>
  <c r="O1647" i="2"/>
  <c r="P1647" i="2" s="1"/>
  <c r="O1648" i="2"/>
  <c r="P1648" i="2" s="1"/>
  <c r="O1649" i="2"/>
  <c r="P1649" i="2" s="1"/>
  <c r="O1650" i="2"/>
  <c r="P1650" i="2" s="1"/>
  <c r="O1651" i="2"/>
  <c r="P1651" i="2" s="1"/>
  <c r="O1652" i="2"/>
  <c r="P1652" i="2" s="1"/>
  <c r="O1653" i="2"/>
  <c r="P1653" i="2" s="1"/>
  <c r="O1654" i="2"/>
  <c r="P1654" i="2" s="1"/>
  <c r="O1655" i="2"/>
  <c r="P1655" i="2" s="1"/>
  <c r="O1656" i="2"/>
  <c r="P1656" i="2" s="1"/>
  <c r="O1657" i="2"/>
  <c r="P1657" i="2" s="1"/>
  <c r="O1658" i="2"/>
  <c r="P1658" i="2" s="1"/>
  <c r="O1659" i="2"/>
  <c r="P1659" i="2" s="1"/>
  <c r="O1660" i="2"/>
  <c r="P1660" i="2" s="1"/>
  <c r="O1661" i="2"/>
  <c r="P1661" i="2" s="1"/>
  <c r="O1662" i="2"/>
  <c r="P1662" i="2" s="1"/>
  <c r="O1663" i="2"/>
  <c r="P1663" i="2" s="1"/>
  <c r="O1664" i="2"/>
  <c r="P1664" i="2" s="1"/>
  <c r="O1665" i="2"/>
  <c r="P1665" i="2" s="1"/>
  <c r="O1666" i="2"/>
  <c r="P1666" i="2" s="1"/>
  <c r="O1667" i="2"/>
  <c r="P1667" i="2" s="1"/>
  <c r="O1668" i="2"/>
  <c r="P1668" i="2" s="1"/>
  <c r="O1669" i="2"/>
  <c r="P1669" i="2" s="1"/>
  <c r="O1670" i="2"/>
  <c r="P1670" i="2" s="1"/>
  <c r="O1671" i="2"/>
  <c r="P1671" i="2" s="1"/>
  <c r="O1672" i="2"/>
  <c r="P1672" i="2" s="1"/>
  <c r="O1673" i="2"/>
  <c r="P1673" i="2" s="1"/>
  <c r="O1674" i="2"/>
  <c r="P1674" i="2" s="1"/>
  <c r="O1675" i="2"/>
  <c r="P1675" i="2" s="1"/>
  <c r="O1676" i="2"/>
  <c r="P1676" i="2" s="1"/>
  <c r="O1677" i="2"/>
  <c r="P1677" i="2" s="1"/>
  <c r="O1678" i="2"/>
  <c r="P1678" i="2" s="1"/>
  <c r="O1679" i="2"/>
  <c r="P1679" i="2" s="1"/>
  <c r="O1680" i="2"/>
  <c r="P1680" i="2" s="1"/>
  <c r="O1681" i="2"/>
  <c r="P1681" i="2" s="1"/>
  <c r="O1682" i="2"/>
  <c r="P1682" i="2" s="1"/>
  <c r="O1683" i="2"/>
  <c r="P1683" i="2" s="1"/>
  <c r="O1684" i="2"/>
  <c r="P1684" i="2" s="1"/>
  <c r="O1685" i="2"/>
  <c r="P1685" i="2" s="1"/>
  <c r="O1686" i="2"/>
  <c r="P1686" i="2" s="1"/>
  <c r="O1687" i="2"/>
  <c r="P1687" i="2" s="1"/>
  <c r="O1688" i="2"/>
  <c r="P1688" i="2" s="1"/>
  <c r="O1689" i="2"/>
  <c r="P1689" i="2" s="1"/>
  <c r="O1690" i="2"/>
  <c r="P1690" i="2" s="1"/>
  <c r="O1691" i="2"/>
  <c r="P1691" i="2" s="1"/>
  <c r="O1692" i="2"/>
  <c r="P1692" i="2" s="1"/>
  <c r="O1693" i="2"/>
  <c r="P1693" i="2" s="1"/>
  <c r="O1694" i="2"/>
  <c r="P1694" i="2" s="1"/>
  <c r="O1695" i="2"/>
  <c r="P1695" i="2" s="1"/>
  <c r="O1696" i="2"/>
  <c r="P1696" i="2" s="1"/>
  <c r="O1697" i="2"/>
  <c r="P1697" i="2" s="1"/>
  <c r="O1698" i="2"/>
  <c r="P1698" i="2" s="1"/>
  <c r="O1699" i="2"/>
  <c r="P1699" i="2" s="1"/>
  <c r="O1700" i="2"/>
  <c r="P1700" i="2" s="1"/>
  <c r="O1701" i="2"/>
  <c r="P1701" i="2" s="1"/>
  <c r="O1702" i="2"/>
  <c r="P1702" i="2" s="1"/>
  <c r="O1703" i="2"/>
  <c r="P1703" i="2" s="1"/>
  <c r="O1704" i="2"/>
  <c r="P1704" i="2" s="1"/>
  <c r="O1705" i="2"/>
  <c r="P1705" i="2" s="1"/>
  <c r="O1706" i="2"/>
  <c r="P1706" i="2" s="1"/>
  <c r="O1707" i="2"/>
  <c r="P1707" i="2" s="1"/>
  <c r="O1708" i="2"/>
  <c r="P1708" i="2" s="1"/>
  <c r="O1709" i="2"/>
  <c r="P1709" i="2" s="1"/>
  <c r="O1710" i="2"/>
  <c r="P1710" i="2" s="1"/>
  <c r="O1711" i="2"/>
  <c r="P1711" i="2" s="1"/>
  <c r="O1712" i="2"/>
  <c r="P1712" i="2" s="1"/>
  <c r="O1713" i="2"/>
  <c r="P1713" i="2" s="1"/>
  <c r="O1714" i="2"/>
  <c r="P1714" i="2" s="1"/>
  <c r="O1715" i="2"/>
  <c r="P1715" i="2" s="1"/>
  <c r="O1716" i="2"/>
  <c r="P1716" i="2" s="1"/>
  <c r="O1717" i="2"/>
  <c r="P1717" i="2" s="1"/>
  <c r="O1718" i="2"/>
  <c r="P1718" i="2" s="1"/>
  <c r="O1719" i="2"/>
  <c r="P1719" i="2" s="1"/>
  <c r="O1720" i="2"/>
  <c r="P1720" i="2" s="1"/>
  <c r="O1721" i="2"/>
  <c r="P1721" i="2" s="1"/>
  <c r="O1722" i="2"/>
  <c r="P1722" i="2" s="1"/>
  <c r="O1723" i="2"/>
  <c r="P1723" i="2" s="1"/>
  <c r="O1724" i="2"/>
  <c r="P1724" i="2" s="1"/>
  <c r="O1725" i="2"/>
  <c r="P1725" i="2" s="1"/>
  <c r="O1726" i="2"/>
  <c r="P1726" i="2" s="1"/>
  <c r="O1727" i="2"/>
  <c r="P1727" i="2" s="1"/>
  <c r="O1728" i="2"/>
  <c r="P1728" i="2" s="1"/>
  <c r="O1729" i="2"/>
  <c r="P1729" i="2" s="1"/>
  <c r="O1730" i="2"/>
  <c r="P1730" i="2" s="1"/>
  <c r="O1731" i="2"/>
  <c r="P1731" i="2" s="1"/>
  <c r="O1732" i="2"/>
  <c r="P1732" i="2" s="1"/>
  <c r="O1733" i="2"/>
  <c r="P1733" i="2" s="1"/>
  <c r="O1734" i="2"/>
  <c r="P1734" i="2" s="1"/>
  <c r="O1735" i="2"/>
  <c r="P1735" i="2" s="1"/>
  <c r="O1736" i="2"/>
  <c r="P1736" i="2" s="1"/>
  <c r="O1737" i="2"/>
  <c r="P1737" i="2" s="1"/>
  <c r="O1738" i="2"/>
  <c r="P1738" i="2" s="1"/>
  <c r="O1739" i="2"/>
  <c r="P1739" i="2" s="1"/>
  <c r="O1740" i="2"/>
  <c r="P1740" i="2" s="1"/>
  <c r="O1741" i="2"/>
  <c r="P1741" i="2" s="1"/>
  <c r="O1742" i="2"/>
  <c r="P1742" i="2" s="1"/>
  <c r="O1743" i="2"/>
  <c r="P1743" i="2" s="1"/>
  <c r="O1744" i="2"/>
  <c r="P1744" i="2" s="1"/>
  <c r="O1745" i="2"/>
  <c r="P1745" i="2" s="1"/>
  <c r="O1746" i="2"/>
  <c r="P1746" i="2" s="1"/>
  <c r="O1747" i="2"/>
  <c r="P1747" i="2" s="1"/>
  <c r="O1748" i="2"/>
  <c r="P1748" i="2" s="1"/>
  <c r="O1749" i="2"/>
  <c r="P1749" i="2" s="1"/>
  <c r="O1750" i="2"/>
  <c r="P1750" i="2" s="1"/>
  <c r="O1751" i="2"/>
  <c r="P1751" i="2" s="1"/>
  <c r="O1752" i="2"/>
  <c r="P1752" i="2" s="1"/>
  <c r="O1753" i="2"/>
  <c r="P1753" i="2" s="1"/>
  <c r="O1754" i="2"/>
  <c r="P1754" i="2" s="1"/>
  <c r="O1755" i="2"/>
  <c r="P1755" i="2" s="1"/>
  <c r="O1756" i="2"/>
  <c r="P1756" i="2" s="1"/>
  <c r="O1757" i="2"/>
  <c r="P1757" i="2" s="1"/>
  <c r="O1758" i="2"/>
  <c r="P1758" i="2" s="1"/>
  <c r="O1759" i="2"/>
  <c r="P1759" i="2" s="1"/>
  <c r="O1760" i="2"/>
  <c r="P1760" i="2" s="1"/>
  <c r="O1761" i="2"/>
  <c r="P1761" i="2" s="1"/>
  <c r="O1762" i="2"/>
  <c r="P1762" i="2" s="1"/>
  <c r="O1763" i="2"/>
  <c r="P1763" i="2" s="1"/>
  <c r="O1764" i="2"/>
  <c r="P1764" i="2" s="1"/>
  <c r="O1765" i="2"/>
  <c r="P1765" i="2" s="1"/>
  <c r="O1766" i="2"/>
  <c r="P1766" i="2" s="1"/>
  <c r="O1767" i="2"/>
  <c r="P1767" i="2" s="1"/>
  <c r="O1768" i="2"/>
  <c r="P1768" i="2" s="1"/>
  <c r="O1769" i="2"/>
  <c r="P1769" i="2" s="1"/>
  <c r="O1770" i="2"/>
  <c r="P1770" i="2" s="1"/>
  <c r="O1771" i="2"/>
  <c r="P1771" i="2" s="1"/>
  <c r="O1772" i="2"/>
  <c r="P1772" i="2" s="1"/>
  <c r="O1773" i="2"/>
  <c r="P1773" i="2" s="1"/>
  <c r="O1774" i="2"/>
  <c r="P1774" i="2" s="1"/>
  <c r="O1775" i="2"/>
  <c r="P1775" i="2" s="1"/>
  <c r="O1776" i="2"/>
  <c r="P1776" i="2" s="1"/>
  <c r="O1777" i="2"/>
  <c r="P1777" i="2" s="1"/>
  <c r="O1778" i="2"/>
  <c r="P1778" i="2" s="1"/>
  <c r="O1779" i="2"/>
  <c r="P1779" i="2" s="1"/>
  <c r="O1780" i="2"/>
  <c r="P1780" i="2" s="1"/>
  <c r="O1781" i="2"/>
  <c r="P1781" i="2" s="1"/>
  <c r="O1782" i="2"/>
  <c r="P1782" i="2" s="1"/>
  <c r="O1783" i="2"/>
  <c r="P1783" i="2" s="1"/>
  <c r="O1784" i="2"/>
  <c r="P1784" i="2" s="1"/>
  <c r="O1785" i="2"/>
  <c r="P1785" i="2" s="1"/>
  <c r="O1786" i="2"/>
  <c r="P1786" i="2" s="1"/>
  <c r="O1787" i="2"/>
  <c r="P1787" i="2" s="1"/>
  <c r="O1788" i="2"/>
  <c r="P1788" i="2" s="1"/>
  <c r="O1789" i="2"/>
  <c r="P1789" i="2" s="1"/>
  <c r="O1790" i="2"/>
  <c r="P1790" i="2" s="1"/>
  <c r="O1791" i="2"/>
  <c r="P1791" i="2" s="1"/>
  <c r="O1792" i="2"/>
  <c r="P1792" i="2" s="1"/>
  <c r="O1793" i="2"/>
  <c r="P1793" i="2" s="1"/>
  <c r="O1794" i="2"/>
  <c r="P1794" i="2" s="1"/>
  <c r="O1795" i="2"/>
  <c r="P1795" i="2" s="1"/>
  <c r="O1796" i="2"/>
  <c r="P1796" i="2" s="1"/>
  <c r="O1797" i="2"/>
  <c r="P1797" i="2" s="1"/>
  <c r="O1798" i="2"/>
  <c r="P1798" i="2" s="1"/>
  <c r="O1799" i="2"/>
  <c r="P1799" i="2" s="1"/>
  <c r="O1800" i="2"/>
  <c r="P1800" i="2" s="1"/>
  <c r="O1801" i="2"/>
  <c r="P1801" i="2" s="1"/>
  <c r="O1802" i="2"/>
  <c r="P1802" i="2" s="1"/>
  <c r="O1803" i="2"/>
  <c r="P1803" i="2" s="1"/>
  <c r="O1804" i="2"/>
  <c r="P1804" i="2" s="1"/>
  <c r="O1805" i="2"/>
  <c r="P1805" i="2" s="1"/>
  <c r="O1806" i="2"/>
  <c r="P1806" i="2" s="1"/>
  <c r="O1807" i="2"/>
  <c r="P1807" i="2" s="1"/>
  <c r="O1808" i="2"/>
  <c r="P1808" i="2" s="1"/>
  <c r="O1809" i="2"/>
  <c r="P1809" i="2" s="1"/>
  <c r="O1810" i="2"/>
  <c r="P1810" i="2" s="1"/>
  <c r="O1811" i="2"/>
  <c r="P1811" i="2" s="1"/>
  <c r="O1812" i="2"/>
  <c r="P1812" i="2" s="1"/>
  <c r="O1813" i="2"/>
  <c r="P1813" i="2" s="1"/>
  <c r="O1814" i="2"/>
  <c r="P1814" i="2" s="1"/>
  <c r="O1815" i="2"/>
  <c r="P1815" i="2" s="1"/>
  <c r="O1816" i="2"/>
  <c r="P1816" i="2" s="1"/>
  <c r="O1817" i="2"/>
  <c r="P1817" i="2" s="1"/>
  <c r="O1818" i="2"/>
  <c r="P1818" i="2" s="1"/>
  <c r="O1819" i="2"/>
  <c r="P1819" i="2" s="1"/>
  <c r="O1820" i="2"/>
  <c r="P1820" i="2" s="1"/>
  <c r="O1821" i="2"/>
  <c r="P1821" i="2" s="1"/>
  <c r="O1822" i="2"/>
  <c r="P1822" i="2" s="1"/>
  <c r="O1823" i="2"/>
  <c r="P1823" i="2" s="1"/>
  <c r="O1824" i="2"/>
  <c r="P1824" i="2" s="1"/>
  <c r="O1825" i="2"/>
  <c r="P1825" i="2" s="1"/>
  <c r="O1826" i="2"/>
  <c r="P1826" i="2" s="1"/>
  <c r="O1827" i="2"/>
  <c r="P1827" i="2" s="1"/>
  <c r="O1828" i="2"/>
  <c r="P1828" i="2" s="1"/>
  <c r="O1829" i="2"/>
  <c r="P1829" i="2" s="1"/>
  <c r="O1830" i="2"/>
  <c r="P1830" i="2" s="1"/>
  <c r="O1831" i="2"/>
  <c r="P1831" i="2" s="1"/>
  <c r="O1832" i="2"/>
  <c r="P1832" i="2" s="1"/>
  <c r="O1833" i="2"/>
  <c r="P1833" i="2" s="1"/>
  <c r="O1834" i="2"/>
  <c r="P1834" i="2" s="1"/>
  <c r="O1835" i="2"/>
  <c r="P1835" i="2" s="1"/>
  <c r="O1836" i="2"/>
  <c r="P1836" i="2" s="1"/>
  <c r="O1837" i="2"/>
  <c r="P1837" i="2" s="1"/>
  <c r="O1838" i="2"/>
  <c r="P1838" i="2" s="1"/>
  <c r="O1839" i="2"/>
  <c r="P1839" i="2" s="1"/>
  <c r="O1840" i="2"/>
  <c r="P1840" i="2" s="1"/>
  <c r="O1841" i="2"/>
  <c r="P1841" i="2" s="1"/>
  <c r="O1842" i="2"/>
  <c r="P1842" i="2" s="1"/>
  <c r="O1843" i="2"/>
  <c r="P1843" i="2" s="1"/>
  <c r="O1844" i="2"/>
  <c r="P1844" i="2" s="1"/>
  <c r="O1845" i="2"/>
  <c r="P1845" i="2" s="1"/>
  <c r="O1846" i="2"/>
  <c r="P1846" i="2" s="1"/>
  <c r="O1847" i="2"/>
  <c r="P1847" i="2" s="1"/>
  <c r="O1848" i="2"/>
  <c r="P1848" i="2" s="1"/>
  <c r="O1849" i="2"/>
  <c r="P1849" i="2" s="1"/>
  <c r="O1850" i="2"/>
  <c r="P1850" i="2" s="1"/>
  <c r="O1851" i="2"/>
  <c r="P1851" i="2" s="1"/>
  <c r="O1852" i="2"/>
  <c r="P1852" i="2" s="1"/>
  <c r="O1853" i="2"/>
  <c r="P1853" i="2" s="1"/>
  <c r="O1854" i="2"/>
  <c r="P1854" i="2" s="1"/>
  <c r="O1855" i="2"/>
  <c r="P1855" i="2" s="1"/>
  <c r="O1856" i="2"/>
  <c r="P1856" i="2" s="1"/>
  <c r="O1857" i="2"/>
  <c r="P1857" i="2" s="1"/>
  <c r="O1858" i="2"/>
  <c r="P1858" i="2" s="1"/>
  <c r="O1859" i="2"/>
  <c r="P1859" i="2" s="1"/>
  <c r="O1860" i="2"/>
  <c r="P1860" i="2" s="1"/>
  <c r="O1861" i="2"/>
  <c r="P1861" i="2" s="1"/>
  <c r="O1862" i="2"/>
  <c r="P1862" i="2" s="1"/>
  <c r="O1863" i="2"/>
  <c r="P1863" i="2" s="1"/>
  <c r="O1864" i="2"/>
  <c r="P1864" i="2" s="1"/>
  <c r="O1865" i="2"/>
  <c r="P1865" i="2" s="1"/>
  <c r="O1866" i="2"/>
  <c r="P1866" i="2" s="1"/>
  <c r="O1867" i="2"/>
  <c r="P1867" i="2" s="1"/>
  <c r="O1868" i="2"/>
  <c r="P1868" i="2" s="1"/>
  <c r="O1869" i="2"/>
  <c r="P1869" i="2" s="1"/>
  <c r="O1870" i="2"/>
  <c r="P1870" i="2" s="1"/>
  <c r="O1871" i="2"/>
  <c r="P1871" i="2" s="1"/>
  <c r="O1872" i="2"/>
  <c r="P1872" i="2" s="1"/>
  <c r="O1873" i="2"/>
  <c r="P1873" i="2" s="1"/>
  <c r="O1874" i="2"/>
  <c r="P1874" i="2" s="1"/>
  <c r="O1875" i="2"/>
  <c r="P1875" i="2" s="1"/>
  <c r="O1876" i="2"/>
  <c r="P1876" i="2" s="1"/>
  <c r="O1877" i="2"/>
  <c r="P1877" i="2" s="1"/>
  <c r="O1878" i="2"/>
  <c r="P1878" i="2" s="1"/>
  <c r="O1879" i="2"/>
  <c r="P1879" i="2" s="1"/>
  <c r="O1880" i="2"/>
  <c r="P1880" i="2" s="1"/>
  <c r="O1881" i="2"/>
  <c r="P1881" i="2" s="1"/>
  <c r="O1882" i="2"/>
  <c r="P1882" i="2" s="1"/>
  <c r="O1883" i="2"/>
  <c r="P1883" i="2" s="1"/>
  <c r="O1884" i="2"/>
  <c r="P1884" i="2" s="1"/>
  <c r="O1885" i="2"/>
  <c r="P1885" i="2" s="1"/>
  <c r="O1886" i="2"/>
  <c r="P1886" i="2" s="1"/>
  <c r="O1887" i="2"/>
  <c r="P1887" i="2" s="1"/>
  <c r="O1888" i="2"/>
  <c r="P1888" i="2" s="1"/>
  <c r="O1889" i="2"/>
  <c r="P1889" i="2" s="1"/>
  <c r="O1890" i="2"/>
  <c r="P1890" i="2" s="1"/>
  <c r="O1891" i="2"/>
  <c r="P1891" i="2" s="1"/>
  <c r="O1892" i="2"/>
  <c r="P1892" i="2" s="1"/>
  <c r="O1893" i="2"/>
  <c r="P1893" i="2" s="1"/>
  <c r="O1894" i="2"/>
  <c r="P1894" i="2" s="1"/>
  <c r="O1895" i="2"/>
  <c r="P1895" i="2" s="1"/>
  <c r="O1896" i="2"/>
  <c r="P1896" i="2" s="1"/>
  <c r="O1897" i="2"/>
  <c r="P1897" i="2" s="1"/>
  <c r="O1898" i="2"/>
  <c r="P1898" i="2" s="1"/>
  <c r="O1899" i="2"/>
  <c r="P1899" i="2" s="1"/>
  <c r="O1900" i="2"/>
  <c r="P1900" i="2" s="1"/>
  <c r="O1901" i="2"/>
  <c r="P1901" i="2" s="1"/>
  <c r="O1902" i="2"/>
  <c r="P1902" i="2" s="1"/>
  <c r="O1903" i="2"/>
  <c r="P1903" i="2" s="1"/>
  <c r="O1904" i="2"/>
  <c r="P1904" i="2" s="1"/>
  <c r="O1905" i="2"/>
  <c r="P1905" i="2" s="1"/>
  <c r="O1906" i="2"/>
  <c r="P1906" i="2" s="1"/>
  <c r="O1907" i="2"/>
  <c r="P1907" i="2" s="1"/>
  <c r="O1908" i="2"/>
  <c r="P1908" i="2" s="1"/>
  <c r="O1909" i="2"/>
  <c r="P1909" i="2" s="1"/>
  <c r="O1910" i="2"/>
  <c r="P1910" i="2" s="1"/>
  <c r="O1911" i="2"/>
  <c r="P1911" i="2" s="1"/>
  <c r="O1912" i="2"/>
  <c r="P1912" i="2" s="1"/>
  <c r="O1913" i="2"/>
  <c r="P1913" i="2" s="1"/>
  <c r="O1914" i="2"/>
  <c r="P1914" i="2" s="1"/>
  <c r="O1915" i="2"/>
  <c r="P1915" i="2" s="1"/>
  <c r="O1916" i="2"/>
  <c r="P1916" i="2" s="1"/>
  <c r="O1917" i="2"/>
  <c r="P1917" i="2" s="1"/>
  <c r="O1918" i="2"/>
  <c r="P1918" i="2" s="1"/>
  <c r="O1919" i="2"/>
  <c r="P1919" i="2" s="1"/>
  <c r="O1920" i="2"/>
  <c r="P1920" i="2" s="1"/>
  <c r="O1921" i="2"/>
  <c r="P1921" i="2" s="1"/>
  <c r="O1922" i="2"/>
  <c r="P1922" i="2" s="1"/>
  <c r="O1923" i="2"/>
  <c r="P1923" i="2" s="1"/>
  <c r="O1924" i="2"/>
  <c r="P1924" i="2" s="1"/>
  <c r="O1925" i="2"/>
  <c r="P1925" i="2" s="1"/>
  <c r="O1926" i="2"/>
  <c r="P1926" i="2" s="1"/>
  <c r="O1927" i="2"/>
  <c r="P1927" i="2" s="1"/>
  <c r="O1928" i="2"/>
  <c r="P1928" i="2" s="1"/>
  <c r="O1929" i="2"/>
  <c r="P1929" i="2" s="1"/>
  <c r="O1930" i="2"/>
  <c r="P1930" i="2" s="1"/>
  <c r="O1931" i="2"/>
  <c r="P1931" i="2" s="1"/>
  <c r="O1932" i="2"/>
  <c r="P1932" i="2" s="1"/>
  <c r="O1933" i="2"/>
  <c r="P1933" i="2" s="1"/>
  <c r="O1934" i="2"/>
  <c r="P1934" i="2" s="1"/>
  <c r="O1935" i="2"/>
  <c r="P1935" i="2" s="1"/>
  <c r="O1936" i="2"/>
  <c r="P1936" i="2" s="1"/>
  <c r="O1937" i="2"/>
  <c r="P1937" i="2" s="1"/>
  <c r="O1938" i="2"/>
  <c r="P1938" i="2" s="1"/>
  <c r="O1939" i="2"/>
  <c r="P1939" i="2" s="1"/>
  <c r="O1940" i="2"/>
  <c r="P1940" i="2" s="1"/>
  <c r="O1941" i="2"/>
  <c r="P1941" i="2" s="1"/>
  <c r="O1942" i="2"/>
  <c r="P1942" i="2" s="1"/>
  <c r="O1943" i="2"/>
  <c r="P1943" i="2" s="1"/>
  <c r="O1944" i="2"/>
  <c r="P1944" i="2" s="1"/>
  <c r="O1945" i="2"/>
  <c r="P1945" i="2" s="1"/>
  <c r="O1946" i="2"/>
  <c r="P1946" i="2" s="1"/>
  <c r="O1947" i="2"/>
  <c r="P1947" i="2" s="1"/>
  <c r="O1948" i="2"/>
  <c r="P1948" i="2" s="1"/>
  <c r="O1949" i="2"/>
  <c r="P1949" i="2" s="1"/>
  <c r="O1950" i="2"/>
  <c r="P1950" i="2" s="1"/>
  <c r="O1951" i="2"/>
  <c r="P1951" i="2" s="1"/>
  <c r="O1952" i="2"/>
  <c r="P1952" i="2" s="1"/>
  <c r="O1953" i="2"/>
  <c r="P1953" i="2" s="1"/>
  <c r="O1954" i="2"/>
  <c r="P1954" i="2" s="1"/>
  <c r="O1955" i="2"/>
  <c r="P1955" i="2" s="1"/>
  <c r="O1956" i="2"/>
  <c r="P1956" i="2" s="1"/>
  <c r="O1957" i="2"/>
  <c r="P1957" i="2" s="1"/>
  <c r="O1958" i="2"/>
  <c r="P1958" i="2" s="1"/>
  <c r="O1959" i="2"/>
  <c r="P1959" i="2" s="1"/>
  <c r="O1960" i="2"/>
  <c r="P1960" i="2" s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D3" i="2"/>
  <c r="E3" i="2" s="1"/>
  <c r="D4" i="2"/>
  <c r="E4" i="2" s="1"/>
  <c r="D5" i="2"/>
  <c r="E5" i="2" s="1"/>
  <c r="D6" i="2"/>
  <c r="E6" i="2" s="1"/>
  <c r="D7" i="2"/>
  <c r="E7" i="2" s="1"/>
  <c r="D8" i="2"/>
  <c r="E8" i="2" s="1"/>
  <c r="D9" i="2"/>
  <c r="E9" i="2" s="1"/>
  <c r="D10" i="2"/>
  <c r="E10" i="2" s="1"/>
  <c r="D11" i="2"/>
  <c r="E11" i="2" s="1"/>
  <c r="D12" i="2"/>
  <c r="E12" i="2" s="1"/>
  <c r="D13" i="2"/>
  <c r="E13" i="2" s="1"/>
  <c r="D14" i="2"/>
  <c r="E14" i="2" s="1"/>
  <c r="D15" i="2"/>
  <c r="E15" i="2" s="1"/>
  <c r="D16" i="2"/>
  <c r="E16" i="2" s="1"/>
  <c r="D17" i="2"/>
  <c r="E17" i="2" s="1"/>
  <c r="D18" i="2"/>
  <c r="E18" i="2" s="1"/>
  <c r="D19" i="2"/>
  <c r="E19" i="2" s="1"/>
  <c r="D20" i="2"/>
  <c r="E20" i="2" s="1"/>
  <c r="D21" i="2"/>
  <c r="E21" i="2" s="1"/>
  <c r="D22" i="2"/>
  <c r="E22" i="2" s="1"/>
  <c r="D23" i="2"/>
  <c r="E23" i="2" s="1"/>
  <c r="D24" i="2"/>
  <c r="E24" i="2" s="1"/>
  <c r="D25" i="2"/>
  <c r="E25" i="2" s="1"/>
  <c r="D26" i="2"/>
  <c r="E26" i="2" s="1"/>
  <c r="D27" i="2"/>
  <c r="E27" i="2" s="1"/>
  <c r="D28" i="2"/>
  <c r="E28" i="2" s="1"/>
  <c r="D29" i="2"/>
  <c r="E29" i="2" s="1"/>
  <c r="D30" i="2"/>
  <c r="E30" i="2" s="1"/>
  <c r="D31" i="2"/>
  <c r="E31" i="2" s="1"/>
  <c r="D32" i="2"/>
  <c r="E32" i="2" s="1"/>
  <c r="D33" i="2"/>
  <c r="E33" i="2" s="1"/>
  <c r="D34" i="2"/>
  <c r="E34" i="2" s="1"/>
  <c r="D35" i="2"/>
  <c r="E35" i="2" s="1"/>
  <c r="D36" i="2"/>
  <c r="E36" i="2" s="1"/>
  <c r="D37" i="2"/>
  <c r="E37" i="2" s="1"/>
  <c r="D38" i="2"/>
  <c r="E38" i="2" s="1"/>
  <c r="D39" i="2"/>
  <c r="E39" i="2" s="1"/>
  <c r="D40" i="2"/>
  <c r="E40" i="2" s="1"/>
  <c r="D41" i="2"/>
  <c r="E41" i="2" s="1"/>
  <c r="D42" i="2"/>
  <c r="E42" i="2" s="1"/>
  <c r="D43" i="2"/>
  <c r="E43" i="2" s="1"/>
  <c r="D44" i="2"/>
  <c r="E44" i="2" s="1"/>
  <c r="D45" i="2"/>
  <c r="E45" i="2" s="1"/>
  <c r="D46" i="2"/>
  <c r="E46" i="2" s="1"/>
  <c r="D47" i="2"/>
  <c r="E47" i="2" s="1"/>
  <c r="D48" i="2"/>
  <c r="E48" i="2" s="1"/>
  <c r="D49" i="2"/>
  <c r="E49" i="2" s="1"/>
  <c r="D50" i="2"/>
  <c r="E50" i="2" s="1"/>
  <c r="D51" i="2"/>
  <c r="E51" i="2" s="1"/>
  <c r="D52" i="2"/>
  <c r="E52" i="2" s="1"/>
  <c r="D53" i="2"/>
  <c r="E53" i="2" s="1"/>
  <c r="D54" i="2"/>
  <c r="E54" i="2" s="1"/>
  <c r="D55" i="2"/>
  <c r="E55" i="2" s="1"/>
  <c r="D56" i="2"/>
  <c r="E56" i="2" s="1"/>
  <c r="D57" i="2"/>
  <c r="E57" i="2" s="1"/>
  <c r="D58" i="2"/>
  <c r="E58" i="2" s="1"/>
  <c r="D59" i="2"/>
  <c r="E59" i="2" s="1"/>
  <c r="D60" i="2"/>
  <c r="E60" i="2" s="1"/>
  <c r="D61" i="2"/>
  <c r="E61" i="2" s="1"/>
  <c r="D62" i="2"/>
  <c r="E62" i="2" s="1"/>
  <c r="D63" i="2"/>
  <c r="E63" i="2" s="1"/>
  <c r="D64" i="2"/>
  <c r="E64" i="2" s="1"/>
  <c r="D65" i="2"/>
  <c r="E65" i="2" s="1"/>
  <c r="D66" i="2"/>
  <c r="E66" i="2" s="1"/>
  <c r="D67" i="2"/>
  <c r="E67" i="2" s="1"/>
  <c r="D68" i="2"/>
  <c r="E68" i="2" s="1"/>
  <c r="D69" i="2"/>
  <c r="E69" i="2" s="1"/>
  <c r="D70" i="2"/>
  <c r="E70" i="2" s="1"/>
  <c r="D71" i="2"/>
  <c r="E71" i="2" s="1"/>
  <c r="D72" i="2"/>
  <c r="E72" i="2" s="1"/>
  <c r="D73" i="2"/>
  <c r="E73" i="2" s="1"/>
  <c r="D74" i="2"/>
  <c r="E74" i="2" s="1"/>
  <c r="D75" i="2"/>
  <c r="E75" i="2" s="1"/>
  <c r="D76" i="2"/>
  <c r="E76" i="2" s="1"/>
  <c r="D77" i="2"/>
  <c r="E77" i="2" s="1"/>
  <c r="D78" i="2"/>
  <c r="E78" i="2" s="1"/>
  <c r="D79" i="2"/>
  <c r="E79" i="2" s="1"/>
  <c r="D80" i="2"/>
  <c r="E80" i="2" s="1"/>
  <c r="D81" i="2"/>
  <c r="E81" i="2" s="1"/>
  <c r="D82" i="2"/>
  <c r="E82" i="2" s="1"/>
  <c r="D83" i="2"/>
  <c r="E83" i="2" s="1"/>
  <c r="D84" i="2"/>
  <c r="E84" i="2" s="1"/>
  <c r="D85" i="2"/>
  <c r="E85" i="2" s="1"/>
  <c r="D86" i="2"/>
  <c r="E86" i="2" s="1"/>
  <c r="D87" i="2"/>
  <c r="E87" i="2" s="1"/>
  <c r="D88" i="2"/>
  <c r="E88" i="2" s="1"/>
  <c r="D89" i="2"/>
  <c r="E89" i="2" s="1"/>
  <c r="D90" i="2"/>
  <c r="E90" i="2" s="1"/>
  <c r="D91" i="2"/>
  <c r="E91" i="2" s="1"/>
  <c r="D92" i="2"/>
  <c r="E92" i="2" s="1"/>
  <c r="D93" i="2"/>
  <c r="E93" i="2" s="1"/>
  <c r="D94" i="2"/>
  <c r="E94" i="2" s="1"/>
  <c r="D95" i="2"/>
  <c r="E95" i="2" s="1"/>
  <c r="D96" i="2"/>
  <c r="E96" i="2" s="1"/>
  <c r="D97" i="2"/>
  <c r="E97" i="2" s="1"/>
  <c r="D98" i="2"/>
  <c r="E98" i="2" s="1"/>
  <c r="D99" i="2"/>
  <c r="E99" i="2" s="1"/>
  <c r="D100" i="2"/>
  <c r="E100" i="2" s="1"/>
  <c r="D101" i="2"/>
  <c r="E101" i="2" s="1"/>
  <c r="D102" i="2"/>
  <c r="E102" i="2" s="1"/>
  <c r="D103" i="2"/>
  <c r="E103" i="2" s="1"/>
  <c r="D104" i="2"/>
  <c r="E104" i="2" s="1"/>
  <c r="D105" i="2"/>
  <c r="E105" i="2" s="1"/>
  <c r="D106" i="2"/>
  <c r="E106" i="2" s="1"/>
  <c r="D107" i="2"/>
  <c r="E107" i="2" s="1"/>
  <c r="D108" i="2"/>
  <c r="E108" i="2" s="1"/>
  <c r="D109" i="2"/>
  <c r="E109" i="2" s="1"/>
  <c r="D110" i="2"/>
  <c r="E110" i="2" s="1"/>
  <c r="D111" i="2"/>
  <c r="E111" i="2" s="1"/>
  <c r="D112" i="2"/>
  <c r="E112" i="2" s="1"/>
  <c r="D113" i="2"/>
  <c r="E113" i="2" s="1"/>
  <c r="D114" i="2"/>
  <c r="E114" i="2" s="1"/>
  <c r="D115" i="2"/>
  <c r="E115" i="2" s="1"/>
  <c r="D116" i="2"/>
  <c r="E116" i="2" s="1"/>
  <c r="D117" i="2"/>
  <c r="E117" i="2" s="1"/>
  <c r="D118" i="2"/>
  <c r="E118" i="2" s="1"/>
  <c r="D119" i="2"/>
  <c r="E119" i="2" s="1"/>
  <c r="D120" i="2"/>
  <c r="E120" i="2" s="1"/>
  <c r="D121" i="2"/>
  <c r="E121" i="2" s="1"/>
  <c r="D122" i="2"/>
  <c r="E122" i="2" s="1"/>
  <c r="D123" i="2"/>
  <c r="E123" i="2" s="1"/>
  <c r="D124" i="2"/>
  <c r="E124" i="2" s="1"/>
  <c r="D125" i="2"/>
  <c r="E125" i="2" s="1"/>
  <c r="D126" i="2"/>
  <c r="E126" i="2" s="1"/>
  <c r="D127" i="2"/>
  <c r="E127" i="2" s="1"/>
  <c r="D128" i="2"/>
  <c r="E128" i="2" s="1"/>
  <c r="D129" i="2"/>
  <c r="E129" i="2" s="1"/>
  <c r="D130" i="2"/>
  <c r="E130" i="2" s="1"/>
  <c r="D131" i="2"/>
  <c r="E131" i="2" s="1"/>
  <c r="D132" i="2"/>
  <c r="E132" i="2" s="1"/>
  <c r="D133" i="2"/>
  <c r="E133" i="2" s="1"/>
  <c r="D134" i="2"/>
  <c r="E134" i="2" s="1"/>
  <c r="D135" i="2"/>
  <c r="E135" i="2" s="1"/>
  <c r="D136" i="2"/>
  <c r="E136" i="2" s="1"/>
  <c r="D137" i="2"/>
  <c r="E137" i="2" s="1"/>
  <c r="D138" i="2"/>
  <c r="E138" i="2" s="1"/>
  <c r="D139" i="2"/>
  <c r="E139" i="2" s="1"/>
  <c r="D140" i="2"/>
  <c r="E140" i="2" s="1"/>
  <c r="D141" i="2"/>
  <c r="E141" i="2" s="1"/>
  <c r="D142" i="2"/>
  <c r="E142" i="2" s="1"/>
  <c r="D143" i="2"/>
  <c r="E143" i="2" s="1"/>
  <c r="D144" i="2"/>
  <c r="E144" i="2" s="1"/>
  <c r="D145" i="2"/>
  <c r="E145" i="2" s="1"/>
  <c r="D146" i="2"/>
  <c r="E146" i="2" s="1"/>
  <c r="D147" i="2"/>
  <c r="E147" i="2" s="1"/>
  <c r="D148" i="2"/>
  <c r="E148" i="2" s="1"/>
  <c r="D149" i="2"/>
  <c r="E149" i="2" s="1"/>
  <c r="D150" i="2"/>
  <c r="E150" i="2" s="1"/>
  <c r="D151" i="2"/>
  <c r="E151" i="2" s="1"/>
  <c r="D152" i="2"/>
  <c r="E152" i="2" s="1"/>
  <c r="D153" i="2"/>
  <c r="E153" i="2" s="1"/>
  <c r="D154" i="2"/>
  <c r="E154" i="2" s="1"/>
  <c r="D155" i="2"/>
  <c r="E155" i="2" s="1"/>
  <c r="D156" i="2"/>
  <c r="E156" i="2" s="1"/>
  <c r="D157" i="2"/>
  <c r="E157" i="2" s="1"/>
  <c r="D158" i="2"/>
  <c r="E158" i="2" s="1"/>
  <c r="D159" i="2"/>
  <c r="E159" i="2" s="1"/>
  <c r="D160" i="2"/>
  <c r="E160" i="2" s="1"/>
  <c r="D161" i="2"/>
  <c r="E161" i="2" s="1"/>
  <c r="D162" i="2"/>
  <c r="E162" i="2" s="1"/>
  <c r="D163" i="2"/>
  <c r="E163" i="2" s="1"/>
  <c r="D164" i="2"/>
  <c r="E164" i="2" s="1"/>
  <c r="D165" i="2"/>
  <c r="E165" i="2" s="1"/>
  <c r="D166" i="2"/>
  <c r="E166" i="2" s="1"/>
  <c r="D167" i="2"/>
  <c r="E167" i="2" s="1"/>
  <c r="D168" i="2"/>
  <c r="E168" i="2" s="1"/>
  <c r="D169" i="2"/>
  <c r="E169" i="2" s="1"/>
  <c r="D170" i="2"/>
  <c r="E170" i="2" s="1"/>
  <c r="D171" i="2"/>
  <c r="E171" i="2" s="1"/>
  <c r="D172" i="2"/>
  <c r="E172" i="2" s="1"/>
  <c r="D173" i="2"/>
  <c r="E173" i="2" s="1"/>
  <c r="D174" i="2"/>
  <c r="E174" i="2" s="1"/>
  <c r="D175" i="2"/>
  <c r="E175" i="2" s="1"/>
  <c r="D176" i="2"/>
  <c r="E176" i="2" s="1"/>
  <c r="D177" i="2"/>
  <c r="E177" i="2" s="1"/>
  <c r="D178" i="2"/>
  <c r="E178" i="2" s="1"/>
  <c r="D179" i="2"/>
  <c r="E179" i="2" s="1"/>
  <c r="D180" i="2"/>
  <c r="E180" i="2" s="1"/>
  <c r="D181" i="2"/>
  <c r="E181" i="2" s="1"/>
  <c r="D182" i="2"/>
  <c r="E182" i="2" s="1"/>
  <c r="D183" i="2"/>
  <c r="E183" i="2" s="1"/>
  <c r="D184" i="2"/>
  <c r="E184" i="2" s="1"/>
  <c r="D185" i="2"/>
  <c r="E185" i="2" s="1"/>
  <c r="D186" i="2"/>
  <c r="E186" i="2" s="1"/>
  <c r="D187" i="2"/>
  <c r="E187" i="2" s="1"/>
  <c r="D188" i="2"/>
  <c r="E188" i="2" s="1"/>
  <c r="D189" i="2"/>
  <c r="E189" i="2" s="1"/>
  <c r="D190" i="2"/>
  <c r="E190" i="2" s="1"/>
  <c r="D191" i="2"/>
  <c r="E191" i="2" s="1"/>
  <c r="D192" i="2"/>
  <c r="E192" i="2" s="1"/>
  <c r="D193" i="2"/>
  <c r="E193" i="2" s="1"/>
  <c r="D194" i="2"/>
  <c r="E194" i="2" s="1"/>
  <c r="D195" i="2"/>
  <c r="E195" i="2" s="1"/>
  <c r="D196" i="2"/>
  <c r="E196" i="2" s="1"/>
  <c r="D197" i="2"/>
  <c r="E197" i="2" s="1"/>
  <c r="D198" i="2"/>
  <c r="E198" i="2" s="1"/>
  <c r="D199" i="2"/>
  <c r="E199" i="2" s="1"/>
  <c r="D200" i="2"/>
  <c r="E200" i="2" s="1"/>
  <c r="D201" i="2"/>
  <c r="E201" i="2" s="1"/>
  <c r="D202" i="2"/>
  <c r="E202" i="2" s="1"/>
  <c r="D203" i="2"/>
  <c r="E203" i="2" s="1"/>
  <c r="D204" i="2"/>
  <c r="E204" i="2" s="1"/>
  <c r="D205" i="2"/>
  <c r="E205" i="2" s="1"/>
  <c r="D206" i="2"/>
  <c r="E206" i="2" s="1"/>
  <c r="D207" i="2"/>
  <c r="E207" i="2" s="1"/>
  <c r="D208" i="2"/>
  <c r="E208" i="2" s="1"/>
  <c r="D209" i="2"/>
  <c r="E209" i="2" s="1"/>
  <c r="D210" i="2"/>
  <c r="E210" i="2" s="1"/>
  <c r="D211" i="2"/>
  <c r="E211" i="2" s="1"/>
  <c r="D212" i="2"/>
  <c r="E212" i="2" s="1"/>
  <c r="D213" i="2"/>
  <c r="E213" i="2" s="1"/>
  <c r="D214" i="2"/>
  <c r="E214" i="2" s="1"/>
  <c r="D215" i="2"/>
  <c r="E215" i="2" s="1"/>
  <c r="D216" i="2"/>
  <c r="E216" i="2" s="1"/>
  <c r="D217" i="2"/>
  <c r="E217" i="2" s="1"/>
  <c r="D218" i="2"/>
  <c r="E218" i="2" s="1"/>
  <c r="D219" i="2"/>
  <c r="E219" i="2" s="1"/>
  <c r="D220" i="2"/>
  <c r="E220" i="2" s="1"/>
  <c r="D221" i="2"/>
  <c r="E221" i="2" s="1"/>
  <c r="D222" i="2"/>
  <c r="E222" i="2" s="1"/>
  <c r="D223" i="2"/>
  <c r="E223" i="2" s="1"/>
  <c r="D224" i="2"/>
  <c r="E224" i="2" s="1"/>
  <c r="D225" i="2"/>
  <c r="E225" i="2" s="1"/>
  <c r="D226" i="2"/>
  <c r="E226" i="2" s="1"/>
  <c r="D227" i="2"/>
  <c r="E227" i="2" s="1"/>
  <c r="D228" i="2"/>
  <c r="E228" i="2" s="1"/>
  <c r="D229" i="2"/>
  <c r="E229" i="2" s="1"/>
  <c r="D230" i="2"/>
  <c r="E230" i="2" s="1"/>
  <c r="D231" i="2"/>
  <c r="E231" i="2" s="1"/>
  <c r="D232" i="2"/>
  <c r="E232" i="2" s="1"/>
  <c r="D233" i="2"/>
  <c r="E233" i="2" s="1"/>
  <c r="D234" i="2"/>
  <c r="E234" i="2" s="1"/>
  <c r="D235" i="2"/>
  <c r="E235" i="2" s="1"/>
  <c r="D236" i="2"/>
  <c r="E236" i="2" s="1"/>
  <c r="D237" i="2"/>
  <c r="E237" i="2" s="1"/>
  <c r="D238" i="2"/>
  <c r="E238" i="2" s="1"/>
  <c r="D239" i="2"/>
  <c r="E239" i="2" s="1"/>
  <c r="D240" i="2"/>
  <c r="E240" i="2" s="1"/>
  <c r="D241" i="2"/>
  <c r="E241" i="2" s="1"/>
  <c r="D242" i="2"/>
  <c r="E242" i="2" s="1"/>
  <c r="D243" i="2"/>
  <c r="E243" i="2" s="1"/>
  <c r="D244" i="2"/>
  <c r="E244" i="2" s="1"/>
  <c r="D245" i="2"/>
  <c r="E245" i="2" s="1"/>
  <c r="D246" i="2"/>
  <c r="E246" i="2" s="1"/>
  <c r="D247" i="2"/>
  <c r="E247" i="2" s="1"/>
  <c r="D248" i="2"/>
  <c r="E248" i="2" s="1"/>
  <c r="D249" i="2"/>
  <c r="E249" i="2" s="1"/>
  <c r="D250" i="2"/>
  <c r="E250" i="2" s="1"/>
  <c r="D251" i="2"/>
  <c r="E251" i="2" s="1"/>
  <c r="D252" i="2"/>
  <c r="E252" i="2" s="1"/>
  <c r="D253" i="2"/>
  <c r="E253" i="2" s="1"/>
  <c r="D254" i="2"/>
  <c r="E254" i="2" s="1"/>
  <c r="D255" i="2"/>
  <c r="E255" i="2" s="1"/>
  <c r="D256" i="2"/>
  <c r="E256" i="2" s="1"/>
  <c r="D257" i="2"/>
  <c r="E257" i="2" s="1"/>
  <c r="D258" i="2"/>
  <c r="E258" i="2" s="1"/>
  <c r="D259" i="2"/>
  <c r="E259" i="2" s="1"/>
  <c r="D260" i="2"/>
  <c r="E260" i="2" s="1"/>
  <c r="D261" i="2"/>
  <c r="E261" i="2" s="1"/>
  <c r="D262" i="2"/>
  <c r="E262" i="2" s="1"/>
  <c r="D263" i="2"/>
  <c r="E263" i="2" s="1"/>
  <c r="D264" i="2"/>
  <c r="E264" i="2" s="1"/>
  <c r="D265" i="2"/>
  <c r="E265" i="2" s="1"/>
  <c r="D266" i="2"/>
  <c r="E266" i="2" s="1"/>
  <c r="D267" i="2"/>
  <c r="E267" i="2" s="1"/>
  <c r="D268" i="2"/>
  <c r="E268" i="2" s="1"/>
  <c r="D269" i="2"/>
  <c r="E269" i="2" s="1"/>
  <c r="D270" i="2"/>
  <c r="E270" i="2" s="1"/>
  <c r="D271" i="2"/>
  <c r="E271" i="2" s="1"/>
  <c r="D272" i="2"/>
  <c r="E272" i="2" s="1"/>
  <c r="D273" i="2"/>
  <c r="E273" i="2" s="1"/>
  <c r="D274" i="2"/>
  <c r="E274" i="2" s="1"/>
  <c r="D275" i="2"/>
  <c r="E275" i="2" s="1"/>
  <c r="D276" i="2"/>
  <c r="E276" i="2" s="1"/>
  <c r="D277" i="2"/>
  <c r="E277" i="2" s="1"/>
  <c r="D278" i="2"/>
  <c r="E278" i="2" s="1"/>
  <c r="D279" i="2"/>
  <c r="E279" i="2" s="1"/>
  <c r="D280" i="2"/>
  <c r="E280" i="2" s="1"/>
  <c r="D281" i="2"/>
  <c r="E281" i="2" s="1"/>
  <c r="D282" i="2"/>
  <c r="E282" i="2" s="1"/>
  <c r="D283" i="2"/>
  <c r="E283" i="2" s="1"/>
  <c r="D284" i="2"/>
  <c r="E284" i="2" s="1"/>
  <c r="D285" i="2"/>
  <c r="E285" i="2" s="1"/>
  <c r="D286" i="2"/>
  <c r="E286" i="2" s="1"/>
  <c r="D287" i="2"/>
  <c r="E287" i="2" s="1"/>
  <c r="D288" i="2"/>
  <c r="E288" i="2" s="1"/>
  <c r="D289" i="2"/>
  <c r="E289" i="2" s="1"/>
  <c r="D290" i="2"/>
  <c r="E290" i="2" s="1"/>
  <c r="D291" i="2"/>
  <c r="E291" i="2" s="1"/>
  <c r="D292" i="2"/>
  <c r="E292" i="2" s="1"/>
  <c r="D293" i="2"/>
  <c r="E293" i="2" s="1"/>
  <c r="D294" i="2"/>
  <c r="E294" i="2" s="1"/>
  <c r="D295" i="2"/>
  <c r="E295" i="2" s="1"/>
  <c r="D296" i="2"/>
  <c r="E296" i="2" s="1"/>
  <c r="D297" i="2"/>
  <c r="E297" i="2" s="1"/>
  <c r="D298" i="2"/>
  <c r="E298" i="2" s="1"/>
  <c r="D299" i="2"/>
  <c r="E299" i="2" s="1"/>
  <c r="D300" i="2"/>
  <c r="E300" i="2" s="1"/>
  <c r="D301" i="2"/>
  <c r="E301" i="2" s="1"/>
  <c r="D302" i="2"/>
  <c r="E302" i="2" s="1"/>
  <c r="D303" i="2"/>
  <c r="E303" i="2" s="1"/>
  <c r="D304" i="2"/>
  <c r="E304" i="2" s="1"/>
  <c r="D305" i="2"/>
  <c r="E305" i="2" s="1"/>
  <c r="D306" i="2"/>
  <c r="E306" i="2" s="1"/>
  <c r="D307" i="2"/>
  <c r="E307" i="2" s="1"/>
  <c r="D308" i="2"/>
  <c r="E308" i="2" s="1"/>
  <c r="D309" i="2"/>
  <c r="E309" i="2" s="1"/>
  <c r="D310" i="2"/>
  <c r="E310" i="2" s="1"/>
  <c r="D311" i="2"/>
  <c r="E311" i="2" s="1"/>
  <c r="D312" i="2"/>
  <c r="E312" i="2" s="1"/>
  <c r="D313" i="2"/>
  <c r="E313" i="2" s="1"/>
  <c r="D314" i="2"/>
  <c r="E314" i="2" s="1"/>
  <c r="D315" i="2"/>
  <c r="E315" i="2" s="1"/>
  <c r="D316" i="2"/>
  <c r="E316" i="2" s="1"/>
  <c r="D317" i="2"/>
  <c r="E317" i="2" s="1"/>
  <c r="D318" i="2"/>
  <c r="E318" i="2" s="1"/>
  <c r="D319" i="2"/>
  <c r="E319" i="2" s="1"/>
  <c r="D320" i="2"/>
  <c r="E320" i="2" s="1"/>
  <c r="D321" i="2"/>
  <c r="E321" i="2" s="1"/>
  <c r="D322" i="2"/>
  <c r="E322" i="2" s="1"/>
  <c r="D323" i="2"/>
  <c r="E323" i="2" s="1"/>
  <c r="D324" i="2"/>
  <c r="E324" i="2" s="1"/>
  <c r="D325" i="2"/>
  <c r="E325" i="2" s="1"/>
  <c r="D326" i="2"/>
  <c r="E326" i="2" s="1"/>
  <c r="D327" i="2"/>
  <c r="E327" i="2" s="1"/>
  <c r="D328" i="2"/>
  <c r="E328" i="2" s="1"/>
  <c r="D329" i="2"/>
  <c r="E329" i="2" s="1"/>
  <c r="D330" i="2"/>
  <c r="E330" i="2" s="1"/>
  <c r="D331" i="2"/>
  <c r="E331" i="2" s="1"/>
  <c r="D332" i="2"/>
  <c r="E332" i="2" s="1"/>
  <c r="D333" i="2"/>
  <c r="E333" i="2" s="1"/>
  <c r="D334" i="2"/>
  <c r="E334" i="2" s="1"/>
  <c r="D335" i="2"/>
  <c r="E335" i="2" s="1"/>
  <c r="D336" i="2"/>
  <c r="E336" i="2" s="1"/>
  <c r="D337" i="2"/>
  <c r="E337" i="2" s="1"/>
  <c r="D338" i="2"/>
  <c r="E338" i="2" s="1"/>
  <c r="D339" i="2"/>
  <c r="E339" i="2" s="1"/>
  <c r="D340" i="2"/>
  <c r="E340" i="2" s="1"/>
  <c r="D341" i="2"/>
  <c r="E341" i="2" s="1"/>
  <c r="D342" i="2"/>
  <c r="E342" i="2" s="1"/>
  <c r="D343" i="2"/>
  <c r="E343" i="2" s="1"/>
  <c r="D344" i="2"/>
  <c r="E344" i="2" s="1"/>
  <c r="D345" i="2"/>
  <c r="E345" i="2" s="1"/>
  <c r="D346" i="2"/>
  <c r="E346" i="2" s="1"/>
  <c r="D347" i="2"/>
  <c r="E347" i="2" s="1"/>
  <c r="D348" i="2"/>
  <c r="E348" i="2" s="1"/>
  <c r="D349" i="2"/>
  <c r="E349" i="2" s="1"/>
  <c r="D350" i="2"/>
  <c r="E350" i="2" s="1"/>
  <c r="D351" i="2"/>
  <c r="E351" i="2" s="1"/>
  <c r="D352" i="2"/>
  <c r="E352" i="2" s="1"/>
  <c r="D353" i="2"/>
  <c r="E353" i="2" s="1"/>
  <c r="D354" i="2"/>
  <c r="E354" i="2" s="1"/>
  <c r="D355" i="2"/>
  <c r="E355" i="2" s="1"/>
  <c r="D356" i="2"/>
  <c r="E356" i="2" s="1"/>
  <c r="D357" i="2"/>
  <c r="E357" i="2" s="1"/>
  <c r="D358" i="2"/>
  <c r="E358" i="2" s="1"/>
  <c r="D359" i="2"/>
  <c r="E359" i="2" s="1"/>
  <c r="D360" i="2"/>
  <c r="E360" i="2" s="1"/>
  <c r="D361" i="2"/>
  <c r="E361" i="2" s="1"/>
  <c r="D362" i="2"/>
  <c r="E362" i="2" s="1"/>
  <c r="D363" i="2"/>
  <c r="E363" i="2" s="1"/>
  <c r="D364" i="2"/>
  <c r="E364" i="2" s="1"/>
  <c r="D365" i="2"/>
  <c r="E365" i="2" s="1"/>
  <c r="D366" i="2"/>
  <c r="E366" i="2" s="1"/>
  <c r="D367" i="2"/>
  <c r="E367" i="2" s="1"/>
  <c r="D368" i="2"/>
  <c r="E368" i="2" s="1"/>
  <c r="D369" i="2"/>
  <c r="E369" i="2" s="1"/>
  <c r="D370" i="2"/>
  <c r="E370" i="2" s="1"/>
  <c r="D371" i="2"/>
  <c r="E371" i="2" s="1"/>
  <c r="D372" i="2"/>
  <c r="E372" i="2" s="1"/>
  <c r="D373" i="2"/>
  <c r="E373" i="2" s="1"/>
  <c r="D374" i="2"/>
  <c r="E374" i="2" s="1"/>
  <c r="D375" i="2"/>
  <c r="E375" i="2" s="1"/>
  <c r="D376" i="2"/>
  <c r="E376" i="2" s="1"/>
  <c r="D377" i="2"/>
  <c r="E377" i="2" s="1"/>
  <c r="D378" i="2"/>
  <c r="E378" i="2" s="1"/>
  <c r="D379" i="2"/>
  <c r="E379" i="2" s="1"/>
  <c r="D380" i="2"/>
  <c r="E380" i="2" s="1"/>
  <c r="D381" i="2"/>
  <c r="E381" i="2" s="1"/>
  <c r="D382" i="2"/>
  <c r="E382" i="2" s="1"/>
  <c r="D383" i="2"/>
  <c r="E383" i="2" s="1"/>
  <c r="D384" i="2"/>
  <c r="E384" i="2" s="1"/>
  <c r="D385" i="2"/>
  <c r="E385" i="2" s="1"/>
  <c r="D386" i="2"/>
  <c r="E386" i="2" s="1"/>
  <c r="D387" i="2"/>
  <c r="E387" i="2" s="1"/>
  <c r="D388" i="2"/>
  <c r="E388" i="2" s="1"/>
  <c r="D389" i="2"/>
  <c r="E389" i="2" s="1"/>
  <c r="D390" i="2"/>
  <c r="E390" i="2" s="1"/>
  <c r="D391" i="2"/>
  <c r="E391" i="2" s="1"/>
  <c r="D392" i="2"/>
  <c r="E392" i="2" s="1"/>
  <c r="D393" i="2"/>
  <c r="E393" i="2" s="1"/>
  <c r="D394" i="2"/>
  <c r="E394" i="2" s="1"/>
  <c r="D395" i="2"/>
  <c r="E395" i="2" s="1"/>
  <c r="D396" i="2"/>
  <c r="E396" i="2" s="1"/>
  <c r="D397" i="2"/>
  <c r="E397" i="2" s="1"/>
  <c r="D398" i="2"/>
  <c r="E398" i="2" s="1"/>
  <c r="D399" i="2"/>
  <c r="E399" i="2" s="1"/>
  <c r="D400" i="2"/>
  <c r="E400" i="2" s="1"/>
  <c r="D401" i="2"/>
  <c r="E401" i="2" s="1"/>
  <c r="D402" i="2"/>
  <c r="E402" i="2" s="1"/>
  <c r="D403" i="2"/>
  <c r="E403" i="2" s="1"/>
  <c r="D404" i="2"/>
  <c r="E404" i="2" s="1"/>
  <c r="D405" i="2"/>
  <c r="E405" i="2" s="1"/>
  <c r="D406" i="2"/>
  <c r="E406" i="2" s="1"/>
  <c r="D407" i="2"/>
  <c r="E407" i="2" s="1"/>
  <c r="D408" i="2"/>
  <c r="E408" i="2" s="1"/>
  <c r="D409" i="2"/>
  <c r="E409" i="2" s="1"/>
  <c r="D410" i="2"/>
  <c r="E410" i="2" s="1"/>
  <c r="D411" i="2"/>
  <c r="E411" i="2" s="1"/>
  <c r="D412" i="2"/>
  <c r="E412" i="2" s="1"/>
  <c r="D413" i="2"/>
  <c r="E413" i="2" s="1"/>
  <c r="D414" i="2"/>
  <c r="E414" i="2" s="1"/>
  <c r="D415" i="2"/>
  <c r="E415" i="2" s="1"/>
  <c r="D416" i="2"/>
  <c r="E416" i="2" s="1"/>
  <c r="D417" i="2"/>
  <c r="E417" i="2" s="1"/>
  <c r="D418" i="2"/>
  <c r="E418" i="2" s="1"/>
  <c r="D419" i="2"/>
  <c r="E419" i="2" s="1"/>
  <c r="D420" i="2"/>
  <c r="E420" i="2" s="1"/>
  <c r="D421" i="2"/>
  <c r="E421" i="2" s="1"/>
  <c r="D422" i="2"/>
  <c r="E422" i="2" s="1"/>
  <c r="D423" i="2"/>
  <c r="E423" i="2" s="1"/>
  <c r="D424" i="2"/>
  <c r="E424" i="2" s="1"/>
  <c r="D425" i="2"/>
  <c r="E425" i="2" s="1"/>
  <c r="D426" i="2"/>
  <c r="E426" i="2" s="1"/>
  <c r="D427" i="2"/>
  <c r="E427" i="2" s="1"/>
  <c r="D428" i="2"/>
  <c r="E428" i="2" s="1"/>
  <c r="D429" i="2"/>
  <c r="E429" i="2" s="1"/>
  <c r="D430" i="2"/>
  <c r="E430" i="2" s="1"/>
  <c r="D431" i="2"/>
  <c r="E431" i="2" s="1"/>
  <c r="D432" i="2"/>
  <c r="E432" i="2" s="1"/>
  <c r="D433" i="2"/>
  <c r="E433" i="2" s="1"/>
  <c r="D434" i="2"/>
  <c r="E434" i="2" s="1"/>
  <c r="D435" i="2"/>
  <c r="E435" i="2" s="1"/>
  <c r="D436" i="2"/>
  <c r="E436" i="2" s="1"/>
  <c r="D437" i="2"/>
  <c r="E437" i="2" s="1"/>
  <c r="D438" i="2"/>
  <c r="E438" i="2" s="1"/>
  <c r="D439" i="2"/>
  <c r="E439" i="2" s="1"/>
  <c r="D440" i="2"/>
  <c r="E440" i="2" s="1"/>
  <c r="D441" i="2"/>
  <c r="E441" i="2" s="1"/>
  <c r="D442" i="2"/>
  <c r="E442" i="2" s="1"/>
  <c r="D443" i="2"/>
  <c r="E443" i="2" s="1"/>
  <c r="D444" i="2"/>
  <c r="E444" i="2" s="1"/>
  <c r="D445" i="2"/>
  <c r="E445" i="2" s="1"/>
  <c r="D446" i="2"/>
  <c r="E446" i="2" s="1"/>
  <c r="D447" i="2"/>
  <c r="E447" i="2" s="1"/>
  <c r="D448" i="2"/>
  <c r="E448" i="2" s="1"/>
  <c r="D449" i="2"/>
  <c r="E449" i="2" s="1"/>
  <c r="D450" i="2"/>
  <c r="E450" i="2" s="1"/>
  <c r="D451" i="2"/>
  <c r="E451" i="2" s="1"/>
  <c r="D452" i="2"/>
  <c r="E452" i="2" s="1"/>
  <c r="D453" i="2"/>
  <c r="E453" i="2" s="1"/>
  <c r="D454" i="2"/>
  <c r="E454" i="2" s="1"/>
  <c r="D455" i="2"/>
  <c r="E455" i="2" s="1"/>
  <c r="D456" i="2"/>
  <c r="E456" i="2" s="1"/>
  <c r="D457" i="2"/>
  <c r="E457" i="2" s="1"/>
  <c r="D458" i="2"/>
  <c r="E458" i="2" s="1"/>
  <c r="D459" i="2"/>
  <c r="E459" i="2" s="1"/>
  <c r="D460" i="2"/>
  <c r="E460" i="2" s="1"/>
  <c r="D461" i="2"/>
  <c r="E461" i="2" s="1"/>
  <c r="D462" i="2"/>
  <c r="E462" i="2" s="1"/>
  <c r="D463" i="2"/>
  <c r="E463" i="2" s="1"/>
  <c r="D464" i="2"/>
  <c r="E464" i="2" s="1"/>
  <c r="D465" i="2"/>
  <c r="E465" i="2" s="1"/>
  <c r="D466" i="2"/>
  <c r="E466" i="2" s="1"/>
  <c r="D467" i="2"/>
  <c r="E467" i="2" s="1"/>
  <c r="D468" i="2"/>
  <c r="E468" i="2" s="1"/>
  <c r="D469" i="2"/>
  <c r="E469" i="2" s="1"/>
  <c r="D470" i="2"/>
  <c r="E470" i="2" s="1"/>
  <c r="D471" i="2"/>
  <c r="E471" i="2" s="1"/>
  <c r="D472" i="2"/>
  <c r="E472" i="2" s="1"/>
  <c r="D473" i="2"/>
  <c r="E473" i="2" s="1"/>
  <c r="D474" i="2"/>
  <c r="E474" i="2" s="1"/>
  <c r="D475" i="2"/>
  <c r="E475" i="2" s="1"/>
  <c r="D476" i="2"/>
  <c r="E476" i="2" s="1"/>
  <c r="D477" i="2"/>
  <c r="E477" i="2" s="1"/>
  <c r="D478" i="2"/>
  <c r="E478" i="2" s="1"/>
  <c r="D479" i="2"/>
  <c r="E479" i="2" s="1"/>
  <c r="D480" i="2"/>
  <c r="E480" i="2" s="1"/>
  <c r="D481" i="2"/>
  <c r="E481" i="2" s="1"/>
  <c r="D482" i="2"/>
  <c r="E482" i="2" s="1"/>
  <c r="D483" i="2"/>
  <c r="E483" i="2" s="1"/>
  <c r="D484" i="2"/>
  <c r="E484" i="2" s="1"/>
  <c r="D485" i="2"/>
  <c r="E485" i="2" s="1"/>
  <c r="D486" i="2"/>
  <c r="E486" i="2" s="1"/>
  <c r="D487" i="2"/>
  <c r="E487" i="2" s="1"/>
  <c r="D488" i="2"/>
  <c r="E488" i="2" s="1"/>
  <c r="D489" i="2"/>
  <c r="E489" i="2" s="1"/>
  <c r="D490" i="2"/>
  <c r="E490" i="2" s="1"/>
  <c r="D491" i="2"/>
  <c r="E491" i="2" s="1"/>
  <c r="D492" i="2"/>
  <c r="E492" i="2" s="1"/>
  <c r="D493" i="2"/>
  <c r="E493" i="2" s="1"/>
  <c r="D494" i="2"/>
  <c r="E494" i="2" s="1"/>
  <c r="D495" i="2"/>
  <c r="E495" i="2" s="1"/>
  <c r="D496" i="2"/>
  <c r="E496" i="2" s="1"/>
  <c r="D497" i="2"/>
  <c r="E497" i="2" s="1"/>
  <c r="D498" i="2"/>
  <c r="E498" i="2" s="1"/>
  <c r="D499" i="2"/>
  <c r="E499" i="2" s="1"/>
  <c r="D500" i="2"/>
  <c r="E500" i="2" s="1"/>
  <c r="D501" i="2"/>
  <c r="E501" i="2" s="1"/>
  <c r="D502" i="2"/>
  <c r="E502" i="2" s="1"/>
  <c r="D503" i="2"/>
  <c r="E503" i="2" s="1"/>
  <c r="D504" i="2"/>
  <c r="E504" i="2" s="1"/>
  <c r="D505" i="2"/>
  <c r="E505" i="2" s="1"/>
  <c r="D506" i="2"/>
  <c r="E506" i="2" s="1"/>
  <c r="D507" i="2"/>
  <c r="E507" i="2" s="1"/>
  <c r="D508" i="2"/>
  <c r="E508" i="2" s="1"/>
  <c r="D509" i="2"/>
  <c r="E509" i="2" s="1"/>
  <c r="D510" i="2"/>
  <c r="E510" i="2" s="1"/>
  <c r="D511" i="2"/>
  <c r="E511" i="2" s="1"/>
  <c r="D512" i="2"/>
  <c r="E512" i="2" s="1"/>
  <c r="D513" i="2"/>
  <c r="E513" i="2" s="1"/>
  <c r="D514" i="2"/>
  <c r="E514" i="2" s="1"/>
  <c r="D515" i="2"/>
  <c r="E515" i="2" s="1"/>
  <c r="D516" i="2"/>
  <c r="E516" i="2" s="1"/>
  <c r="D517" i="2"/>
  <c r="E517" i="2" s="1"/>
  <c r="D518" i="2"/>
  <c r="E518" i="2" s="1"/>
  <c r="D519" i="2"/>
  <c r="E519" i="2" s="1"/>
  <c r="D520" i="2"/>
  <c r="E520" i="2" s="1"/>
  <c r="D521" i="2"/>
  <c r="E521" i="2" s="1"/>
  <c r="D522" i="2"/>
  <c r="E522" i="2" s="1"/>
  <c r="D523" i="2"/>
  <c r="E523" i="2" s="1"/>
  <c r="D524" i="2"/>
  <c r="E524" i="2" s="1"/>
  <c r="D525" i="2"/>
  <c r="E525" i="2" s="1"/>
  <c r="D526" i="2"/>
  <c r="E526" i="2" s="1"/>
  <c r="D527" i="2"/>
  <c r="E527" i="2" s="1"/>
  <c r="D528" i="2"/>
  <c r="E528" i="2" s="1"/>
  <c r="D529" i="2"/>
  <c r="E529" i="2" s="1"/>
  <c r="D530" i="2"/>
  <c r="E530" i="2" s="1"/>
  <c r="D531" i="2"/>
  <c r="E531" i="2" s="1"/>
  <c r="D532" i="2"/>
  <c r="E532" i="2" s="1"/>
  <c r="D533" i="2"/>
  <c r="E533" i="2" s="1"/>
  <c r="D534" i="2"/>
  <c r="E534" i="2" s="1"/>
  <c r="D535" i="2"/>
  <c r="E535" i="2" s="1"/>
  <c r="D536" i="2"/>
  <c r="E536" i="2" s="1"/>
  <c r="D537" i="2"/>
  <c r="E537" i="2" s="1"/>
  <c r="D538" i="2"/>
  <c r="E538" i="2" s="1"/>
  <c r="D539" i="2"/>
  <c r="E539" i="2" s="1"/>
  <c r="D540" i="2"/>
  <c r="E540" i="2" s="1"/>
  <c r="D541" i="2"/>
  <c r="E541" i="2" s="1"/>
  <c r="D542" i="2"/>
  <c r="E542" i="2" s="1"/>
  <c r="D543" i="2"/>
  <c r="E543" i="2" s="1"/>
  <c r="D544" i="2"/>
  <c r="E544" i="2" s="1"/>
  <c r="D545" i="2"/>
  <c r="E545" i="2" s="1"/>
  <c r="D546" i="2"/>
  <c r="E546" i="2" s="1"/>
  <c r="D547" i="2"/>
  <c r="E547" i="2" s="1"/>
  <c r="D548" i="2"/>
  <c r="E548" i="2" s="1"/>
  <c r="D549" i="2"/>
  <c r="E549" i="2" s="1"/>
  <c r="D550" i="2"/>
  <c r="E550" i="2" s="1"/>
  <c r="D551" i="2"/>
  <c r="E551" i="2" s="1"/>
  <c r="D552" i="2"/>
  <c r="E552" i="2" s="1"/>
  <c r="D553" i="2"/>
  <c r="E553" i="2" s="1"/>
  <c r="D554" i="2"/>
  <c r="E554" i="2" s="1"/>
  <c r="D555" i="2"/>
  <c r="E555" i="2" s="1"/>
  <c r="D556" i="2"/>
  <c r="E556" i="2" s="1"/>
  <c r="D557" i="2"/>
  <c r="E557" i="2" s="1"/>
  <c r="D558" i="2"/>
  <c r="E558" i="2" s="1"/>
  <c r="D559" i="2"/>
  <c r="E559" i="2" s="1"/>
  <c r="D560" i="2"/>
  <c r="E560" i="2" s="1"/>
  <c r="D561" i="2"/>
  <c r="E561" i="2" s="1"/>
  <c r="D562" i="2"/>
  <c r="E562" i="2" s="1"/>
  <c r="D563" i="2"/>
  <c r="E563" i="2" s="1"/>
  <c r="D564" i="2"/>
  <c r="E564" i="2" s="1"/>
  <c r="D565" i="2"/>
  <c r="E565" i="2" s="1"/>
  <c r="D566" i="2"/>
  <c r="E566" i="2" s="1"/>
  <c r="D567" i="2"/>
  <c r="E567" i="2" s="1"/>
  <c r="D568" i="2"/>
  <c r="E568" i="2" s="1"/>
  <c r="D569" i="2"/>
  <c r="E569" i="2" s="1"/>
  <c r="D570" i="2"/>
  <c r="E570" i="2" s="1"/>
  <c r="D571" i="2"/>
  <c r="E571" i="2" s="1"/>
  <c r="D572" i="2"/>
  <c r="E572" i="2" s="1"/>
  <c r="D573" i="2"/>
  <c r="E573" i="2" s="1"/>
  <c r="D574" i="2"/>
  <c r="E574" i="2" s="1"/>
  <c r="D575" i="2"/>
  <c r="E575" i="2" s="1"/>
  <c r="D576" i="2"/>
  <c r="E576" i="2" s="1"/>
  <c r="D577" i="2"/>
  <c r="E577" i="2" s="1"/>
  <c r="D578" i="2"/>
  <c r="E578" i="2" s="1"/>
  <c r="D579" i="2"/>
  <c r="E579" i="2" s="1"/>
  <c r="D580" i="2"/>
  <c r="E580" i="2" s="1"/>
  <c r="D581" i="2"/>
  <c r="E581" i="2" s="1"/>
  <c r="D582" i="2"/>
  <c r="E582" i="2" s="1"/>
  <c r="D583" i="2"/>
  <c r="E583" i="2" s="1"/>
  <c r="D584" i="2"/>
  <c r="E584" i="2" s="1"/>
  <c r="D585" i="2"/>
  <c r="E585" i="2" s="1"/>
  <c r="D586" i="2"/>
  <c r="E586" i="2" s="1"/>
  <c r="D587" i="2"/>
  <c r="E587" i="2" s="1"/>
  <c r="D588" i="2"/>
  <c r="E588" i="2" s="1"/>
  <c r="D589" i="2"/>
  <c r="E589" i="2" s="1"/>
  <c r="D590" i="2"/>
  <c r="E590" i="2" s="1"/>
  <c r="D591" i="2"/>
  <c r="E591" i="2" s="1"/>
  <c r="D592" i="2"/>
  <c r="E592" i="2" s="1"/>
  <c r="D593" i="2"/>
  <c r="E593" i="2" s="1"/>
  <c r="D594" i="2"/>
  <c r="E594" i="2" s="1"/>
  <c r="D595" i="2"/>
  <c r="E595" i="2" s="1"/>
  <c r="D596" i="2"/>
  <c r="E596" i="2" s="1"/>
  <c r="D597" i="2"/>
  <c r="E597" i="2" s="1"/>
  <c r="D598" i="2"/>
  <c r="E598" i="2" s="1"/>
  <c r="D599" i="2"/>
  <c r="E599" i="2" s="1"/>
  <c r="D600" i="2"/>
  <c r="E600" i="2" s="1"/>
  <c r="D601" i="2"/>
  <c r="E601" i="2" s="1"/>
  <c r="D602" i="2"/>
  <c r="E602" i="2" s="1"/>
  <c r="D603" i="2"/>
  <c r="E603" i="2" s="1"/>
  <c r="D604" i="2"/>
  <c r="E604" i="2" s="1"/>
  <c r="D605" i="2"/>
  <c r="E605" i="2" s="1"/>
  <c r="D606" i="2"/>
  <c r="E606" i="2" s="1"/>
  <c r="D607" i="2"/>
  <c r="E607" i="2" s="1"/>
  <c r="D608" i="2"/>
  <c r="E608" i="2" s="1"/>
  <c r="D609" i="2"/>
  <c r="E609" i="2" s="1"/>
  <c r="D610" i="2"/>
  <c r="E610" i="2" s="1"/>
  <c r="D611" i="2"/>
  <c r="E611" i="2" s="1"/>
  <c r="D612" i="2"/>
  <c r="E612" i="2" s="1"/>
  <c r="D613" i="2"/>
  <c r="E613" i="2" s="1"/>
  <c r="D614" i="2"/>
  <c r="E614" i="2" s="1"/>
  <c r="D615" i="2"/>
  <c r="E615" i="2" s="1"/>
  <c r="D616" i="2"/>
  <c r="E616" i="2" s="1"/>
  <c r="D617" i="2"/>
  <c r="E617" i="2" s="1"/>
  <c r="D618" i="2"/>
  <c r="E618" i="2" s="1"/>
  <c r="D619" i="2"/>
  <c r="E619" i="2" s="1"/>
  <c r="D620" i="2"/>
  <c r="E620" i="2" s="1"/>
  <c r="D621" i="2"/>
  <c r="E621" i="2" s="1"/>
  <c r="D622" i="2"/>
  <c r="E622" i="2" s="1"/>
  <c r="D623" i="2"/>
  <c r="E623" i="2" s="1"/>
  <c r="D624" i="2"/>
  <c r="E624" i="2" s="1"/>
  <c r="D625" i="2"/>
  <c r="E625" i="2" s="1"/>
  <c r="D626" i="2"/>
  <c r="E626" i="2" s="1"/>
  <c r="D627" i="2"/>
  <c r="E627" i="2" s="1"/>
  <c r="D628" i="2"/>
  <c r="E628" i="2" s="1"/>
  <c r="D629" i="2"/>
  <c r="E629" i="2" s="1"/>
  <c r="D630" i="2"/>
  <c r="E630" i="2" s="1"/>
  <c r="D631" i="2"/>
  <c r="E631" i="2" s="1"/>
  <c r="D632" i="2"/>
  <c r="E632" i="2" s="1"/>
  <c r="D633" i="2"/>
  <c r="E633" i="2" s="1"/>
  <c r="D634" i="2"/>
  <c r="E634" i="2" s="1"/>
  <c r="D635" i="2"/>
  <c r="E635" i="2" s="1"/>
  <c r="D636" i="2"/>
  <c r="E636" i="2" s="1"/>
  <c r="D637" i="2"/>
  <c r="E637" i="2" s="1"/>
  <c r="D638" i="2"/>
  <c r="E638" i="2" s="1"/>
  <c r="D639" i="2"/>
  <c r="E639" i="2" s="1"/>
  <c r="D640" i="2"/>
  <c r="E640" i="2" s="1"/>
  <c r="D641" i="2"/>
  <c r="E641" i="2" s="1"/>
  <c r="D642" i="2"/>
  <c r="E642" i="2" s="1"/>
  <c r="D643" i="2"/>
  <c r="E643" i="2" s="1"/>
  <c r="D644" i="2"/>
  <c r="E644" i="2" s="1"/>
  <c r="D645" i="2"/>
  <c r="E645" i="2" s="1"/>
  <c r="D646" i="2"/>
  <c r="E646" i="2" s="1"/>
  <c r="D647" i="2"/>
  <c r="E647" i="2" s="1"/>
  <c r="D648" i="2"/>
  <c r="E648" i="2" s="1"/>
  <c r="D649" i="2"/>
  <c r="E649" i="2" s="1"/>
  <c r="D650" i="2"/>
  <c r="E650" i="2" s="1"/>
  <c r="D651" i="2"/>
  <c r="E651" i="2" s="1"/>
  <c r="D652" i="2"/>
  <c r="E652" i="2" s="1"/>
  <c r="D653" i="2"/>
  <c r="E653" i="2" s="1"/>
  <c r="D654" i="2"/>
  <c r="E654" i="2" s="1"/>
  <c r="D655" i="2"/>
  <c r="E655" i="2" s="1"/>
  <c r="D656" i="2"/>
  <c r="E656" i="2" s="1"/>
  <c r="D657" i="2"/>
  <c r="E657" i="2" s="1"/>
  <c r="D658" i="2"/>
  <c r="E658" i="2" s="1"/>
  <c r="D659" i="2"/>
  <c r="E659" i="2" s="1"/>
  <c r="D660" i="2"/>
  <c r="E660" i="2" s="1"/>
  <c r="D661" i="2"/>
  <c r="E661" i="2" s="1"/>
  <c r="D662" i="2"/>
  <c r="E662" i="2" s="1"/>
  <c r="D663" i="2"/>
  <c r="E663" i="2" s="1"/>
  <c r="D664" i="2"/>
  <c r="E664" i="2" s="1"/>
  <c r="D665" i="2"/>
  <c r="E665" i="2" s="1"/>
  <c r="D666" i="2"/>
  <c r="E666" i="2" s="1"/>
  <c r="D667" i="2"/>
  <c r="E667" i="2" s="1"/>
  <c r="D668" i="2"/>
  <c r="E668" i="2" s="1"/>
  <c r="D669" i="2"/>
  <c r="E669" i="2" s="1"/>
  <c r="D670" i="2"/>
  <c r="E670" i="2" s="1"/>
  <c r="D671" i="2"/>
  <c r="E671" i="2" s="1"/>
  <c r="D672" i="2"/>
  <c r="E672" i="2" s="1"/>
  <c r="D673" i="2"/>
  <c r="E673" i="2" s="1"/>
  <c r="D674" i="2"/>
  <c r="E674" i="2" s="1"/>
  <c r="D675" i="2"/>
  <c r="E675" i="2" s="1"/>
  <c r="D676" i="2"/>
  <c r="E676" i="2" s="1"/>
  <c r="D677" i="2"/>
  <c r="E677" i="2" s="1"/>
  <c r="D678" i="2"/>
  <c r="E678" i="2" s="1"/>
  <c r="D679" i="2"/>
  <c r="E679" i="2" s="1"/>
  <c r="D680" i="2"/>
  <c r="E680" i="2" s="1"/>
  <c r="D681" i="2"/>
  <c r="E681" i="2" s="1"/>
  <c r="D682" i="2"/>
  <c r="E682" i="2" s="1"/>
  <c r="D683" i="2"/>
  <c r="E683" i="2" s="1"/>
  <c r="D684" i="2"/>
  <c r="E684" i="2" s="1"/>
  <c r="D685" i="2"/>
  <c r="E685" i="2" s="1"/>
  <c r="D686" i="2"/>
  <c r="E686" i="2" s="1"/>
  <c r="D687" i="2"/>
  <c r="E687" i="2" s="1"/>
  <c r="D688" i="2"/>
  <c r="E688" i="2" s="1"/>
  <c r="D689" i="2"/>
  <c r="E689" i="2" s="1"/>
  <c r="D690" i="2"/>
  <c r="E690" i="2" s="1"/>
  <c r="D691" i="2"/>
  <c r="E691" i="2" s="1"/>
  <c r="D692" i="2"/>
  <c r="E692" i="2" s="1"/>
  <c r="D693" i="2"/>
  <c r="E693" i="2" s="1"/>
  <c r="D694" i="2"/>
  <c r="E694" i="2" s="1"/>
  <c r="D695" i="2"/>
  <c r="E695" i="2" s="1"/>
  <c r="D696" i="2"/>
  <c r="E696" i="2" s="1"/>
  <c r="D697" i="2"/>
  <c r="E697" i="2" s="1"/>
  <c r="D698" i="2"/>
  <c r="E698" i="2" s="1"/>
  <c r="D699" i="2"/>
  <c r="E699" i="2" s="1"/>
  <c r="D700" i="2"/>
  <c r="E700" i="2" s="1"/>
  <c r="D701" i="2"/>
  <c r="E701" i="2" s="1"/>
  <c r="D702" i="2"/>
  <c r="E702" i="2" s="1"/>
  <c r="D703" i="2"/>
  <c r="E703" i="2" s="1"/>
  <c r="D704" i="2"/>
  <c r="E704" i="2" s="1"/>
  <c r="D705" i="2"/>
  <c r="E705" i="2" s="1"/>
  <c r="D706" i="2"/>
  <c r="E706" i="2" s="1"/>
  <c r="D707" i="2"/>
  <c r="E707" i="2" s="1"/>
  <c r="D708" i="2"/>
  <c r="E708" i="2" s="1"/>
  <c r="D709" i="2"/>
  <c r="E709" i="2" s="1"/>
  <c r="D710" i="2"/>
  <c r="E710" i="2" s="1"/>
  <c r="D711" i="2"/>
  <c r="E711" i="2" s="1"/>
  <c r="D712" i="2"/>
  <c r="E712" i="2" s="1"/>
  <c r="D713" i="2"/>
  <c r="E713" i="2" s="1"/>
  <c r="D714" i="2"/>
  <c r="E714" i="2" s="1"/>
  <c r="D715" i="2"/>
  <c r="E715" i="2" s="1"/>
  <c r="D716" i="2"/>
  <c r="E716" i="2" s="1"/>
  <c r="D717" i="2"/>
  <c r="E717" i="2" s="1"/>
  <c r="D718" i="2"/>
  <c r="E718" i="2" s="1"/>
  <c r="D719" i="2"/>
  <c r="E719" i="2" s="1"/>
  <c r="D720" i="2"/>
  <c r="E720" i="2" s="1"/>
  <c r="D721" i="2"/>
  <c r="E721" i="2" s="1"/>
  <c r="D722" i="2"/>
  <c r="E722" i="2" s="1"/>
  <c r="D723" i="2"/>
  <c r="E723" i="2" s="1"/>
  <c r="D724" i="2"/>
  <c r="E724" i="2" s="1"/>
  <c r="D725" i="2"/>
  <c r="E725" i="2" s="1"/>
  <c r="D726" i="2"/>
  <c r="E726" i="2" s="1"/>
  <c r="D727" i="2"/>
  <c r="E727" i="2" s="1"/>
  <c r="D728" i="2"/>
  <c r="E728" i="2" s="1"/>
  <c r="D729" i="2"/>
  <c r="E729" i="2" s="1"/>
  <c r="D730" i="2"/>
  <c r="E730" i="2" s="1"/>
  <c r="D731" i="2"/>
  <c r="E731" i="2" s="1"/>
  <c r="D732" i="2"/>
  <c r="E732" i="2" s="1"/>
  <c r="D733" i="2"/>
  <c r="E733" i="2" s="1"/>
  <c r="D734" i="2"/>
  <c r="E734" i="2" s="1"/>
  <c r="D735" i="2"/>
  <c r="E735" i="2" s="1"/>
  <c r="D736" i="2"/>
  <c r="E736" i="2" s="1"/>
  <c r="D737" i="2"/>
  <c r="E737" i="2" s="1"/>
  <c r="D738" i="2"/>
  <c r="E738" i="2" s="1"/>
  <c r="D739" i="2"/>
  <c r="E739" i="2" s="1"/>
  <c r="D740" i="2"/>
  <c r="E740" i="2" s="1"/>
  <c r="D741" i="2"/>
  <c r="E741" i="2" s="1"/>
  <c r="D742" i="2"/>
  <c r="E742" i="2" s="1"/>
  <c r="D743" i="2"/>
  <c r="E743" i="2" s="1"/>
  <c r="D744" i="2"/>
  <c r="E744" i="2" s="1"/>
  <c r="D745" i="2"/>
  <c r="E745" i="2" s="1"/>
  <c r="D746" i="2"/>
  <c r="E746" i="2" s="1"/>
  <c r="D747" i="2"/>
  <c r="E747" i="2" s="1"/>
  <c r="D748" i="2"/>
  <c r="E748" i="2" s="1"/>
  <c r="D749" i="2"/>
  <c r="E749" i="2" s="1"/>
  <c r="D750" i="2"/>
  <c r="E750" i="2" s="1"/>
  <c r="D751" i="2"/>
  <c r="E751" i="2" s="1"/>
  <c r="D752" i="2"/>
  <c r="E752" i="2" s="1"/>
  <c r="D753" i="2"/>
  <c r="E753" i="2" s="1"/>
  <c r="D754" i="2"/>
  <c r="E754" i="2" s="1"/>
  <c r="D755" i="2"/>
  <c r="E755" i="2" s="1"/>
  <c r="D756" i="2"/>
  <c r="E756" i="2" s="1"/>
  <c r="D757" i="2"/>
  <c r="E757" i="2" s="1"/>
  <c r="D758" i="2"/>
  <c r="E758" i="2" s="1"/>
  <c r="D759" i="2"/>
  <c r="E759" i="2" s="1"/>
  <c r="D760" i="2"/>
  <c r="E760" i="2" s="1"/>
  <c r="D761" i="2"/>
  <c r="E761" i="2" s="1"/>
  <c r="D762" i="2"/>
  <c r="E762" i="2" s="1"/>
  <c r="D763" i="2"/>
  <c r="E763" i="2" s="1"/>
  <c r="D764" i="2"/>
  <c r="E764" i="2" s="1"/>
  <c r="D765" i="2"/>
  <c r="E765" i="2" s="1"/>
  <c r="D766" i="2"/>
  <c r="E766" i="2" s="1"/>
  <c r="D767" i="2"/>
  <c r="E767" i="2" s="1"/>
  <c r="D768" i="2"/>
  <c r="E768" i="2" s="1"/>
  <c r="D769" i="2"/>
  <c r="E769" i="2" s="1"/>
  <c r="D770" i="2"/>
  <c r="E770" i="2" s="1"/>
  <c r="D771" i="2"/>
  <c r="E771" i="2" s="1"/>
  <c r="D772" i="2"/>
  <c r="E772" i="2" s="1"/>
  <c r="D773" i="2"/>
  <c r="E773" i="2" s="1"/>
  <c r="D774" i="2"/>
  <c r="E774" i="2" s="1"/>
  <c r="D775" i="2"/>
  <c r="E775" i="2" s="1"/>
  <c r="D776" i="2"/>
  <c r="E776" i="2" s="1"/>
  <c r="D777" i="2"/>
  <c r="E777" i="2" s="1"/>
  <c r="D778" i="2"/>
  <c r="E778" i="2" s="1"/>
  <c r="D779" i="2"/>
  <c r="E779" i="2" s="1"/>
  <c r="D780" i="2"/>
  <c r="E780" i="2" s="1"/>
  <c r="D781" i="2"/>
  <c r="E781" i="2" s="1"/>
  <c r="D782" i="2"/>
  <c r="E782" i="2" s="1"/>
  <c r="D783" i="2"/>
  <c r="E783" i="2" s="1"/>
  <c r="D784" i="2"/>
  <c r="E784" i="2" s="1"/>
  <c r="D785" i="2"/>
  <c r="E785" i="2" s="1"/>
  <c r="D786" i="2"/>
  <c r="E786" i="2" s="1"/>
  <c r="D787" i="2"/>
  <c r="E787" i="2" s="1"/>
  <c r="D788" i="2"/>
  <c r="E788" i="2" s="1"/>
  <c r="D789" i="2"/>
  <c r="E789" i="2" s="1"/>
  <c r="D790" i="2"/>
  <c r="E790" i="2" s="1"/>
  <c r="D791" i="2"/>
  <c r="E791" i="2" s="1"/>
  <c r="D792" i="2"/>
  <c r="E792" i="2" s="1"/>
  <c r="D793" i="2"/>
  <c r="E793" i="2" s="1"/>
  <c r="D794" i="2"/>
  <c r="E794" i="2" s="1"/>
  <c r="D795" i="2"/>
  <c r="E795" i="2" s="1"/>
  <c r="D796" i="2"/>
  <c r="E796" i="2" s="1"/>
  <c r="D797" i="2"/>
  <c r="E797" i="2" s="1"/>
  <c r="D798" i="2"/>
  <c r="E798" i="2" s="1"/>
  <c r="D799" i="2"/>
  <c r="E799" i="2" s="1"/>
  <c r="D800" i="2"/>
  <c r="E800" i="2" s="1"/>
  <c r="D801" i="2"/>
  <c r="E801" i="2" s="1"/>
  <c r="D802" i="2"/>
  <c r="E802" i="2" s="1"/>
  <c r="D803" i="2"/>
  <c r="E803" i="2" s="1"/>
  <c r="D804" i="2"/>
  <c r="E804" i="2" s="1"/>
  <c r="D805" i="2"/>
  <c r="E805" i="2" s="1"/>
  <c r="D806" i="2"/>
  <c r="E806" i="2" s="1"/>
  <c r="D807" i="2"/>
  <c r="E807" i="2" s="1"/>
  <c r="D808" i="2"/>
  <c r="E808" i="2" s="1"/>
  <c r="D809" i="2"/>
  <c r="E809" i="2" s="1"/>
  <c r="D810" i="2"/>
  <c r="E810" i="2" s="1"/>
  <c r="D811" i="2"/>
  <c r="E811" i="2" s="1"/>
  <c r="D812" i="2"/>
  <c r="E812" i="2" s="1"/>
  <c r="D813" i="2"/>
  <c r="E813" i="2" s="1"/>
  <c r="D814" i="2"/>
  <c r="E814" i="2" s="1"/>
  <c r="D815" i="2"/>
  <c r="E815" i="2" s="1"/>
  <c r="D816" i="2"/>
  <c r="E816" i="2" s="1"/>
  <c r="D817" i="2"/>
  <c r="E817" i="2" s="1"/>
  <c r="D818" i="2"/>
  <c r="E818" i="2" s="1"/>
  <c r="D819" i="2"/>
  <c r="E819" i="2" s="1"/>
  <c r="D820" i="2"/>
  <c r="E820" i="2" s="1"/>
  <c r="D821" i="2"/>
  <c r="E821" i="2" s="1"/>
  <c r="D822" i="2"/>
  <c r="E822" i="2" s="1"/>
  <c r="D823" i="2"/>
  <c r="E823" i="2" s="1"/>
  <c r="D824" i="2"/>
  <c r="E824" i="2" s="1"/>
  <c r="D825" i="2"/>
  <c r="E825" i="2" s="1"/>
  <c r="D826" i="2"/>
  <c r="E826" i="2" s="1"/>
  <c r="D827" i="2"/>
  <c r="E827" i="2" s="1"/>
  <c r="D828" i="2"/>
  <c r="E828" i="2" s="1"/>
  <c r="D829" i="2"/>
  <c r="E829" i="2" s="1"/>
  <c r="D830" i="2"/>
  <c r="E830" i="2" s="1"/>
  <c r="D831" i="2"/>
  <c r="E831" i="2" s="1"/>
  <c r="D832" i="2"/>
  <c r="E832" i="2" s="1"/>
  <c r="D833" i="2"/>
  <c r="E833" i="2" s="1"/>
  <c r="D834" i="2"/>
  <c r="E834" i="2" s="1"/>
  <c r="D835" i="2"/>
  <c r="E835" i="2" s="1"/>
  <c r="D836" i="2"/>
  <c r="E836" i="2" s="1"/>
  <c r="D837" i="2"/>
  <c r="E837" i="2" s="1"/>
  <c r="D838" i="2"/>
  <c r="E838" i="2" s="1"/>
  <c r="D839" i="2"/>
  <c r="E839" i="2" s="1"/>
  <c r="D840" i="2"/>
  <c r="E840" i="2" s="1"/>
  <c r="D841" i="2"/>
  <c r="E841" i="2" s="1"/>
  <c r="D842" i="2"/>
  <c r="E842" i="2" s="1"/>
  <c r="D843" i="2"/>
  <c r="E843" i="2" s="1"/>
  <c r="D844" i="2"/>
  <c r="E844" i="2" s="1"/>
  <c r="D845" i="2"/>
  <c r="E845" i="2" s="1"/>
  <c r="D846" i="2"/>
  <c r="E846" i="2" s="1"/>
  <c r="D847" i="2"/>
  <c r="E847" i="2" s="1"/>
  <c r="D848" i="2"/>
  <c r="E848" i="2" s="1"/>
  <c r="D849" i="2"/>
  <c r="E849" i="2" s="1"/>
  <c r="D850" i="2"/>
  <c r="E850" i="2" s="1"/>
  <c r="D851" i="2"/>
  <c r="E851" i="2" s="1"/>
  <c r="D852" i="2"/>
  <c r="E852" i="2" s="1"/>
  <c r="D853" i="2"/>
  <c r="E853" i="2" s="1"/>
  <c r="D854" i="2"/>
  <c r="E854" i="2" s="1"/>
  <c r="D855" i="2"/>
  <c r="E855" i="2" s="1"/>
  <c r="D856" i="2"/>
  <c r="E856" i="2" s="1"/>
  <c r="D857" i="2"/>
  <c r="E857" i="2" s="1"/>
  <c r="D858" i="2"/>
  <c r="E858" i="2" s="1"/>
  <c r="D859" i="2"/>
  <c r="E859" i="2" s="1"/>
  <c r="D860" i="2"/>
  <c r="E860" i="2" s="1"/>
  <c r="D861" i="2"/>
  <c r="E861" i="2" s="1"/>
  <c r="D862" i="2"/>
  <c r="E862" i="2" s="1"/>
  <c r="D863" i="2"/>
  <c r="E863" i="2" s="1"/>
  <c r="D864" i="2"/>
  <c r="E864" i="2" s="1"/>
  <c r="D865" i="2"/>
  <c r="E865" i="2" s="1"/>
  <c r="D866" i="2"/>
  <c r="E866" i="2" s="1"/>
  <c r="D867" i="2"/>
  <c r="E867" i="2" s="1"/>
  <c r="D868" i="2"/>
  <c r="E868" i="2" s="1"/>
  <c r="D869" i="2"/>
  <c r="E869" i="2" s="1"/>
  <c r="D870" i="2"/>
  <c r="E870" i="2" s="1"/>
  <c r="D871" i="2"/>
  <c r="E871" i="2" s="1"/>
  <c r="D872" i="2"/>
  <c r="E872" i="2" s="1"/>
  <c r="D873" i="2"/>
  <c r="E873" i="2" s="1"/>
  <c r="D874" i="2"/>
  <c r="E874" i="2" s="1"/>
  <c r="D875" i="2"/>
  <c r="E875" i="2" s="1"/>
  <c r="D876" i="2"/>
  <c r="E876" i="2" s="1"/>
  <c r="D877" i="2"/>
  <c r="E877" i="2" s="1"/>
  <c r="D878" i="2"/>
  <c r="E878" i="2" s="1"/>
  <c r="D879" i="2"/>
  <c r="E879" i="2" s="1"/>
  <c r="D880" i="2"/>
  <c r="E880" i="2" s="1"/>
  <c r="D881" i="2"/>
  <c r="E881" i="2" s="1"/>
  <c r="D882" i="2"/>
  <c r="E882" i="2" s="1"/>
  <c r="D883" i="2"/>
  <c r="E883" i="2" s="1"/>
  <c r="D884" i="2"/>
  <c r="E884" i="2" s="1"/>
  <c r="D885" i="2"/>
  <c r="E885" i="2" s="1"/>
  <c r="D886" i="2"/>
  <c r="E886" i="2" s="1"/>
  <c r="D887" i="2"/>
  <c r="E887" i="2" s="1"/>
  <c r="D888" i="2"/>
  <c r="E888" i="2" s="1"/>
  <c r="D889" i="2"/>
  <c r="E889" i="2" s="1"/>
  <c r="D890" i="2"/>
  <c r="E890" i="2" s="1"/>
  <c r="D891" i="2"/>
  <c r="E891" i="2" s="1"/>
  <c r="D892" i="2"/>
  <c r="E892" i="2" s="1"/>
  <c r="D893" i="2"/>
  <c r="E893" i="2" s="1"/>
  <c r="D894" i="2"/>
  <c r="E894" i="2" s="1"/>
  <c r="D895" i="2"/>
  <c r="E895" i="2" s="1"/>
  <c r="D896" i="2"/>
  <c r="E896" i="2" s="1"/>
  <c r="D897" i="2"/>
  <c r="E897" i="2" s="1"/>
  <c r="D898" i="2"/>
  <c r="E898" i="2" s="1"/>
  <c r="D899" i="2"/>
  <c r="E899" i="2" s="1"/>
  <c r="D900" i="2"/>
  <c r="E900" i="2" s="1"/>
  <c r="D901" i="2"/>
  <c r="E901" i="2" s="1"/>
  <c r="D902" i="2"/>
  <c r="E902" i="2" s="1"/>
  <c r="D903" i="2"/>
  <c r="E903" i="2" s="1"/>
  <c r="D904" i="2"/>
  <c r="E904" i="2" s="1"/>
  <c r="D905" i="2"/>
  <c r="E905" i="2" s="1"/>
  <c r="D906" i="2"/>
  <c r="E906" i="2" s="1"/>
  <c r="D907" i="2"/>
  <c r="E907" i="2" s="1"/>
  <c r="D908" i="2"/>
  <c r="E908" i="2" s="1"/>
  <c r="D909" i="2"/>
  <c r="E909" i="2" s="1"/>
  <c r="D910" i="2"/>
  <c r="E910" i="2" s="1"/>
  <c r="D911" i="2"/>
  <c r="E911" i="2" s="1"/>
  <c r="D912" i="2"/>
  <c r="E912" i="2" s="1"/>
  <c r="D913" i="2"/>
  <c r="E913" i="2" s="1"/>
  <c r="D914" i="2"/>
  <c r="E914" i="2" s="1"/>
  <c r="D915" i="2"/>
  <c r="E915" i="2" s="1"/>
  <c r="D916" i="2"/>
  <c r="E916" i="2" s="1"/>
  <c r="D917" i="2"/>
  <c r="E917" i="2" s="1"/>
  <c r="D918" i="2"/>
  <c r="E918" i="2" s="1"/>
  <c r="D919" i="2"/>
  <c r="E919" i="2" s="1"/>
  <c r="D920" i="2"/>
  <c r="E920" i="2" s="1"/>
  <c r="D921" i="2"/>
  <c r="E921" i="2" s="1"/>
  <c r="D922" i="2"/>
  <c r="E922" i="2" s="1"/>
  <c r="D923" i="2"/>
  <c r="E923" i="2" s="1"/>
  <c r="D924" i="2"/>
  <c r="E924" i="2" s="1"/>
  <c r="D925" i="2"/>
  <c r="E925" i="2" s="1"/>
  <c r="D926" i="2"/>
  <c r="E926" i="2" s="1"/>
  <c r="D927" i="2"/>
  <c r="E927" i="2" s="1"/>
  <c r="D928" i="2"/>
  <c r="E928" i="2" s="1"/>
  <c r="D929" i="2"/>
  <c r="E929" i="2" s="1"/>
  <c r="D930" i="2"/>
  <c r="E930" i="2" s="1"/>
  <c r="D931" i="2"/>
  <c r="E931" i="2" s="1"/>
  <c r="D932" i="2"/>
  <c r="E932" i="2" s="1"/>
  <c r="D933" i="2"/>
  <c r="E933" i="2" s="1"/>
  <c r="D934" i="2"/>
  <c r="E934" i="2" s="1"/>
  <c r="D935" i="2"/>
  <c r="E935" i="2" s="1"/>
  <c r="D936" i="2"/>
  <c r="E936" i="2" s="1"/>
  <c r="D937" i="2"/>
  <c r="E937" i="2" s="1"/>
  <c r="D938" i="2"/>
  <c r="E938" i="2" s="1"/>
  <c r="D939" i="2"/>
  <c r="E939" i="2" s="1"/>
  <c r="D940" i="2"/>
  <c r="E940" i="2" s="1"/>
  <c r="D941" i="2"/>
  <c r="E941" i="2" s="1"/>
  <c r="D942" i="2"/>
  <c r="E942" i="2" s="1"/>
  <c r="D943" i="2"/>
  <c r="E943" i="2" s="1"/>
  <c r="D944" i="2"/>
  <c r="E944" i="2" s="1"/>
  <c r="D945" i="2"/>
  <c r="E945" i="2" s="1"/>
  <c r="D946" i="2"/>
  <c r="E946" i="2" s="1"/>
  <c r="D947" i="2"/>
  <c r="E947" i="2" s="1"/>
  <c r="D948" i="2"/>
  <c r="E948" i="2" s="1"/>
  <c r="D949" i="2"/>
  <c r="E949" i="2" s="1"/>
  <c r="D950" i="2"/>
  <c r="E950" i="2" s="1"/>
  <c r="D951" i="2"/>
  <c r="E951" i="2" s="1"/>
  <c r="D952" i="2"/>
  <c r="E952" i="2" s="1"/>
  <c r="D953" i="2"/>
  <c r="E953" i="2" s="1"/>
  <c r="D954" i="2"/>
  <c r="E954" i="2" s="1"/>
  <c r="D955" i="2"/>
  <c r="E955" i="2" s="1"/>
  <c r="D956" i="2"/>
  <c r="E956" i="2" s="1"/>
  <c r="D957" i="2"/>
  <c r="E957" i="2" s="1"/>
  <c r="D958" i="2"/>
  <c r="E958" i="2" s="1"/>
  <c r="D959" i="2"/>
  <c r="E959" i="2" s="1"/>
  <c r="D960" i="2"/>
  <c r="E960" i="2" s="1"/>
  <c r="D961" i="2"/>
  <c r="E961" i="2" s="1"/>
  <c r="D962" i="2"/>
  <c r="E962" i="2" s="1"/>
  <c r="D963" i="2"/>
  <c r="E963" i="2" s="1"/>
  <c r="D964" i="2"/>
  <c r="E964" i="2" s="1"/>
  <c r="D965" i="2"/>
  <c r="E965" i="2" s="1"/>
  <c r="D966" i="2"/>
  <c r="E966" i="2" s="1"/>
  <c r="D967" i="2"/>
  <c r="E967" i="2" s="1"/>
  <c r="D968" i="2"/>
  <c r="E968" i="2" s="1"/>
  <c r="D969" i="2"/>
  <c r="E969" i="2" s="1"/>
  <c r="D970" i="2"/>
  <c r="E970" i="2" s="1"/>
  <c r="D971" i="2"/>
  <c r="E971" i="2" s="1"/>
  <c r="D972" i="2"/>
  <c r="E972" i="2" s="1"/>
  <c r="D973" i="2"/>
  <c r="E973" i="2" s="1"/>
  <c r="D974" i="2"/>
  <c r="E974" i="2" s="1"/>
  <c r="D975" i="2"/>
  <c r="E975" i="2" s="1"/>
  <c r="D976" i="2"/>
  <c r="E976" i="2" s="1"/>
  <c r="D977" i="2"/>
  <c r="E977" i="2" s="1"/>
  <c r="D978" i="2"/>
  <c r="E978" i="2" s="1"/>
  <c r="D979" i="2"/>
  <c r="E979" i="2" s="1"/>
  <c r="D980" i="2"/>
  <c r="E980" i="2" s="1"/>
  <c r="D981" i="2"/>
  <c r="E981" i="2" s="1"/>
  <c r="D982" i="2"/>
  <c r="E982" i="2" s="1"/>
  <c r="D983" i="2"/>
  <c r="E983" i="2" s="1"/>
  <c r="D984" i="2"/>
  <c r="E984" i="2" s="1"/>
  <c r="D985" i="2"/>
  <c r="E985" i="2" s="1"/>
  <c r="D986" i="2"/>
  <c r="E986" i="2" s="1"/>
  <c r="D987" i="2"/>
  <c r="E987" i="2" s="1"/>
  <c r="D988" i="2"/>
  <c r="E988" i="2" s="1"/>
  <c r="D989" i="2"/>
  <c r="E989" i="2" s="1"/>
  <c r="D990" i="2"/>
  <c r="E990" i="2" s="1"/>
  <c r="D991" i="2"/>
  <c r="E991" i="2" s="1"/>
  <c r="D992" i="2"/>
  <c r="E992" i="2" s="1"/>
  <c r="D993" i="2"/>
  <c r="E993" i="2" s="1"/>
  <c r="D994" i="2"/>
  <c r="E994" i="2" s="1"/>
  <c r="D995" i="2"/>
  <c r="E995" i="2" s="1"/>
  <c r="D996" i="2"/>
  <c r="E996" i="2" s="1"/>
  <c r="D997" i="2"/>
  <c r="E997" i="2" s="1"/>
  <c r="D998" i="2"/>
  <c r="E998" i="2" s="1"/>
  <c r="D999" i="2"/>
  <c r="E999" i="2" s="1"/>
  <c r="D1000" i="2"/>
  <c r="E1000" i="2" s="1"/>
  <c r="D1001" i="2"/>
  <c r="E1001" i="2" s="1"/>
  <c r="D1002" i="2"/>
  <c r="E1002" i="2" s="1"/>
  <c r="D1003" i="2"/>
  <c r="E1003" i="2" s="1"/>
  <c r="D1004" i="2"/>
  <c r="E1004" i="2" s="1"/>
  <c r="D1005" i="2"/>
  <c r="E1005" i="2" s="1"/>
  <c r="D1006" i="2"/>
  <c r="E1006" i="2" s="1"/>
  <c r="D1007" i="2"/>
  <c r="E1007" i="2" s="1"/>
  <c r="D1008" i="2"/>
  <c r="E1008" i="2" s="1"/>
  <c r="D1009" i="2"/>
  <c r="E1009" i="2" s="1"/>
  <c r="D1010" i="2"/>
  <c r="E1010" i="2" s="1"/>
  <c r="D1011" i="2"/>
  <c r="E1011" i="2" s="1"/>
  <c r="D1012" i="2"/>
  <c r="E1012" i="2" s="1"/>
  <c r="D1013" i="2"/>
  <c r="E1013" i="2" s="1"/>
  <c r="D1014" i="2"/>
  <c r="E1014" i="2" s="1"/>
  <c r="D1015" i="2"/>
  <c r="E1015" i="2" s="1"/>
  <c r="D1016" i="2"/>
  <c r="E1016" i="2" s="1"/>
  <c r="D1017" i="2"/>
  <c r="E1017" i="2" s="1"/>
  <c r="D1018" i="2"/>
  <c r="E1018" i="2" s="1"/>
  <c r="D1019" i="2"/>
  <c r="E1019" i="2" s="1"/>
  <c r="D1020" i="2"/>
  <c r="E1020" i="2" s="1"/>
  <c r="D1021" i="2"/>
  <c r="E1021" i="2" s="1"/>
  <c r="D1022" i="2"/>
  <c r="E1022" i="2" s="1"/>
  <c r="D1023" i="2"/>
  <c r="E1023" i="2" s="1"/>
  <c r="D1024" i="2"/>
  <c r="E1024" i="2" s="1"/>
  <c r="D1025" i="2"/>
  <c r="E1025" i="2" s="1"/>
  <c r="D1026" i="2"/>
  <c r="E1026" i="2" s="1"/>
  <c r="D1027" i="2"/>
  <c r="E1027" i="2" s="1"/>
  <c r="D1028" i="2"/>
  <c r="E1028" i="2" s="1"/>
  <c r="D1029" i="2"/>
  <c r="E1029" i="2" s="1"/>
  <c r="D1030" i="2"/>
  <c r="E1030" i="2" s="1"/>
  <c r="D1031" i="2"/>
  <c r="E1031" i="2" s="1"/>
  <c r="D1032" i="2"/>
  <c r="E1032" i="2" s="1"/>
  <c r="D1033" i="2"/>
  <c r="E1033" i="2" s="1"/>
  <c r="D1034" i="2"/>
  <c r="E1034" i="2" s="1"/>
  <c r="D1035" i="2"/>
  <c r="E1035" i="2" s="1"/>
  <c r="D1036" i="2"/>
  <c r="E1036" i="2" s="1"/>
  <c r="D1037" i="2"/>
  <c r="E1037" i="2" s="1"/>
  <c r="D1038" i="2"/>
  <c r="E1038" i="2" s="1"/>
  <c r="D1039" i="2"/>
  <c r="E1039" i="2" s="1"/>
  <c r="D1040" i="2"/>
  <c r="E1040" i="2" s="1"/>
  <c r="D1041" i="2"/>
  <c r="E1041" i="2" s="1"/>
  <c r="D1042" i="2"/>
  <c r="E1042" i="2" s="1"/>
  <c r="D1043" i="2"/>
  <c r="E1043" i="2" s="1"/>
  <c r="D1044" i="2"/>
  <c r="E1044" i="2" s="1"/>
  <c r="D1045" i="2"/>
  <c r="E1045" i="2" s="1"/>
  <c r="D1046" i="2"/>
  <c r="E1046" i="2" s="1"/>
  <c r="D1047" i="2"/>
  <c r="E1047" i="2" s="1"/>
  <c r="D1048" i="2"/>
  <c r="E1048" i="2" s="1"/>
  <c r="D1049" i="2"/>
  <c r="E1049" i="2" s="1"/>
  <c r="D1050" i="2"/>
  <c r="E1050" i="2" s="1"/>
  <c r="D1051" i="2"/>
  <c r="E1051" i="2" s="1"/>
  <c r="D1052" i="2"/>
  <c r="E1052" i="2" s="1"/>
  <c r="D1053" i="2"/>
  <c r="E1053" i="2" s="1"/>
  <c r="D1054" i="2"/>
  <c r="E1054" i="2" s="1"/>
  <c r="D1055" i="2"/>
  <c r="E1055" i="2" s="1"/>
  <c r="D1056" i="2"/>
  <c r="E1056" i="2" s="1"/>
  <c r="D1057" i="2"/>
  <c r="E1057" i="2" s="1"/>
  <c r="D1058" i="2"/>
  <c r="E1058" i="2" s="1"/>
  <c r="D1059" i="2"/>
  <c r="E1059" i="2" s="1"/>
  <c r="D1060" i="2"/>
  <c r="E1060" i="2" s="1"/>
  <c r="D1061" i="2"/>
  <c r="E1061" i="2" s="1"/>
  <c r="D1062" i="2"/>
  <c r="E1062" i="2" s="1"/>
  <c r="D1063" i="2"/>
  <c r="E1063" i="2" s="1"/>
  <c r="D1064" i="2"/>
  <c r="E1064" i="2" s="1"/>
  <c r="D1065" i="2"/>
  <c r="E1065" i="2" s="1"/>
  <c r="D1066" i="2"/>
  <c r="E1066" i="2" s="1"/>
  <c r="D1067" i="2"/>
  <c r="E1067" i="2" s="1"/>
  <c r="D1068" i="2"/>
  <c r="E1068" i="2" s="1"/>
  <c r="D1069" i="2"/>
  <c r="E1069" i="2" s="1"/>
  <c r="D1070" i="2"/>
  <c r="E1070" i="2" s="1"/>
  <c r="D1071" i="2"/>
  <c r="E1071" i="2" s="1"/>
  <c r="D1072" i="2"/>
  <c r="E1072" i="2" s="1"/>
  <c r="D1073" i="2"/>
  <c r="E1073" i="2" s="1"/>
  <c r="D1074" i="2"/>
  <c r="E1074" i="2" s="1"/>
  <c r="D1075" i="2"/>
  <c r="E1075" i="2" s="1"/>
  <c r="D1076" i="2"/>
  <c r="E1076" i="2" s="1"/>
  <c r="D1077" i="2"/>
  <c r="E1077" i="2" s="1"/>
  <c r="D1078" i="2"/>
  <c r="E1078" i="2" s="1"/>
  <c r="D1079" i="2"/>
  <c r="E1079" i="2" s="1"/>
  <c r="D1080" i="2"/>
  <c r="E1080" i="2" s="1"/>
  <c r="D1081" i="2"/>
  <c r="E1081" i="2" s="1"/>
  <c r="D1082" i="2"/>
  <c r="E1082" i="2" s="1"/>
  <c r="D1083" i="2"/>
  <c r="E1083" i="2" s="1"/>
  <c r="D1084" i="2"/>
  <c r="E1084" i="2" s="1"/>
  <c r="D1085" i="2"/>
  <c r="E1085" i="2" s="1"/>
  <c r="D1086" i="2"/>
  <c r="E1086" i="2" s="1"/>
  <c r="D1087" i="2"/>
  <c r="E1087" i="2" s="1"/>
  <c r="D1088" i="2"/>
  <c r="E1088" i="2" s="1"/>
  <c r="D1089" i="2"/>
  <c r="E1089" i="2" s="1"/>
  <c r="D1090" i="2"/>
  <c r="E1090" i="2" s="1"/>
  <c r="D1091" i="2"/>
  <c r="E1091" i="2" s="1"/>
  <c r="D1092" i="2"/>
  <c r="E1092" i="2" s="1"/>
  <c r="D1093" i="2"/>
  <c r="E1093" i="2" s="1"/>
  <c r="D1094" i="2"/>
  <c r="E1094" i="2" s="1"/>
  <c r="D1095" i="2"/>
  <c r="E1095" i="2" s="1"/>
  <c r="D1096" i="2"/>
  <c r="E1096" i="2" s="1"/>
  <c r="D1097" i="2"/>
  <c r="E1097" i="2" s="1"/>
  <c r="D1098" i="2"/>
  <c r="E1098" i="2" s="1"/>
  <c r="D1099" i="2"/>
  <c r="E1099" i="2" s="1"/>
  <c r="D1100" i="2"/>
  <c r="E1100" i="2" s="1"/>
  <c r="D1101" i="2"/>
  <c r="E1101" i="2" s="1"/>
  <c r="D1102" i="2"/>
  <c r="E1102" i="2" s="1"/>
  <c r="D1103" i="2"/>
  <c r="E1103" i="2" s="1"/>
  <c r="D1104" i="2"/>
  <c r="E1104" i="2" s="1"/>
  <c r="D1105" i="2"/>
  <c r="E1105" i="2" s="1"/>
  <c r="D1106" i="2"/>
  <c r="E1106" i="2" s="1"/>
  <c r="D1107" i="2"/>
  <c r="E1107" i="2" s="1"/>
  <c r="D1108" i="2"/>
  <c r="E1108" i="2" s="1"/>
  <c r="D1109" i="2"/>
  <c r="E1109" i="2" s="1"/>
  <c r="D1110" i="2"/>
  <c r="E1110" i="2" s="1"/>
  <c r="D1111" i="2"/>
  <c r="E1111" i="2" s="1"/>
  <c r="D1112" i="2"/>
  <c r="E1112" i="2" s="1"/>
  <c r="D1113" i="2"/>
  <c r="E1113" i="2" s="1"/>
  <c r="D1114" i="2"/>
  <c r="E1114" i="2" s="1"/>
  <c r="D1115" i="2"/>
  <c r="E1115" i="2" s="1"/>
  <c r="D1116" i="2"/>
  <c r="E1116" i="2" s="1"/>
  <c r="D1117" i="2"/>
  <c r="E1117" i="2" s="1"/>
  <c r="D1118" i="2"/>
  <c r="E1118" i="2" s="1"/>
  <c r="D1119" i="2"/>
  <c r="E1119" i="2" s="1"/>
  <c r="D1120" i="2"/>
  <c r="E1120" i="2" s="1"/>
  <c r="D1121" i="2"/>
  <c r="E1121" i="2" s="1"/>
  <c r="D1122" i="2"/>
  <c r="E1122" i="2" s="1"/>
  <c r="D1123" i="2"/>
  <c r="E1123" i="2" s="1"/>
  <c r="D1124" i="2"/>
  <c r="E1124" i="2" s="1"/>
  <c r="D1125" i="2"/>
  <c r="E1125" i="2" s="1"/>
  <c r="D1126" i="2"/>
  <c r="E1126" i="2" s="1"/>
  <c r="D1127" i="2"/>
  <c r="E1127" i="2" s="1"/>
  <c r="D1128" i="2"/>
  <c r="E1128" i="2" s="1"/>
  <c r="D1129" i="2"/>
  <c r="E1129" i="2" s="1"/>
  <c r="D1130" i="2"/>
  <c r="E1130" i="2" s="1"/>
  <c r="D1131" i="2"/>
  <c r="E1131" i="2" s="1"/>
  <c r="D1132" i="2"/>
  <c r="E1132" i="2" s="1"/>
  <c r="D1133" i="2"/>
  <c r="E1133" i="2" s="1"/>
  <c r="D1134" i="2"/>
  <c r="E1134" i="2" s="1"/>
  <c r="D1135" i="2"/>
  <c r="E1135" i="2" s="1"/>
  <c r="D1136" i="2"/>
  <c r="E1136" i="2" s="1"/>
  <c r="D1137" i="2"/>
  <c r="E1137" i="2" s="1"/>
  <c r="D1138" i="2"/>
  <c r="E1138" i="2" s="1"/>
  <c r="D1139" i="2"/>
  <c r="E1139" i="2" s="1"/>
  <c r="D1140" i="2"/>
  <c r="E1140" i="2" s="1"/>
  <c r="D1141" i="2"/>
  <c r="E1141" i="2" s="1"/>
  <c r="D1142" i="2"/>
  <c r="E1142" i="2" s="1"/>
  <c r="D1143" i="2"/>
  <c r="E1143" i="2" s="1"/>
  <c r="D1144" i="2"/>
  <c r="E1144" i="2" s="1"/>
  <c r="D1145" i="2"/>
  <c r="E1145" i="2" s="1"/>
  <c r="D1146" i="2"/>
  <c r="E1146" i="2" s="1"/>
  <c r="D1147" i="2"/>
  <c r="E1147" i="2" s="1"/>
  <c r="D1148" i="2"/>
  <c r="E1148" i="2" s="1"/>
  <c r="D1149" i="2"/>
  <c r="E1149" i="2" s="1"/>
  <c r="D1150" i="2"/>
  <c r="E1150" i="2" s="1"/>
  <c r="D1151" i="2"/>
  <c r="E1151" i="2" s="1"/>
  <c r="D1152" i="2"/>
  <c r="E1152" i="2" s="1"/>
  <c r="D1153" i="2"/>
  <c r="E1153" i="2" s="1"/>
  <c r="D1154" i="2"/>
  <c r="E1154" i="2" s="1"/>
  <c r="D1155" i="2"/>
  <c r="E1155" i="2" s="1"/>
  <c r="D1156" i="2"/>
  <c r="E1156" i="2" s="1"/>
  <c r="D1157" i="2"/>
  <c r="E1157" i="2" s="1"/>
  <c r="D1158" i="2"/>
  <c r="E1158" i="2" s="1"/>
  <c r="D1159" i="2"/>
  <c r="E1159" i="2" s="1"/>
  <c r="D1160" i="2"/>
  <c r="E1160" i="2" s="1"/>
  <c r="D1161" i="2"/>
  <c r="E1161" i="2" s="1"/>
  <c r="D1162" i="2"/>
  <c r="E1162" i="2" s="1"/>
  <c r="D1163" i="2"/>
  <c r="E1163" i="2" s="1"/>
  <c r="D1164" i="2"/>
  <c r="E1164" i="2" s="1"/>
  <c r="D1165" i="2"/>
  <c r="E1165" i="2" s="1"/>
  <c r="D1166" i="2"/>
  <c r="E1166" i="2" s="1"/>
  <c r="D1167" i="2"/>
  <c r="E1167" i="2" s="1"/>
  <c r="D1168" i="2"/>
  <c r="E1168" i="2" s="1"/>
  <c r="D1169" i="2"/>
  <c r="E1169" i="2" s="1"/>
  <c r="D1170" i="2"/>
  <c r="E1170" i="2" s="1"/>
  <c r="D1171" i="2"/>
  <c r="E1171" i="2" s="1"/>
  <c r="D1172" i="2"/>
  <c r="E1172" i="2" s="1"/>
  <c r="D1173" i="2"/>
  <c r="E1173" i="2" s="1"/>
  <c r="D1174" i="2"/>
  <c r="E1174" i="2" s="1"/>
  <c r="D1175" i="2"/>
  <c r="E1175" i="2" s="1"/>
  <c r="D1176" i="2"/>
  <c r="E1176" i="2" s="1"/>
  <c r="D1177" i="2"/>
  <c r="E1177" i="2" s="1"/>
  <c r="D1178" i="2"/>
  <c r="E1178" i="2" s="1"/>
  <c r="D1179" i="2"/>
  <c r="E1179" i="2" s="1"/>
  <c r="D1180" i="2"/>
  <c r="E1180" i="2" s="1"/>
  <c r="D1181" i="2"/>
  <c r="E1181" i="2" s="1"/>
  <c r="D1182" i="2"/>
  <c r="E1182" i="2" s="1"/>
  <c r="D1183" i="2"/>
  <c r="E1183" i="2" s="1"/>
  <c r="D1184" i="2"/>
  <c r="E1184" i="2" s="1"/>
  <c r="D1185" i="2"/>
  <c r="E1185" i="2" s="1"/>
  <c r="D1186" i="2"/>
  <c r="E1186" i="2" s="1"/>
  <c r="D1187" i="2"/>
  <c r="E1187" i="2" s="1"/>
  <c r="D1188" i="2"/>
  <c r="E1188" i="2" s="1"/>
  <c r="D1189" i="2"/>
  <c r="E1189" i="2" s="1"/>
  <c r="D1190" i="2"/>
  <c r="E1190" i="2" s="1"/>
  <c r="D1191" i="2"/>
  <c r="E1191" i="2" s="1"/>
  <c r="D1192" i="2"/>
  <c r="E1192" i="2" s="1"/>
  <c r="D1193" i="2"/>
  <c r="E1193" i="2" s="1"/>
  <c r="D1194" i="2"/>
  <c r="E1194" i="2" s="1"/>
  <c r="D1195" i="2"/>
  <c r="E1195" i="2" s="1"/>
  <c r="D1196" i="2"/>
  <c r="E1196" i="2" s="1"/>
  <c r="D1197" i="2"/>
  <c r="E1197" i="2" s="1"/>
  <c r="D1198" i="2"/>
  <c r="E1198" i="2" s="1"/>
  <c r="D1199" i="2"/>
  <c r="E1199" i="2" s="1"/>
  <c r="D1200" i="2"/>
  <c r="E1200" i="2" s="1"/>
  <c r="D1201" i="2"/>
  <c r="E1201" i="2" s="1"/>
  <c r="D1202" i="2"/>
  <c r="E1202" i="2" s="1"/>
  <c r="D1203" i="2"/>
  <c r="E1203" i="2" s="1"/>
  <c r="D1204" i="2"/>
  <c r="E1204" i="2" s="1"/>
  <c r="D1205" i="2"/>
  <c r="E1205" i="2" s="1"/>
  <c r="D1206" i="2"/>
  <c r="E1206" i="2" s="1"/>
  <c r="D1207" i="2"/>
  <c r="E1207" i="2" s="1"/>
  <c r="D1208" i="2"/>
  <c r="E1208" i="2" s="1"/>
  <c r="D1209" i="2"/>
  <c r="E1209" i="2" s="1"/>
  <c r="D1210" i="2"/>
  <c r="E1210" i="2" s="1"/>
  <c r="D1211" i="2"/>
  <c r="E1211" i="2" s="1"/>
  <c r="D1212" i="2"/>
  <c r="E1212" i="2" s="1"/>
  <c r="D1213" i="2"/>
  <c r="E1213" i="2" s="1"/>
  <c r="D1214" i="2"/>
  <c r="E1214" i="2" s="1"/>
  <c r="D1215" i="2"/>
  <c r="E1215" i="2" s="1"/>
  <c r="D1216" i="2"/>
  <c r="E1216" i="2" s="1"/>
  <c r="D1217" i="2"/>
  <c r="E1217" i="2" s="1"/>
  <c r="D1218" i="2"/>
  <c r="E1218" i="2" s="1"/>
  <c r="D1219" i="2"/>
  <c r="E1219" i="2" s="1"/>
  <c r="D1220" i="2"/>
  <c r="E1220" i="2" s="1"/>
  <c r="D1221" i="2"/>
  <c r="E1221" i="2" s="1"/>
  <c r="D1222" i="2"/>
  <c r="E1222" i="2" s="1"/>
  <c r="D1223" i="2"/>
  <c r="E1223" i="2" s="1"/>
  <c r="D1224" i="2"/>
  <c r="E1224" i="2" s="1"/>
  <c r="D1225" i="2"/>
  <c r="E1225" i="2" s="1"/>
  <c r="D1226" i="2"/>
  <c r="E1226" i="2" s="1"/>
  <c r="D1227" i="2"/>
  <c r="E1227" i="2" s="1"/>
  <c r="D1228" i="2"/>
  <c r="E1228" i="2" s="1"/>
  <c r="D1229" i="2"/>
  <c r="E1229" i="2" s="1"/>
  <c r="D1230" i="2"/>
  <c r="E1230" i="2" s="1"/>
  <c r="D1231" i="2"/>
  <c r="E1231" i="2" s="1"/>
  <c r="D1232" i="2"/>
  <c r="E1232" i="2" s="1"/>
  <c r="D1233" i="2"/>
  <c r="E1233" i="2" s="1"/>
  <c r="D1234" i="2"/>
  <c r="E1234" i="2" s="1"/>
  <c r="D1235" i="2"/>
  <c r="E1235" i="2" s="1"/>
  <c r="D1236" i="2"/>
  <c r="E1236" i="2" s="1"/>
  <c r="D1237" i="2"/>
  <c r="E1237" i="2" s="1"/>
  <c r="D1238" i="2"/>
  <c r="E1238" i="2" s="1"/>
  <c r="D1239" i="2"/>
  <c r="E1239" i="2" s="1"/>
  <c r="D1240" i="2"/>
  <c r="E1240" i="2" s="1"/>
  <c r="D1241" i="2"/>
  <c r="E1241" i="2" s="1"/>
  <c r="D1242" i="2"/>
  <c r="E1242" i="2" s="1"/>
  <c r="D1243" i="2"/>
  <c r="E1243" i="2" s="1"/>
  <c r="D1244" i="2"/>
  <c r="E1244" i="2" s="1"/>
  <c r="D1245" i="2"/>
  <c r="E1245" i="2" s="1"/>
  <c r="D1246" i="2"/>
  <c r="E1246" i="2" s="1"/>
  <c r="D1247" i="2"/>
  <c r="E1247" i="2" s="1"/>
  <c r="D1248" i="2"/>
  <c r="E1248" i="2" s="1"/>
  <c r="D1249" i="2"/>
  <c r="E1249" i="2" s="1"/>
  <c r="D1250" i="2"/>
  <c r="E1250" i="2" s="1"/>
  <c r="D1251" i="2"/>
  <c r="E1251" i="2" s="1"/>
  <c r="D1252" i="2"/>
  <c r="E1252" i="2" s="1"/>
  <c r="D1253" i="2"/>
  <c r="E1253" i="2" s="1"/>
  <c r="D1254" i="2"/>
  <c r="E1254" i="2" s="1"/>
  <c r="D1255" i="2"/>
  <c r="E1255" i="2" s="1"/>
  <c r="D1256" i="2"/>
  <c r="E1256" i="2" s="1"/>
  <c r="D1257" i="2"/>
  <c r="E1257" i="2" s="1"/>
  <c r="D1258" i="2"/>
  <c r="E1258" i="2" s="1"/>
  <c r="D1259" i="2"/>
  <c r="E1259" i="2" s="1"/>
  <c r="D1260" i="2"/>
  <c r="E1260" i="2" s="1"/>
  <c r="D1261" i="2"/>
  <c r="E1261" i="2" s="1"/>
  <c r="D1262" i="2"/>
  <c r="E1262" i="2" s="1"/>
  <c r="D1263" i="2"/>
  <c r="E1263" i="2" s="1"/>
  <c r="D1264" i="2"/>
  <c r="E1264" i="2" s="1"/>
  <c r="D1265" i="2"/>
  <c r="E1265" i="2" s="1"/>
  <c r="D1266" i="2"/>
  <c r="E1266" i="2" s="1"/>
  <c r="D1267" i="2"/>
  <c r="E1267" i="2" s="1"/>
  <c r="D1268" i="2"/>
  <c r="E1268" i="2" s="1"/>
  <c r="D1269" i="2"/>
  <c r="E1269" i="2" s="1"/>
  <c r="D1270" i="2"/>
  <c r="E1270" i="2" s="1"/>
  <c r="D1271" i="2"/>
  <c r="E1271" i="2" s="1"/>
  <c r="D1272" i="2"/>
  <c r="E1272" i="2" s="1"/>
  <c r="D1273" i="2"/>
  <c r="E1273" i="2" s="1"/>
  <c r="D1274" i="2"/>
  <c r="E1274" i="2" s="1"/>
  <c r="D1275" i="2"/>
  <c r="E1275" i="2" s="1"/>
  <c r="D1276" i="2"/>
  <c r="E1276" i="2" s="1"/>
  <c r="D1277" i="2"/>
  <c r="E1277" i="2" s="1"/>
  <c r="D1278" i="2"/>
  <c r="E1278" i="2" s="1"/>
  <c r="D1279" i="2"/>
  <c r="E1279" i="2" s="1"/>
  <c r="D1280" i="2"/>
  <c r="E1280" i="2" s="1"/>
  <c r="D1281" i="2"/>
  <c r="E1281" i="2" s="1"/>
  <c r="D1282" i="2"/>
  <c r="E1282" i="2" s="1"/>
  <c r="D1283" i="2"/>
  <c r="E1283" i="2" s="1"/>
  <c r="D1284" i="2"/>
  <c r="E1284" i="2" s="1"/>
  <c r="D1285" i="2"/>
  <c r="E1285" i="2" s="1"/>
  <c r="D1286" i="2"/>
  <c r="E1286" i="2" s="1"/>
  <c r="D1287" i="2"/>
  <c r="E1287" i="2" s="1"/>
  <c r="D1288" i="2"/>
  <c r="E1288" i="2" s="1"/>
  <c r="D1289" i="2"/>
  <c r="E1289" i="2" s="1"/>
  <c r="D1290" i="2"/>
  <c r="E1290" i="2" s="1"/>
  <c r="D1291" i="2"/>
  <c r="E1291" i="2" s="1"/>
  <c r="D1292" i="2"/>
  <c r="E1292" i="2" s="1"/>
  <c r="D1293" i="2"/>
  <c r="E1293" i="2" s="1"/>
  <c r="D1294" i="2"/>
  <c r="E1294" i="2" s="1"/>
  <c r="D1295" i="2"/>
  <c r="E1295" i="2" s="1"/>
  <c r="D1296" i="2"/>
  <c r="E1296" i="2" s="1"/>
  <c r="D1297" i="2"/>
  <c r="E1297" i="2" s="1"/>
  <c r="D1298" i="2"/>
  <c r="E1298" i="2" s="1"/>
  <c r="D1299" i="2"/>
  <c r="E1299" i="2" s="1"/>
  <c r="D1300" i="2"/>
  <c r="E1300" i="2" s="1"/>
  <c r="D1301" i="2"/>
  <c r="E1301" i="2" s="1"/>
  <c r="D1302" i="2"/>
  <c r="E1302" i="2" s="1"/>
  <c r="D1303" i="2"/>
  <c r="E1303" i="2" s="1"/>
  <c r="D1304" i="2"/>
  <c r="E1304" i="2" s="1"/>
  <c r="D1305" i="2"/>
  <c r="E1305" i="2" s="1"/>
  <c r="D1306" i="2"/>
  <c r="E1306" i="2" s="1"/>
  <c r="D1307" i="2"/>
  <c r="E1307" i="2" s="1"/>
  <c r="D1308" i="2"/>
  <c r="E1308" i="2" s="1"/>
  <c r="D1309" i="2"/>
  <c r="E1309" i="2" s="1"/>
  <c r="D1310" i="2"/>
  <c r="E1310" i="2" s="1"/>
  <c r="D1311" i="2"/>
  <c r="E1311" i="2" s="1"/>
  <c r="D1312" i="2"/>
  <c r="E1312" i="2" s="1"/>
  <c r="D1313" i="2"/>
  <c r="E1313" i="2" s="1"/>
  <c r="D1314" i="2"/>
  <c r="E1314" i="2" s="1"/>
  <c r="D1315" i="2"/>
  <c r="E1315" i="2" s="1"/>
  <c r="D1316" i="2"/>
  <c r="E1316" i="2" s="1"/>
  <c r="D1317" i="2"/>
  <c r="E1317" i="2" s="1"/>
  <c r="D1318" i="2"/>
  <c r="E1318" i="2" s="1"/>
  <c r="D1319" i="2"/>
  <c r="E1319" i="2" s="1"/>
  <c r="D1320" i="2"/>
  <c r="E1320" i="2" s="1"/>
  <c r="D1321" i="2"/>
  <c r="E1321" i="2" s="1"/>
  <c r="D1322" i="2"/>
  <c r="E1322" i="2" s="1"/>
  <c r="D1323" i="2"/>
  <c r="E1323" i="2" s="1"/>
  <c r="D1324" i="2"/>
  <c r="E1324" i="2" s="1"/>
  <c r="D1325" i="2"/>
  <c r="E1325" i="2" s="1"/>
  <c r="D1326" i="2"/>
  <c r="E1326" i="2" s="1"/>
  <c r="D1327" i="2"/>
  <c r="E1327" i="2" s="1"/>
  <c r="D1328" i="2"/>
  <c r="E1328" i="2" s="1"/>
  <c r="D1329" i="2"/>
  <c r="E1329" i="2" s="1"/>
  <c r="D1330" i="2"/>
  <c r="E1330" i="2" s="1"/>
  <c r="D1331" i="2"/>
  <c r="E1331" i="2" s="1"/>
  <c r="D1332" i="2"/>
  <c r="E1332" i="2" s="1"/>
  <c r="D1333" i="2"/>
  <c r="E1333" i="2" s="1"/>
  <c r="D1334" i="2"/>
  <c r="E1334" i="2" s="1"/>
  <c r="D1335" i="2"/>
  <c r="E1335" i="2" s="1"/>
  <c r="D1336" i="2"/>
  <c r="E1336" i="2" s="1"/>
  <c r="D1337" i="2"/>
  <c r="E1337" i="2" s="1"/>
  <c r="D1338" i="2"/>
  <c r="E1338" i="2" s="1"/>
  <c r="D1339" i="2"/>
  <c r="E1339" i="2" s="1"/>
  <c r="D1340" i="2"/>
  <c r="E1340" i="2" s="1"/>
  <c r="D1341" i="2"/>
  <c r="E1341" i="2" s="1"/>
  <c r="D1342" i="2"/>
  <c r="E1342" i="2" s="1"/>
  <c r="D1343" i="2"/>
  <c r="E1343" i="2" s="1"/>
  <c r="D1344" i="2"/>
  <c r="E1344" i="2" s="1"/>
  <c r="D1345" i="2"/>
  <c r="E1345" i="2" s="1"/>
  <c r="D1346" i="2"/>
  <c r="E1346" i="2" s="1"/>
  <c r="D1347" i="2"/>
  <c r="E1347" i="2" s="1"/>
  <c r="D1348" i="2"/>
  <c r="E1348" i="2" s="1"/>
  <c r="D1349" i="2"/>
  <c r="E1349" i="2" s="1"/>
  <c r="D1350" i="2"/>
  <c r="E1350" i="2" s="1"/>
  <c r="D1351" i="2"/>
  <c r="E1351" i="2" s="1"/>
  <c r="D1352" i="2"/>
  <c r="E1352" i="2" s="1"/>
  <c r="D1353" i="2"/>
  <c r="E1353" i="2" s="1"/>
  <c r="D1354" i="2"/>
  <c r="E1354" i="2" s="1"/>
  <c r="D1355" i="2"/>
  <c r="E1355" i="2" s="1"/>
  <c r="D1356" i="2"/>
  <c r="E1356" i="2" s="1"/>
  <c r="D1357" i="2"/>
  <c r="E1357" i="2" s="1"/>
  <c r="D1358" i="2"/>
  <c r="E1358" i="2" s="1"/>
  <c r="D1359" i="2"/>
  <c r="E1359" i="2" s="1"/>
  <c r="D1360" i="2"/>
  <c r="E1360" i="2" s="1"/>
  <c r="D1361" i="2"/>
  <c r="E1361" i="2" s="1"/>
  <c r="D1362" i="2"/>
  <c r="E1362" i="2" s="1"/>
  <c r="D1363" i="2"/>
  <c r="E1363" i="2" s="1"/>
  <c r="D1364" i="2"/>
  <c r="E1364" i="2" s="1"/>
  <c r="D1365" i="2"/>
  <c r="E1365" i="2" s="1"/>
  <c r="D1366" i="2"/>
  <c r="E1366" i="2" s="1"/>
  <c r="D1367" i="2"/>
  <c r="E1367" i="2" s="1"/>
  <c r="D1368" i="2"/>
  <c r="E1368" i="2" s="1"/>
  <c r="D1369" i="2"/>
  <c r="E1369" i="2" s="1"/>
  <c r="D1370" i="2"/>
  <c r="E1370" i="2" s="1"/>
  <c r="D1371" i="2"/>
  <c r="E1371" i="2" s="1"/>
  <c r="D1372" i="2"/>
  <c r="E1372" i="2" s="1"/>
  <c r="D1373" i="2"/>
  <c r="E1373" i="2" s="1"/>
  <c r="D1374" i="2"/>
  <c r="E1374" i="2" s="1"/>
  <c r="D1375" i="2"/>
  <c r="E1375" i="2" s="1"/>
  <c r="D1376" i="2"/>
  <c r="E1376" i="2" s="1"/>
  <c r="D1377" i="2"/>
  <c r="E1377" i="2" s="1"/>
  <c r="D1378" i="2"/>
  <c r="E1378" i="2" s="1"/>
  <c r="D1379" i="2"/>
  <c r="E1379" i="2" s="1"/>
  <c r="D1380" i="2"/>
  <c r="E1380" i="2" s="1"/>
  <c r="D1381" i="2"/>
  <c r="E1381" i="2" s="1"/>
  <c r="D1382" i="2"/>
  <c r="E1382" i="2" s="1"/>
  <c r="D1383" i="2"/>
  <c r="E1383" i="2" s="1"/>
  <c r="D1384" i="2"/>
  <c r="E1384" i="2" s="1"/>
  <c r="D1385" i="2"/>
  <c r="E1385" i="2" s="1"/>
  <c r="D1386" i="2"/>
  <c r="E1386" i="2" s="1"/>
  <c r="D1387" i="2"/>
  <c r="E1387" i="2" s="1"/>
  <c r="D1388" i="2"/>
  <c r="E1388" i="2" s="1"/>
  <c r="D1389" i="2"/>
  <c r="E1389" i="2" s="1"/>
  <c r="D1390" i="2"/>
  <c r="E1390" i="2" s="1"/>
  <c r="D1391" i="2"/>
  <c r="E1391" i="2" s="1"/>
  <c r="D1392" i="2"/>
  <c r="E1392" i="2" s="1"/>
  <c r="D1393" i="2"/>
  <c r="E1393" i="2" s="1"/>
  <c r="D1394" i="2"/>
  <c r="E1394" i="2" s="1"/>
  <c r="D1395" i="2"/>
  <c r="E1395" i="2" s="1"/>
  <c r="D1396" i="2"/>
  <c r="E1396" i="2" s="1"/>
  <c r="D1397" i="2"/>
  <c r="E1397" i="2" s="1"/>
  <c r="D1398" i="2"/>
  <c r="E1398" i="2" s="1"/>
  <c r="D1399" i="2"/>
  <c r="E1399" i="2" s="1"/>
  <c r="D1400" i="2"/>
  <c r="E1400" i="2" s="1"/>
  <c r="D1401" i="2"/>
  <c r="E1401" i="2" s="1"/>
  <c r="D1402" i="2"/>
  <c r="E1402" i="2" s="1"/>
  <c r="D1403" i="2"/>
  <c r="E1403" i="2" s="1"/>
  <c r="D1404" i="2"/>
  <c r="E1404" i="2" s="1"/>
  <c r="D1405" i="2"/>
  <c r="E1405" i="2" s="1"/>
  <c r="D1406" i="2"/>
  <c r="E1406" i="2" s="1"/>
  <c r="D1407" i="2"/>
  <c r="E1407" i="2" s="1"/>
  <c r="D1408" i="2"/>
  <c r="E1408" i="2" s="1"/>
  <c r="D1409" i="2"/>
  <c r="E1409" i="2" s="1"/>
  <c r="D1410" i="2"/>
  <c r="E1410" i="2" s="1"/>
  <c r="D1411" i="2"/>
  <c r="E1411" i="2" s="1"/>
  <c r="D1412" i="2"/>
  <c r="E1412" i="2" s="1"/>
  <c r="D1413" i="2"/>
  <c r="E1413" i="2" s="1"/>
  <c r="D1414" i="2"/>
  <c r="E1414" i="2" s="1"/>
  <c r="D1415" i="2"/>
  <c r="E1415" i="2" s="1"/>
  <c r="D1416" i="2"/>
  <c r="E1416" i="2" s="1"/>
  <c r="D1417" i="2"/>
  <c r="E1417" i="2" s="1"/>
  <c r="D1418" i="2"/>
  <c r="E1418" i="2" s="1"/>
  <c r="D1419" i="2"/>
  <c r="E1419" i="2" s="1"/>
  <c r="D1420" i="2"/>
  <c r="E1420" i="2" s="1"/>
  <c r="D1421" i="2"/>
  <c r="E1421" i="2" s="1"/>
  <c r="D1422" i="2"/>
  <c r="E1422" i="2" s="1"/>
  <c r="D1423" i="2"/>
  <c r="E1423" i="2" s="1"/>
  <c r="D1424" i="2"/>
  <c r="E1424" i="2" s="1"/>
  <c r="D1425" i="2"/>
  <c r="E1425" i="2" s="1"/>
  <c r="D1426" i="2"/>
  <c r="E1426" i="2" s="1"/>
  <c r="D1427" i="2"/>
  <c r="E1427" i="2" s="1"/>
  <c r="D1428" i="2"/>
  <c r="E1428" i="2" s="1"/>
  <c r="D1429" i="2"/>
  <c r="E1429" i="2" s="1"/>
  <c r="D1430" i="2"/>
  <c r="E1430" i="2" s="1"/>
  <c r="D1431" i="2"/>
  <c r="E1431" i="2" s="1"/>
  <c r="D1432" i="2"/>
  <c r="E1432" i="2" s="1"/>
  <c r="D1433" i="2"/>
  <c r="E1433" i="2" s="1"/>
  <c r="D1434" i="2"/>
  <c r="E1434" i="2" s="1"/>
  <c r="D1435" i="2"/>
  <c r="E1435" i="2" s="1"/>
  <c r="D1436" i="2"/>
  <c r="E1436" i="2" s="1"/>
  <c r="D1437" i="2"/>
  <c r="E1437" i="2" s="1"/>
  <c r="D1438" i="2"/>
  <c r="E1438" i="2" s="1"/>
  <c r="D1439" i="2"/>
  <c r="E1439" i="2" s="1"/>
  <c r="D1440" i="2"/>
  <c r="E1440" i="2" s="1"/>
  <c r="D1441" i="2"/>
  <c r="E1441" i="2" s="1"/>
  <c r="D1442" i="2"/>
  <c r="E1442" i="2" s="1"/>
  <c r="D1443" i="2"/>
  <c r="E1443" i="2" s="1"/>
  <c r="D1444" i="2"/>
  <c r="E1444" i="2" s="1"/>
  <c r="D1445" i="2"/>
  <c r="E1445" i="2" s="1"/>
  <c r="D1446" i="2"/>
  <c r="E1446" i="2" s="1"/>
  <c r="D1447" i="2"/>
  <c r="E1447" i="2" s="1"/>
  <c r="D1448" i="2"/>
  <c r="E1448" i="2" s="1"/>
  <c r="D1449" i="2"/>
  <c r="E1449" i="2" s="1"/>
  <c r="D1450" i="2"/>
  <c r="E1450" i="2" s="1"/>
  <c r="D1451" i="2"/>
  <c r="E1451" i="2" s="1"/>
  <c r="D1452" i="2"/>
  <c r="E1452" i="2" s="1"/>
  <c r="D1453" i="2"/>
  <c r="E1453" i="2" s="1"/>
  <c r="D1454" i="2"/>
  <c r="E1454" i="2" s="1"/>
  <c r="D1455" i="2"/>
  <c r="E1455" i="2" s="1"/>
  <c r="D1456" i="2"/>
  <c r="E1456" i="2" s="1"/>
  <c r="D1457" i="2"/>
  <c r="E1457" i="2" s="1"/>
  <c r="D1458" i="2"/>
  <c r="E1458" i="2" s="1"/>
  <c r="D1459" i="2"/>
  <c r="E1459" i="2" s="1"/>
  <c r="D1460" i="2"/>
  <c r="E1460" i="2" s="1"/>
  <c r="D1461" i="2"/>
  <c r="E1461" i="2" s="1"/>
  <c r="D1462" i="2"/>
  <c r="E1462" i="2" s="1"/>
  <c r="D1463" i="2"/>
  <c r="E1463" i="2" s="1"/>
  <c r="D1464" i="2"/>
  <c r="E1464" i="2" s="1"/>
  <c r="D1465" i="2"/>
  <c r="E1465" i="2" s="1"/>
  <c r="D1466" i="2"/>
  <c r="E1466" i="2" s="1"/>
  <c r="D1467" i="2"/>
  <c r="E1467" i="2" s="1"/>
  <c r="D1468" i="2"/>
  <c r="E1468" i="2" s="1"/>
  <c r="D1469" i="2"/>
  <c r="E1469" i="2" s="1"/>
  <c r="D1470" i="2"/>
  <c r="E1470" i="2" s="1"/>
  <c r="D1471" i="2"/>
  <c r="E1471" i="2" s="1"/>
  <c r="D1472" i="2"/>
  <c r="E1472" i="2" s="1"/>
  <c r="D1473" i="2"/>
  <c r="E1473" i="2" s="1"/>
  <c r="D1474" i="2"/>
  <c r="E1474" i="2" s="1"/>
  <c r="D1475" i="2"/>
  <c r="E1475" i="2" s="1"/>
  <c r="D1476" i="2"/>
  <c r="E1476" i="2" s="1"/>
  <c r="D1477" i="2"/>
  <c r="E1477" i="2" s="1"/>
  <c r="D1478" i="2"/>
  <c r="E1478" i="2" s="1"/>
  <c r="D1479" i="2"/>
  <c r="E1479" i="2" s="1"/>
  <c r="D1480" i="2"/>
  <c r="E1480" i="2" s="1"/>
  <c r="D1481" i="2"/>
  <c r="E1481" i="2" s="1"/>
  <c r="D1482" i="2"/>
  <c r="E1482" i="2" s="1"/>
  <c r="D1483" i="2"/>
  <c r="E1483" i="2" s="1"/>
  <c r="D1484" i="2"/>
  <c r="E1484" i="2" s="1"/>
  <c r="D1485" i="2"/>
  <c r="E1485" i="2" s="1"/>
  <c r="D1486" i="2"/>
  <c r="E1486" i="2" s="1"/>
  <c r="D1487" i="2"/>
  <c r="E1487" i="2" s="1"/>
  <c r="D1488" i="2"/>
  <c r="E1488" i="2" s="1"/>
  <c r="D1489" i="2"/>
  <c r="E1489" i="2" s="1"/>
  <c r="D1490" i="2"/>
  <c r="E1490" i="2" s="1"/>
  <c r="D1491" i="2"/>
  <c r="E1491" i="2" s="1"/>
  <c r="D1492" i="2"/>
  <c r="E1492" i="2" s="1"/>
  <c r="D1493" i="2"/>
  <c r="E1493" i="2" s="1"/>
  <c r="D1494" i="2"/>
  <c r="E1494" i="2" s="1"/>
  <c r="D1495" i="2"/>
  <c r="E1495" i="2" s="1"/>
  <c r="D1496" i="2"/>
  <c r="E1496" i="2" s="1"/>
  <c r="D1497" i="2"/>
  <c r="E1497" i="2" s="1"/>
  <c r="D1498" i="2"/>
  <c r="E1498" i="2" s="1"/>
  <c r="D1499" i="2"/>
  <c r="E1499" i="2" s="1"/>
  <c r="D1500" i="2"/>
  <c r="E1500" i="2" s="1"/>
  <c r="D1501" i="2"/>
  <c r="E1501" i="2" s="1"/>
  <c r="D1502" i="2"/>
  <c r="E1502" i="2" s="1"/>
  <c r="D1503" i="2"/>
  <c r="E1503" i="2" s="1"/>
  <c r="D1504" i="2"/>
  <c r="E1504" i="2" s="1"/>
  <c r="D1505" i="2"/>
  <c r="E1505" i="2" s="1"/>
  <c r="D1506" i="2"/>
  <c r="E1506" i="2" s="1"/>
  <c r="D1507" i="2"/>
  <c r="E1507" i="2" s="1"/>
  <c r="D1508" i="2"/>
  <c r="E1508" i="2" s="1"/>
  <c r="D1509" i="2"/>
  <c r="E1509" i="2" s="1"/>
  <c r="D1510" i="2"/>
  <c r="E1510" i="2" s="1"/>
  <c r="D1511" i="2"/>
  <c r="E1511" i="2" s="1"/>
  <c r="D1512" i="2"/>
  <c r="E1512" i="2" s="1"/>
  <c r="D1513" i="2"/>
  <c r="E1513" i="2" s="1"/>
  <c r="D1514" i="2"/>
  <c r="E1514" i="2" s="1"/>
  <c r="D1515" i="2"/>
  <c r="E1515" i="2" s="1"/>
  <c r="D1516" i="2"/>
  <c r="E1516" i="2" s="1"/>
  <c r="D1517" i="2"/>
  <c r="E1517" i="2" s="1"/>
  <c r="D1518" i="2"/>
  <c r="E1518" i="2" s="1"/>
  <c r="D1519" i="2"/>
  <c r="E1519" i="2" s="1"/>
  <c r="D1520" i="2"/>
  <c r="E1520" i="2" s="1"/>
  <c r="D1521" i="2"/>
  <c r="E1521" i="2" s="1"/>
  <c r="D1522" i="2"/>
  <c r="E1522" i="2" s="1"/>
  <c r="D1523" i="2"/>
  <c r="E1523" i="2" s="1"/>
  <c r="D1524" i="2"/>
  <c r="E1524" i="2" s="1"/>
  <c r="D1525" i="2"/>
  <c r="E1525" i="2" s="1"/>
  <c r="D1526" i="2"/>
  <c r="E1526" i="2" s="1"/>
  <c r="D1527" i="2"/>
  <c r="E1527" i="2" s="1"/>
  <c r="D1528" i="2"/>
  <c r="E1528" i="2" s="1"/>
  <c r="D1529" i="2"/>
  <c r="E1529" i="2" s="1"/>
  <c r="D1530" i="2"/>
  <c r="E1530" i="2" s="1"/>
  <c r="D1531" i="2"/>
  <c r="E1531" i="2" s="1"/>
  <c r="D1532" i="2"/>
  <c r="E1532" i="2" s="1"/>
  <c r="D1533" i="2"/>
  <c r="E1533" i="2" s="1"/>
  <c r="D1534" i="2"/>
  <c r="E1534" i="2" s="1"/>
  <c r="D1535" i="2"/>
  <c r="E1535" i="2" s="1"/>
  <c r="D1536" i="2"/>
  <c r="E1536" i="2" s="1"/>
  <c r="D1537" i="2"/>
  <c r="E1537" i="2" s="1"/>
  <c r="D1538" i="2"/>
  <c r="E1538" i="2" s="1"/>
  <c r="D1539" i="2"/>
  <c r="E1539" i="2" s="1"/>
  <c r="D1540" i="2"/>
  <c r="E1540" i="2" s="1"/>
  <c r="D1541" i="2"/>
  <c r="E1541" i="2" s="1"/>
  <c r="D1542" i="2"/>
  <c r="E1542" i="2" s="1"/>
  <c r="D1543" i="2"/>
  <c r="E1543" i="2" s="1"/>
  <c r="D1544" i="2"/>
  <c r="E1544" i="2" s="1"/>
  <c r="D1545" i="2"/>
  <c r="E1545" i="2" s="1"/>
  <c r="D1546" i="2"/>
  <c r="E1546" i="2" s="1"/>
  <c r="D1547" i="2"/>
  <c r="E1547" i="2" s="1"/>
  <c r="D1548" i="2"/>
  <c r="E1548" i="2" s="1"/>
  <c r="D1549" i="2"/>
  <c r="E1549" i="2" s="1"/>
  <c r="D1550" i="2"/>
  <c r="E1550" i="2" s="1"/>
  <c r="D1551" i="2"/>
  <c r="E1551" i="2" s="1"/>
  <c r="D1552" i="2"/>
  <c r="E1552" i="2" s="1"/>
  <c r="D1553" i="2"/>
  <c r="E1553" i="2" s="1"/>
  <c r="D1554" i="2"/>
  <c r="E1554" i="2" s="1"/>
  <c r="D1555" i="2"/>
  <c r="E1555" i="2" s="1"/>
  <c r="D1556" i="2"/>
  <c r="E1556" i="2" s="1"/>
  <c r="D1557" i="2"/>
  <c r="E1557" i="2" s="1"/>
  <c r="D1558" i="2"/>
  <c r="E1558" i="2" s="1"/>
  <c r="D1559" i="2"/>
  <c r="E1559" i="2" s="1"/>
  <c r="D1560" i="2"/>
  <c r="E1560" i="2" s="1"/>
  <c r="D1561" i="2"/>
  <c r="E1561" i="2" s="1"/>
  <c r="D1562" i="2"/>
  <c r="E1562" i="2" s="1"/>
  <c r="D1563" i="2"/>
  <c r="E1563" i="2" s="1"/>
  <c r="D1564" i="2"/>
  <c r="E1564" i="2" s="1"/>
  <c r="D1565" i="2"/>
  <c r="E1565" i="2" s="1"/>
  <c r="D1566" i="2"/>
  <c r="E1566" i="2" s="1"/>
  <c r="D1567" i="2"/>
  <c r="E1567" i="2" s="1"/>
  <c r="D1568" i="2"/>
  <c r="E1568" i="2" s="1"/>
  <c r="D1569" i="2"/>
  <c r="E1569" i="2" s="1"/>
  <c r="D1570" i="2"/>
  <c r="E1570" i="2" s="1"/>
  <c r="D1571" i="2"/>
  <c r="E1571" i="2" s="1"/>
  <c r="D1572" i="2"/>
  <c r="E1572" i="2" s="1"/>
  <c r="D1573" i="2"/>
  <c r="E1573" i="2" s="1"/>
  <c r="D1574" i="2"/>
  <c r="E1574" i="2" s="1"/>
  <c r="D1575" i="2"/>
  <c r="E1575" i="2" s="1"/>
  <c r="D1576" i="2"/>
  <c r="E1576" i="2" s="1"/>
  <c r="D1577" i="2"/>
  <c r="E1577" i="2" s="1"/>
  <c r="D1578" i="2"/>
  <c r="E1578" i="2" s="1"/>
  <c r="D1579" i="2"/>
  <c r="E1579" i="2" s="1"/>
  <c r="D1580" i="2"/>
  <c r="E1580" i="2" s="1"/>
  <c r="D1581" i="2"/>
  <c r="E1581" i="2" s="1"/>
  <c r="D1582" i="2"/>
  <c r="E1582" i="2" s="1"/>
  <c r="D1583" i="2"/>
  <c r="E1583" i="2" s="1"/>
  <c r="D1584" i="2"/>
  <c r="E1584" i="2" s="1"/>
  <c r="D1585" i="2"/>
  <c r="E1585" i="2" s="1"/>
  <c r="D1586" i="2"/>
  <c r="E1586" i="2" s="1"/>
  <c r="D1587" i="2"/>
  <c r="E1587" i="2" s="1"/>
  <c r="D1588" i="2"/>
  <c r="E1588" i="2" s="1"/>
  <c r="D1589" i="2"/>
  <c r="E1589" i="2" s="1"/>
  <c r="D1590" i="2"/>
  <c r="E1590" i="2" s="1"/>
  <c r="D1591" i="2"/>
  <c r="E1591" i="2" s="1"/>
  <c r="D1592" i="2"/>
  <c r="E1592" i="2" s="1"/>
  <c r="D1593" i="2"/>
  <c r="E1593" i="2" s="1"/>
  <c r="D1594" i="2"/>
  <c r="E1594" i="2" s="1"/>
  <c r="D1595" i="2"/>
  <c r="E1595" i="2" s="1"/>
  <c r="D1596" i="2"/>
  <c r="E1596" i="2" s="1"/>
  <c r="D1597" i="2"/>
  <c r="E1597" i="2" s="1"/>
  <c r="D1598" i="2"/>
  <c r="E1598" i="2" s="1"/>
  <c r="D1599" i="2"/>
  <c r="E1599" i="2" s="1"/>
  <c r="D1600" i="2"/>
  <c r="E1600" i="2" s="1"/>
  <c r="D1601" i="2"/>
  <c r="E1601" i="2" s="1"/>
  <c r="D1602" i="2"/>
  <c r="E1602" i="2" s="1"/>
  <c r="D1603" i="2"/>
  <c r="E1603" i="2" s="1"/>
  <c r="D1604" i="2"/>
  <c r="E1604" i="2" s="1"/>
  <c r="D1605" i="2"/>
  <c r="E1605" i="2" s="1"/>
  <c r="D1606" i="2"/>
  <c r="E1606" i="2" s="1"/>
  <c r="D1607" i="2"/>
  <c r="E1607" i="2" s="1"/>
  <c r="D1608" i="2"/>
  <c r="E1608" i="2" s="1"/>
  <c r="D1609" i="2"/>
  <c r="E1609" i="2" s="1"/>
  <c r="D1610" i="2"/>
  <c r="E1610" i="2" s="1"/>
  <c r="D1611" i="2"/>
  <c r="E1611" i="2" s="1"/>
  <c r="D1612" i="2"/>
  <c r="E1612" i="2" s="1"/>
  <c r="D1613" i="2"/>
  <c r="E1613" i="2" s="1"/>
  <c r="D1614" i="2"/>
  <c r="E1614" i="2" s="1"/>
  <c r="D1615" i="2"/>
  <c r="E1615" i="2" s="1"/>
  <c r="D1616" i="2"/>
  <c r="E1616" i="2" s="1"/>
  <c r="D1617" i="2"/>
  <c r="E1617" i="2" s="1"/>
  <c r="D1618" i="2"/>
  <c r="E1618" i="2" s="1"/>
  <c r="D1619" i="2"/>
  <c r="E1619" i="2" s="1"/>
  <c r="D1620" i="2"/>
  <c r="E1620" i="2" s="1"/>
  <c r="D1621" i="2"/>
  <c r="E1621" i="2" s="1"/>
  <c r="D1622" i="2"/>
  <c r="E1622" i="2" s="1"/>
  <c r="D1623" i="2"/>
  <c r="E1623" i="2" s="1"/>
  <c r="D1624" i="2"/>
  <c r="E1624" i="2" s="1"/>
  <c r="D1625" i="2"/>
  <c r="E1625" i="2" s="1"/>
  <c r="D1626" i="2"/>
  <c r="E1626" i="2" s="1"/>
  <c r="D1627" i="2"/>
  <c r="E1627" i="2" s="1"/>
  <c r="D1628" i="2"/>
  <c r="E1628" i="2" s="1"/>
  <c r="D1629" i="2"/>
  <c r="E1629" i="2" s="1"/>
  <c r="D1630" i="2"/>
  <c r="E1630" i="2" s="1"/>
  <c r="D1631" i="2"/>
  <c r="E1631" i="2" s="1"/>
  <c r="D1632" i="2"/>
  <c r="E1632" i="2" s="1"/>
  <c r="D1633" i="2"/>
  <c r="E1633" i="2" s="1"/>
  <c r="D1634" i="2"/>
  <c r="E1634" i="2" s="1"/>
  <c r="D1635" i="2"/>
  <c r="E1635" i="2" s="1"/>
  <c r="D1636" i="2"/>
  <c r="E1636" i="2" s="1"/>
  <c r="D1637" i="2"/>
  <c r="E1637" i="2" s="1"/>
  <c r="D1638" i="2"/>
  <c r="E1638" i="2" s="1"/>
  <c r="D1639" i="2"/>
  <c r="E1639" i="2" s="1"/>
  <c r="D1640" i="2"/>
  <c r="E1640" i="2" s="1"/>
  <c r="D1641" i="2"/>
  <c r="E1641" i="2" s="1"/>
  <c r="D1642" i="2"/>
  <c r="E1642" i="2" s="1"/>
  <c r="D1643" i="2"/>
  <c r="E1643" i="2" s="1"/>
  <c r="D1644" i="2"/>
  <c r="E1644" i="2" s="1"/>
  <c r="D1645" i="2"/>
  <c r="E1645" i="2" s="1"/>
  <c r="D1646" i="2"/>
  <c r="E1646" i="2" s="1"/>
  <c r="D1647" i="2"/>
  <c r="E1647" i="2" s="1"/>
  <c r="D1648" i="2"/>
  <c r="E1648" i="2" s="1"/>
  <c r="D1649" i="2"/>
  <c r="E1649" i="2" s="1"/>
  <c r="D1650" i="2"/>
  <c r="E1650" i="2" s="1"/>
  <c r="D1651" i="2"/>
  <c r="E1651" i="2" s="1"/>
  <c r="D1652" i="2"/>
  <c r="E1652" i="2" s="1"/>
  <c r="D1653" i="2"/>
  <c r="E1653" i="2" s="1"/>
  <c r="D1654" i="2"/>
  <c r="E1654" i="2" s="1"/>
  <c r="D1655" i="2"/>
  <c r="E1655" i="2" s="1"/>
  <c r="D1656" i="2"/>
  <c r="E1656" i="2" s="1"/>
  <c r="D1657" i="2"/>
  <c r="E1657" i="2" s="1"/>
  <c r="D1658" i="2"/>
  <c r="E1658" i="2" s="1"/>
  <c r="D1659" i="2"/>
  <c r="E1659" i="2" s="1"/>
  <c r="D1660" i="2"/>
  <c r="E1660" i="2" s="1"/>
  <c r="D1661" i="2"/>
  <c r="E1661" i="2" s="1"/>
  <c r="D1662" i="2"/>
  <c r="E1662" i="2" s="1"/>
  <c r="D1663" i="2"/>
  <c r="E1663" i="2" s="1"/>
  <c r="D1664" i="2"/>
  <c r="E1664" i="2" s="1"/>
  <c r="D1665" i="2"/>
  <c r="E1665" i="2" s="1"/>
  <c r="D1666" i="2"/>
  <c r="E1666" i="2" s="1"/>
  <c r="D1667" i="2"/>
  <c r="E1667" i="2" s="1"/>
  <c r="D1668" i="2"/>
  <c r="E1668" i="2" s="1"/>
  <c r="D1669" i="2"/>
  <c r="E1669" i="2" s="1"/>
  <c r="D1670" i="2"/>
  <c r="E1670" i="2" s="1"/>
  <c r="D1671" i="2"/>
  <c r="E1671" i="2" s="1"/>
  <c r="D1672" i="2"/>
  <c r="E1672" i="2" s="1"/>
  <c r="D1673" i="2"/>
  <c r="E1673" i="2" s="1"/>
  <c r="D1674" i="2"/>
  <c r="E1674" i="2" s="1"/>
  <c r="D1675" i="2"/>
  <c r="E1675" i="2" s="1"/>
  <c r="D1676" i="2"/>
  <c r="E1676" i="2" s="1"/>
  <c r="D1677" i="2"/>
  <c r="E1677" i="2" s="1"/>
  <c r="D1678" i="2"/>
  <c r="E1678" i="2" s="1"/>
  <c r="D1679" i="2"/>
  <c r="E1679" i="2" s="1"/>
  <c r="D1680" i="2"/>
  <c r="E1680" i="2" s="1"/>
  <c r="D1681" i="2"/>
  <c r="E1681" i="2" s="1"/>
  <c r="D1682" i="2"/>
  <c r="E1682" i="2" s="1"/>
  <c r="D1683" i="2"/>
  <c r="E1683" i="2" s="1"/>
  <c r="D1684" i="2"/>
  <c r="E1684" i="2" s="1"/>
  <c r="D1685" i="2"/>
  <c r="E1685" i="2" s="1"/>
  <c r="D1686" i="2"/>
  <c r="E1686" i="2" s="1"/>
  <c r="D1687" i="2"/>
  <c r="E1687" i="2" s="1"/>
  <c r="D1688" i="2"/>
  <c r="E1688" i="2" s="1"/>
  <c r="D1689" i="2"/>
  <c r="E1689" i="2" s="1"/>
  <c r="D1690" i="2"/>
  <c r="E1690" i="2" s="1"/>
  <c r="D1691" i="2"/>
  <c r="E1691" i="2" s="1"/>
  <c r="D1692" i="2"/>
  <c r="E1692" i="2" s="1"/>
  <c r="D1693" i="2"/>
  <c r="E1693" i="2" s="1"/>
  <c r="D1694" i="2"/>
  <c r="E1694" i="2" s="1"/>
  <c r="D1695" i="2"/>
  <c r="E1695" i="2" s="1"/>
  <c r="D1696" i="2"/>
  <c r="E1696" i="2" s="1"/>
  <c r="D1697" i="2"/>
  <c r="E1697" i="2" s="1"/>
  <c r="D1698" i="2"/>
  <c r="E1698" i="2" s="1"/>
  <c r="D1699" i="2"/>
  <c r="E1699" i="2" s="1"/>
  <c r="D1700" i="2"/>
  <c r="E1700" i="2" s="1"/>
  <c r="D1701" i="2"/>
  <c r="E1701" i="2" s="1"/>
  <c r="D1702" i="2"/>
  <c r="E1702" i="2" s="1"/>
  <c r="D1703" i="2"/>
  <c r="E1703" i="2" s="1"/>
  <c r="D1704" i="2"/>
  <c r="E1704" i="2" s="1"/>
  <c r="D1705" i="2"/>
  <c r="E1705" i="2" s="1"/>
  <c r="D1706" i="2"/>
  <c r="E1706" i="2" s="1"/>
  <c r="D1707" i="2"/>
  <c r="E1707" i="2" s="1"/>
  <c r="D1708" i="2"/>
  <c r="E1708" i="2" s="1"/>
  <c r="D1709" i="2"/>
  <c r="E1709" i="2" s="1"/>
  <c r="D1710" i="2"/>
  <c r="E1710" i="2" s="1"/>
  <c r="D1711" i="2"/>
  <c r="E1711" i="2" s="1"/>
  <c r="D1712" i="2"/>
  <c r="E1712" i="2" s="1"/>
  <c r="D1713" i="2"/>
  <c r="E1713" i="2" s="1"/>
  <c r="D1714" i="2"/>
  <c r="E1714" i="2" s="1"/>
  <c r="D1715" i="2"/>
  <c r="E1715" i="2" s="1"/>
  <c r="D1716" i="2"/>
  <c r="E1716" i="2" s="1"/>
  <c r="D1717" i="2"/>
  <c r="E1717" i="2" s="1"/>
  <c r="D1718" i="2"/>
  <c r="E1718" i="2" s="1"/>
  <c r="D1719" i="2"/>
  <c r="E1719" i="2" s="1"/>
  <c r="D1720" i="2"/>
  <c r="E1720" i="2" s="1"/>
  <c r="D1721" i="2"/>
  <c r="E1721" i="2" s="1"/>
  <c r="D1722" i="2"/>
  <c r="E1722" i="2" s="1"/>
  <c r="D1723" i="2"/>
  <c r="E1723" i="2" s="1"/>
  <c r="D1724" i="2"/>
  <c r="E1724" i="2" s="1"/>
  <c r="D1725" i="2"/>
  <c r="E1725" i="2" s="1"/>
  <c r="D1726" i="2"/>
  <c r="E1726" i="2" s="1"/>
  <c r="D1727" i="2"/>
  <c r="E1727" i="2" s="1"/>
  <c r="D1728" i="2"/>
  <c r="E1728" i="2" s="1"/>
  <c r="D1729" i="2"/>
  <c r="E1729" i="2" s="1"/>
  <c r="D1730" i="2"/>
  <c r="E1730" i="2" s="1"/>
  <c r="D1731" i="2"/>
  <c r="E1731" i="2" s="1"/>
  <c r="D1732" i="2"/>
  <c r="E1732" i="2" s="1"/>
  <c r="D1733" i="2"/>
  <c r="E1733" i="2" s="1"/>
  <c r="D1734" i="2"/>
  <c r="E1734" i="2" s="1"/>
  <c r="D1735" i="2"/>
  <c r="E1735" i="2" s="1"/>
  <c r="D1736" i="2"/>
  <c r="E1736" i="2" s="1"/>
  <c r="D1737" i="2"/>
  <c r="E1737" i="2" s="1"/>
  <c r="D1738" i="2"/>
  <c r="E1738" i="2" s="1"/>
  <c r="D1739" i="2"/>
  <c r="E1739" i="2" s="1"/>
  <c r="D1740" i="2"/>
  <c r="E1740" i="2" s="1"/>
  <c r="D1741" i="2"/>
  <c r="E1741" i="2" s="1"/>
  <c r="D1742" i="2"/>
  <c r="E1742" i="2" s="1"/>
  <c r="D1743" i="2"/>
  <c r="E1743" i="2" s="1"/>
  <c r="D1744" i="2"/>
  <c r="E1744" i="2" s="1"/>
  <c r="D1745" i="2"/>
  <c r="E1745" i="2" s="1"/>
  <c r="D1746" i="2"/>
  <c r="E1746" i="2" s="1"/>
  <c r="D1747" i="2"/>
  <c r="E1747" i="2" s="1"/>
  <c r="D1748" i="2"/>
  <c r="E1748" i="2" s="1"/>
  <c r="D1749" i="2"/>
  <c r="E1749" i="2" s="1"/>
  <c r="D1750" i="2"/>
  <c r="E1750" i="2" s="1"/>
  <c r="D1751" i="2"/>
  <c r="E1751" i="2" s="1"/>
  <c r="D1752" i="2"/>
  <c r="E1752" i="2" s="1"/>
  <c r="D1753" i="2"/>
  <c r="E1753" i="2" s="1"/>
  <c r="D1754" i="2"/>
  <c r="E1754" i="2" s="1"/>
  <c r="D1755" i="2"/>
  <c r="E1755" i="2" s="1"/>
  <c r="D1756" i="2"/>
  <c r="E1756" i="2" s="1"/>
  <c r="D1757" i="2"/>
  <c r="E1757" i="2" s="1"/>
  <c r="D1758" i="2"/>
  <c r="E1758" i="2" s="1"/>
  <c r="D1759" i="2"/>
  <c r="E1759" i="2" s="1"/>
  <c r="D1760" i="2"/>
  <c r="E1760" i="2" s="1"/>
  <c r="D1761" i="2"/>
  <c r="E1761" i="2" s="1"/>
  <c r="D1762" i="2"/>
  <c r="E1762" i="2" s="1"/>
  <c r="D1763" i="2"/>
  <c r="E1763" i="2" s="1"/>
  <c r="D1764" i="2"/>
  <c r="E1764" i="2" s="1"/>
  <c r="D1765" i="2"/>
  <c r="E1765" i="2" s="1"/>
  <c r="D1766" i="2"/>
  <c r="E1766" i="2" s="1"/>
  <c r="D1767" i="2"/>
  <c r="E1767" i="2" s="1"/>
  <c r="D1768" i="2"/>
  <c r="E1768" i="2" s="1"/>
  <c r="D1769" i="2"/>
  <c r="E1769" i="2" s="1"/>
  <c r="D1770" i="2"/>
  <c r="E1770" i="2" s="1"/>
  <c r="D1771" i="2"/>
  <c r="E1771" i="2" s="1"/>
  <c r="D1772" i="2"/>
  <c r="E1772" i="2" s="1"/>
  <c r="D1773" i="2"/>
  <c r="E1773" i="2" s="1"/>
  <c r="D1774" i="2"/>
  <c r="E1774" i="2" s="1"/>
  <c r="D1775" i="2"/>
  <c r="E1775" i="2" s="1"/>
  <c r="D1776" i="2"/>
  <c r="E1776" i="2" s="1"/>
  <c r="D1777" i="2"/>
  <c r="E1777" i="2" s="1"/>
  <c r="D1778" i="2"/>
  <c r="E1778" i="2" s="1"/>
  <c r="D1779" i="2"/>
  <c r="E1779" i="2" s="1"/>
  <c r="D1780" i="2"/>
  <c r="E1780" i="2" s="1"/>
  <c r="D1781" i="2"/>
  <c r="E1781" i="2" s="1"/>
  <c r="D1782" i="2"/>
  <c r="E1782" i="2" s="1"/>
  <c r="D1783" i="2"/>
  <c r="E1783" i="2" s="1"/>
  <c r="D1784" i="2"/>
  <c r="E1784" i="2" s="1"/>
  <c r="D1785" i="2"/>
  <c r="E1785" i="2" s="1"/>
  <c r="D1786" i="2"/>
  <c r="E1786" i="2" s="1"/>
  <c r="D1787" i="2"/>
  <c r="E1787" i="2" s="1"/>
  <c r="D1788" i="2"/>
  <c r="E1788" i="2" s="1"/>
  <c r="D1789" i="2"/>
  <c r="E1789" i="2" s="1"/>
  <c r="D1790" i="2"/>
  <c r="E1790" i="2" s="1"/>
  <c r="D1791" i="2"/>
  <c r="E1791" i="2" s="1"/>
  <c r="D1792" i="2"/>
  <c r="E1792" i="2" s="1"/>
  <c r="D1793" i="2"/>
  <c r="E1793" i="2" s="1"/>
  <c r="D1794" i="2"/>
  <c r="E1794" i="2" s="1"/>
  <c r="D1795" i="2"/>
  <c r="E1795" i="2" s="1"/>
  <c r="D1796" i="2"/>
  <c r="E1796" i="2" s="1"/>
  <c r="D1797" i="2"/>
  <c r="E1797" i="2" s="1"/>
  <c r="D1798" i="2"/>
  <c r="E1798" i="2" s="1"/>
  <c r="D1799" i="2"/>
  <c r="E1799" i="2" s="1"/>
  <c r="D1800" i="2"/>
  <c r="E1800" i="2" s="1"/>
  <c r="D1801" i="2"/>
  <c r="E1801" i="2" s="1"/>
  <c r="D1802" i="2"/>
  <c r="E1802" i="2" s="1"/>
  <c r="D1803" i="2"/>
  <c r="E1803" i="2" s="1"/>
  <c r="D1804" i="2"/>
  <c r="E1804" i="2" s="1"/>
  <c r="D1805" i="2"/>
  <c r="E1805" i="2" s="1"/>
  <c r="D1806" i="2"/>
  <c r="E1806" i="2" s="1"/>
  <c r="D1807" i="2"/>
  <c r="E1807" i="2" s="1"/>
  <c r="D1808" i="2"/>
  <c r="E1808" i="2" s="1"/>
  <c r="D1809" i="2"/>
  <c r="E1809" i="2" s="1"/>
  <c r="D1810" i="2"/>
  <c r="E1810" i="2" s="1"/>
  <c r="D1811" i="2"/>
  <c r="E1811" i="2" s="1"/>
  <c r="D1812" i="2"/>
  <c r="E1812" i="2" s="1"/>
  <c r="D1813" i="2"/>
  <c r="E1813" i="2" s="1"/>
  <c r="D1814" i="2"/>
  <c r="E1814" i="2" s="1"/>
  <c r="D1815" i="2"/>
  <c r="E1815" i="2" s="1"/>
  <c r="D1816" i="2"/>
  <c r="E1816" i="2" s="1"/>
  <c r="D1817" i="2"/>
  <c r="E1817" i="2" s="1"/>
  <c r="D1818" i="2"/>
  <c r="E1818" i="2" s="1"/>
  <c r="D1819" i="2"/>
  <c r="E1819" i="2" s="1"/>
  <c r="D1820" i="2"/>
  <c r="E1820" i="2" s="1"/>
  <c r="D1821" i="2"/>
  <c r="E1821" i="2" s="1"/>
  <c r="D1822" i="2"/>
  <c r="E1822" i="2" s="1"/>
  <c r="D1823" i="2"/>
  <c r="E1823" i="2" s="1"/>
  <c r="D1824" i="2"/>
  <c r="E1824" i="2" s="1"/>
  <c r="D1825" i="2"/>
  <c r="E1825" i="2" s="1"/>
  <c r="D1826" i="2"/>
  <c r="E1826" i="2" s="1"/>
  <c r="D1827" i="2"/>
  <c r="E1827" i="2" s="1"/>
  <c r="D1828" i="2"/>
  <c r="E1828" i="2" s="1"/>
  <c r="D1829" i="2"/>
  <c r="E1829" i="2" s="1"/>
  <c r="D1830" i="2"/>
  <c r="E1830" i="2" s="1"/>
  <c r="D1831" i="2"/>
  <c r="E1831" i="2" s="1"/>
  <c r="D1832" i="2"/>
  <c r="E1832" i="2" s="1"/>
  <c r="D1833" i="2"/>
  <c r="E1833" i="2" s="1"/>
  <c r="D1834" i="2"/>
  <c r="E1834" i="2" s="1"/>
  <c r="D1835" i="2"/>
  <c r="E1835" i="2" s="1"/>
  <c r="D1836" i="2"/>
  <c r="E1836" i="2" s="1"/>
  <c r="D1837" i="2"/>
  <c r="E1837" i="2" s="1"/>
  <c r="D1838" i="2"/>
  <c r="E1838" i="2" s="1"/>
  <c r="D1839" i="2"/>
  <c r="E1839" i="2" s="1"/>
  <c r="D1840" i="2"/>
  <c r="E1840" i="2" s="1"/>
  <c r="D1841" i="2"/>
  <c r="E1841" i="2" s="1"/>
  <c r="D1842" i="2"/>
  <c r="E1842" i="2" s="1"/>
  <c r="D1843" i="2"/>
  <c r="E1843" i="2" s="1"/>
  <c r="D1844" i="2"/>
  <c r="E1844" i="2" s="1"/>
  <c r="D1845" i="2"/>
  <c r="E1845" i="2" s="1"/>
  <c r="D1846" i="2"/>
  <c r="E1846" i="2" s="1"/>
  <c r="D1847" i="2"/>
  <c r="E1847" i="2" s="1"/>
  <c r="D1848" i="2"/>
  <c r="E1848" i="2" s="1"/>
  <c r="D1849" i="2"/>
  <c r="E1849" i="2" s="1"/>
  <c r="D1850" i="2"/>
  <c r="E1850" i="2" s="1"/>
  <c r="D1851" i="2"/>
  <c r="E1851" i="2" s="1"/>
  <c r="D1852" i="2"/>
  <c r="E1852" i="2" s="1"/>
  <c r="D1853" i="2"/>
  <c r="E1853" i="2" s="1"/>
  <c r="D1854" i="2"/>
  <c r="E1854" i="2" s="1"/>
  <c r="D1855" i="2"/>
  <c r="E1855" i="2" s="1"/>
  <c r="D1856" i="2"/>
  <c r="E1856" i="2" s="1"/>
  <c r="D1857" i="2"/>
  <c r="E1857" i="2" s="1"/>
  <c r="D1858" i="2"/>
  <c r="E1858" i="2" s="1"/>
  <c r="D1859" i="2"/>
  <c r="E1859" i="2" s="1"/>
  <c r="D1860" i="2"/>
  <c r="E1860" i="2" s="1"/>
  <c r="D1861" i="2"/>
  <c r="E1861" i="2" s="1"/>
  <c r="D1862" i="2"/>
  <c r="E1862" i="2" s="1"/>
  <c r="D1863" i="2"/>
  <c r="E1863" i="2" s="1"/>
  <c r="D1864" i="2"/>
  <c r="E1864" i="2" s="1"/>
  <c r="D1865" i="2"/>
  <c r="E1865" i="2" s="1"/>
  <c r="D1866" i="2"/>
  <c r="E1866" i="2" s="1"/>
  <c r="D1867" i="2"/>
  <c r="E1867" i="2" s="1"/>
  <c r="D1868" i="2"/>
  <c r="E1868" i="2" s="1"/>
  <c r="D1869" i="2"/>
  <c r="E1869" i="2" s="1"/>
  <c r="D1870" i="2"/>
  <c r="E1870" i="2" s="1"/>
  <c r="D1871" i="2"/>
  <c r="E1871" i="2" s="1"/>
  <c r="D1872" i="2"/>
  <c r="E1872" i="2" s="1"/>
  <c r="D1873" i="2"/>
  <c r="E1873" i="2" s="1"/>
  <c r="D1874" i="2"/>
  <c r="E1874" i="2" s="1"/>
  <c r="D1875" i="2"/>
  <c r="E1875" i="2" s="1"/>
  <c r="D1876" i="2"/>
  <c r="E1876" i="2" s="1"/>
  <c r="D1877" i="2"/>
  <c r="E1877" i="2" s="1"/>
  <c r="D1878" i="2"/>
  <c r="E1878" i="2" s="1"/>
  <c r="D1879" i="2"/>
  <c r="E1879" i="2" s="1"/>
  <c r="D1880" i="2"/>
  <c r="E1880" i="2" s="1"/>
  <c r="D1881" i="2"/>
  <c r="E1881" i="2" s="1"/>
  <c r="D1882" i="2"/>
  <c r="E1882" i="2" s="1"/>
  <c r="D1883" i="2"/>
  <c r="E1883" i="2" s="1"/>
  <c r="D1884" i="2"/>
  <c r="E1884" i="2" s="1"/>
  <c r="D1885" i="2"/>
  <c r="E1885" i="2" s="1"/>
  <c r="D1886" i="2"/>
  <c r="E1886" i="2" s="1"/>
  <c r="D1887" i="2"/>
  <c r="E1887" i="2" s="1"/>
  <c r="D1888" i="2"/>
  <c r="E1888" i="2" s="1"/>
  <c r="D1889" i="2"/>
  <c r="E1889" i="2" s="1"/>
  <c r="D1890" i="2"/>
  <c r="E1890" i="2" s="1"/>
  <c r="D1891" i="2"/>
  <c r="E1891" i="2" s="1"/>
  <c r="D1892" i="2"/>
  <c r="E1892" i="2" s="1"/>
  <c r="D1893" i="2"/>
  <c r="E1893" i="2" s="1"/>
  <c r="D1894" i="2"/>
  <c r="E1894" i="2" s="1"/>
  <c r="D1895" i="2"/>
  <c r="E1895" i="2" s="1"/>
  <c r="D1896" i="2"/>
  <c r="E1896" i="2" s="1"/>
  <c r="D1897" i="2"/>
  <c r="E1897" i="2" s="1"/>
  <c r="D1898" i="2"/>
  <c r="E1898" i="2" s="1"/>
  <c r="D1899" i="2"/>
  <c r="E1899" i="2" s="1"/>
  <c r="D1900" i="2"/>
  <c r="E1900" i="2" s="1"/>
  <c r="D1901" i="2"/>
  <c r="E1901" i="2" s="1"/>
  <c r="D1902" i="2"/>
  <c r="E1902" i="2" s="1"/>
  <c r="D1903" i="2"/>
  <c r="E1903" i="2" s="1"/>
  <c r="D1904" i="2"/>
  <c r="E1904" i="2" s="1"/>
  <c r="D1905" i="2"/>
  <c r="E1905" i="2" s="1"/>
  <c r="D1906" i="2"/>
  <c r="E1906" i="2" s="1"/>
  <c r="D1907" i="2"/>
  <c r="E1907" i="2" s="1"/>
  <c r="D1908" i="2"/>
  <c r="E1908" i="2" s="1"/>
  <c r="D1909" i="2"/>
  <c r="E1909" i="2" s="1"/>
  <c r="D1910" i="2"/>
  <c r="E1910" i="2" s="1"/>
  <c r="D1911" i="2"/>
  <c r="E1911" i="2" s="1"/>
  <c r="D1912" i="2"/>
  <c r="E1912" i="2" s="1"/>
  <c r="D1913" i="2"/>
  <c r="E1913" i="2" s="1"/>
  <c r="D1914" i="2"/>
  <c r="E1914" i="2" s="1"/>
  <c r="D1915" i="2"/>
  <c r="E1915" i="2" s="1"/>
  <c r="D1916" i="2"/>
  <c r="E1916" i="2" s="1"/>
  <c r="D1917" i="2"/>
  <c r="E1917" i="2" s="1"/>
  <c r="D1918" i="2"/>
  <c r="E1918" i="2" s="1"/>
  <c r="D1919" i="2"/>
  <c r="E1919" i="2" s="1"/>
  <c r="D1920" i="2"/>
  <c r="E1920" i="2" s="1"/>
  <c r="D1921" i="2"/>
  <c r="E1921" i="2" s="1"/>
  <c r="D1922" i="2"/>
  <c r="E1922" i="2" s="1"/>
  <c r="D1923" i="2"/>
  <c r="E1923" i="2" s="1"/>
  <c r="D1924" i="2"/>
  <c r="E1924" i="2" s="1"/>
  <c r="D1925" i="2"/>
  <c r="E1925" i="2" s="1"/>
  <c r="D1926" i="2"/>
  <c r="E1926" i="2" s="1"/>
  <c r="D1927" i="2"/>
  <c r="E1927" i="2" s="1"/>
  <c r="D1928" i="2"/>
  <c r="E1928" i="2" s="1"/>
  <c r="D1929" i="2"/>
  <c r="E1929" i="2" s="1"/>
  <c r="D1930" i="2"/>
  <c r="E1930" i="2" s="1"/>
  <c r="D1931" i="2"/>
  <c r="E1931" i="2" s="1"/>
  <c r="D1932" i="2"/>
  <c r="E1932" i="2" s="1"/>
  <c r="D1933" i="2"/>
  <c r="E1933" i="2" s="1"/>
  <c r="D1934" i="2"/>
  <c r="E1934" i="2" s="1"/>
  <c r="D1935" i="2"/>
  <c r="E1935" i="2" s="1"/>
  <c r="D1936" i="2"/>
  <c r="E1936" i="2" s="1"/>
  <c r="D1937" i="2"/>
  <c r="E1937" i="2" s="1"/>
  <c r="D1938" i="2"/>
  <c r="E1938" i="2" s="1"/>
  <c r="D1939" i="2"/>
  <c r="E1939" i="2" s="1"/>
  <c r="D1940" i="2"/>
  <c r="E1940" i="2" s="1"/>
  <c r="D1941" i="2"/>
  <c r="E1941" i="2" s="1"/>
  <c r="D1942" i="2"/>
  <c r="E1942" i="2" s="1"/>
  <c r="D1943" i="2"/>
  <c r="E1943" i="2" s="1"/>
  <c r="D1944" i="2"/>
  <c r="E1944" i="2" s="1"/>
  <c r="D1945" i="2"/>
  <c r="E1945" i="2" s="1"/>
  <c r="D1946" i="2"/>
  <c r="E1946" i="2" s="1"/>
  <c r="D1947" i="2"/>
  <c r="E1947" i="2" s="1"/>
  <c r="D1948" i="2"/>
  <c r="E1948" i="2" s="1"/>
  <c r="D1949" i="2"/>
  <c r="E1949" i="2" s="1"/>
  <c r="D1950" i="2"/>
  <c r="E1950" i="2" s="1"/>
  <c r="D1951" i="2"/>
  <c r="E1951" i="2" s="1"/>
  <c r="D1952" i="2"/>
  <c r="E1952" i="2" s="1"/>
  <c r="D1953" i="2"/>
  <c r="E1953" i="2" s="1"/>
  <c r="D1954" i="2"/>
  <c r="E1954" i="2" s="1"/>
  <c r="D1955" i="2"/>
  <c r="E1955" i="2" s="1"/>
  <c r="D1956" i="2"/>
  <c r="E1956" i="2" s="1"/>
  <c r="D1957" i="2"/>
  <c r="E1957" i="2" s="1"/>
  <c r="D1958" i="2"/>
  <c r="E1958" i="2" s="1"/>
  <c r="D1959" i="2"/>
  <c r="E1959" i="2" s="1"/>
  <c r="D1960" i="2"/>
  <c r="E1960" i="2" s="1"/>
  <c r="D2" i="2"/>
  <c r="E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tc={204057A1-8848-46D7-8F41-B607A3932D6D}</author>
    <author>tc={41E29B0C-F3B9-4BBF-B971-E0CC8A77010D}</author>
  </authors>
  <commentList>
    <comment ref="O1" authorId="0" shapeId="0" xr:uid="{204057A1-8848-46D7-8F41-B607A3932D6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Higher = better (how fast shipments move)
</t>
      </text>
    </comment>
    <comment ref="P1" authorId="1" shapeId="0" xr:uid="{41E29B0C-F3B9-4BBF-B971-E0CC8A77010D}">
      <text>
        <t>[Threaded comment]
Your version of Excel allows you to read this threaded comment; however, any edits to it will get removed if the file is opened in a newer version of Excel. Learn more: https://go.microsoft.com/fwlink/?linkid=870924
Comment:
    High Score = fast and cheap
Low Score = slow and expensive</t>
      </text>
    </comment>
  </commentList>
</comments>
</file>

<file path=xl/sharedStrings.xml><?xml version="1.0" encoding="utf-8"?>
<sst xmlns="http://schemas.openxmlformats.org/spreadsheetml/2006/main" count="19897" uniqueCount="2083">
  <si>
    <t>Shipment_ID</t>
  </si>
  <si>
    <t>Origin_Warehouse</t>
  </si>
  <si>
    <t>Destination</t>
  </si>
  <si>
    <t>Carrier</t>
  </si>
  <si>
    <t>Shipment_Date</t>
  </si>
  <si>
    <t>Delivery_Date</t>
  </si>
  <si>
    <t>Weight_kg</t>
  </si>
  <si>
    <t>Cost</t>
  </si>
  <si>
    <t>Status</t>
  </si>
  <si>
    <t>Distance_miles</t>
  </si>
  <si>
    <t>Transit_Days</t>
  </si>
  <si>
    <t>SH10000</t>
  </si>
  <si>
    <t>Warehouse_MIA</t>
  </si>
  <si>
    <t>San Francisco</t>
  </si>
  <si>
    <t>UPS</t>
  </si>
  <si>
    <t>Delivered</t>
  </si>
  <si>
    <t>SH10001</t>
  </si>
  <si>
    <t>Atlanta</t>
  </si>
  <si>
    <t>DHL</t>
  </si>
  <si>
    <t>SH10002</t>
  </si>
  <si>
    <t>Warehouse_LA</t>
  </si>
  <si>
    <t>Houston</t>
  </si>
  <si>
    <t>SH10003</t>
  </si>
  <si>
    <t>Warehouse_BOS</t>
  </si>
  <si>
    <t>Seattle</t>
  </si>
  <si>
    <t>OnTrac</t>
  </si>
  <si>
    <t>SH10004</t>
  </si>
  <si>
    <t>Warehouse_SF</t>
  </si>
  <si>
    <t>Dallas</t>
  </si>
  <si>
    <t>SH10005</t>
  </si>
  <si>
    <t>Warehouse_ATL</t>
  </si>
  <si>
    <t>New York</t>
  </si>
  <si>
    <t>FedEx</t>
  </si>
  <si>
    <t>SH10006</t>
  </si>
  <si>
    <t>SH10007</t>
  </si>
  <si>
    <t>Warehouse_CHI</t>
  </si>
  <si>
    <t>Portland</t>
  </si>
  <si>
    <t>Amazon Logistics</t>
  </si>
  <si>
    <t>SH10008</t>
  </si>
  <si>
    <t>Warehouse_HOU</t>
  </si>
  <si>
    <t>Detroit</t>
  </si>
  <si>
    <t>SH10009</t>
  </si>
  <si>
    <t>LaserShip</t>
  </si>
  <si>
    <t>SH10010</t>
  </si>
  <si>
    <t>Chicago</t>
  </si>
  <si>
    <t>SH10011</t>
  </si>
  <si>
    <t>Boston</t>
  </si>
  <si>
    <t>Delayed</t>
  </si>
  <si>
    <t>SH10012</t>
  </si>
  <si>
    <t>Warehouse_SEA</t>
  </si>
  <si>
    <t>SH10013</t>
  </si>
  <si>
    <t>Warehouse_NYC</t>
  </si>
  <si>
    <t>Phoenix</t>
  </si>
  <si>
    <t>SH10014</t>
  </si>
  <si>
    <t>Miami</t>
  </si>
  <si>
    <t>SH10015</t>
  </si>
  <si>
    <t>Warehouse_DEN</t>
  </si>
  <si>
    <t>Minneapolis</t>
  </si>
  <si>
    <t>SH10016</t>
  </si>
  <si>
    <t>USPS</t>
  </si>
  <si>
    <t>Lost</t>
  </si>
  <si>
    <t>SH10017</t>
  </si>
  <si>
    <t>In Transit</t>
  </si>
  <si>
    <t>SH10018</t>
  </si>
  <si>
    <t>SH10019</t>
  </si>
  <si>
    <t>SH10020</t>
  </si>
  <si>
    <t>SH10021</t>
  </si>
  <si>
    <t>Returned</t>
  </si>
  <si>
    <t>SH10022</t>
  </si>
  <si>
    <t>SH10023</t>
  </si>
  <si>
    <t>Los Angeles</t>
  </si>
  <si>
    <t>SH10024</t>
  </si>
  <si>
    <t>SH10025</t>
  </si>
  <si>
    <t>SH10026</t>
  </si>
  <si>
    <t>SH10027</t>
  </si>
  <si>
    <t>SH10028</t>
  </si>
  <si>
    <t>SH10029</t>
  </si>
  <si>
    <t>SH10030</t>
  </si>
  <si>
    <t>SH10031</t>
  </si>
  <si>
    <t>SH10032</t>
  </si>
  <si>
    <t>SH10033</t>
  </si>
  <si>
    <t>Denver</t>
  </si>
  <si>
    <t>SH10034</t>
  </si>
  <si>
    <t>SH10035</t>
  </si>
  <si>
    <t>SH10036</t>
  </si>
  <si>
    <t>SH10037</t>
  </si>
  <si>
    <t>SH10038</t>
  </si>
  <si>
    <t>SH10039</t>
  </si>
  <si>
    <t>SH10040</t>
  </si>
  <si>
    <t>SH10041</t>
  </si>
  <si>
    <t>SH10042</t>
  </si>
  <si>
    <t>SH10043</t>
  </si>
  <si>
    <t>SH10044</t>
  </si>
  <si>
    <t>SH10045</t>
  </si>
  <si>
    <t>SH10046</t>
  </si>
  <si>
    <t>SH10047</t>
  </si>
  <si>
    <t>SH10048</t>
  </si>
  <si>
    <t>SH10049</t>
  </si>
  <si>
    <t>SH10050</t>
  </si>
  <si>
    <t>SH10051</t>
  </si>
  <si>
    <t>SH10052</t>
  </si>
  <si>
    <t>SH10053</t>
  </si>
  <si>
    <t>SH10054</t>
  </si>
  <si>
    <t>SH10055</t>
  </si>
  <si>
    <t>SH10056</t>
  </si>
  <si>
    <t>SH10057</t>
  </si>
  <si>
    <t>SH10058</t>
  </si>
  <si>
    <t>SH10059</t>
  </si>
  <si>
    <t>SH10060</t>
  </si>
  <si>
    <t>SH10061</t>
  </si>
  <si>
    <t>SH10062</t>
  </si>
  <si>
    <t>SH10063</t>
  </si>
  <si>
    <t>SH10064</t>
  </si>
  <si>
    <t>SH10065</t>
  </si>
  <si>
    <t>SH10066</t>
  </si>
  <si>
    <t>SH10067</t>
  </si>
  <si>
    <t>SH10068</t>
  </si>
  <si>
    <t>SH10069</t>
  </si>
  <si>
    <t>SH10070</t>
  </si>
  <si>
    <t>SH10071</t>
  </si>
  <si>
    <t>SH10072</t>
  </si>
  <si>
    <t>SH10073</t>
  </si>
  <si>
    <t>SH10074</t>
  </si>
  <si>
    <t>SH10075</t>
  </si>
  <si>
    <t>SH10076</t>
  </si>
  <si>
    <t>SH10077</t>
  </si>
  <si>
    <t>SH10078</t>
  </si>
  <si>
    <t>SH10079</t>
  </si>
  <si>
    <t>SH10080</t>
  </si>
  <si>
    <t>SH10081</t>
  </si>
  <si>
    <t>SH10082</t>
  </si>
  <si>
    <t>SH10083</t>
  </si>
  <si>
    <t>SH10084</t>
  </si>
  <si>
    <t>SH10085</t>
  </si>
  <si>
    <t>SH10086</t>
  </si>
  <si>
    <t>SH10087</t>
  </si>
  <si>
    <t>SH10088</t>
  </si>
  <si>
    <t>SH10089</t>
  </si>
  <si>
    <t>SH10090</t>
  </si>
  <si>
    <t>SH10091</t>
  </si>
  <si>
    <t>SH10092</t>
  </si>
  <si>
    <t>SH10093</t>
  </si>
  <si>
    <t>SH10094</t>
  </si>
  <si>
    <t>SH10095</t>
  </si>
  <si>
    <t>SH10096</t>
  </si>
  <si>
    <t>SH10097</t>
  </si>
  <si>
    <t>SH10098</t>
  </si>
  <si>
    <t>SH10099</t>
  </si>
  <si>
    <t>SH10100</t>
  </si>
  <si>
    <t>SH10101</t>
  </si>
  <si>
    <t>SH10102</t>
  </si>
  <si>
    <t>SH10103</t>
  </si>
  <si>
    <t>SH10104</t>
  </si>
  <si>
    <t>SH10105</t>
  </si>
  <si>
    <t>SH10106</t>
  </si>
  <si>
    <t>SH10107</t>
  </si>
  <si>
    <t>SH10108</t>
  </si>
  <si>
    <t>SH10109</t>
  </si>
  <si>
    <t>SH10110</t>
  </si>
  <si>
    <t>SH10111</t>
  </si>
  <si>
    <t>SH10112</t>
  </si>
  <si>
    <t>SH10113</t>
  </si>
  <si>
    <t>SH10114</t>
  </si>
  <si>
    <t>SH10115</t>
  </si>
  <si>
    <t>SH10116</t>
  </si>
  <si>
    <t>SH10117</t>
  </si>
  <si>
    <t>SH10118</t>
  </si>
  <si>
    <t>SH10119</t>
  </si>
  <si>
    <t>SH10120</t>
  </si>
  <si>
    <t>SH10121</t>
  </si>
  <si>
    <t>SH10122</t>
  </si>
  <si>
    <t>SH10123</t>
  </si>
  <si>
    <t>SH10124</t>
  </si>
  <si>
    <t>SH10125</t>
  </si>
  <si>
    <t>SH10126</t>
  </si>
  <si>
    <t>SH10127</t>
  </si>
  <si>
    <t>SH10128</t>
  </si>
  <si>
    <t>SH10129</t>
  </si>
  <si>
    <t>SH10130</t>
  </si>
  <si>
    <t>SH10131</t>
  </si>
  <si>
    <t>SH10132</t>
  </si>
  <si>
    <t>SH10133</t>
  </si>
  <si>
    <t>SH10134</t>
  </si>
  <si>
    <t>SH10135</t>
  </si>
  <si>
    <t>SH10136</t>
  </si>
  <si>
    <t>SH10137</t>
  </si>
  <si>
    <t>SH10138</t>
  </si>
  <si>
    <t>SH10139</t>
  </si>
  <si>
    <t>SH10140</t>
  </si>
  <si>
    <t>SH10141</t>
  </si>
  <si>
    <t>SH10142</t>
  </si>
  <si>
    <t>SH10143</t>
  </si>
  <si>
    <t>SH10144</t>
  </si>
  <si>
    <t>SH10145</t>
  </si>
  <si>
    <t>SH10146</t>
  </si>
  <si>
    <t>SH10147</t>
  </si>
  <si>
    <t>SH10148</t>
  </si>
  <si>
    <t>SH10149</t>
  </si>
  <si>
    <t>SH10150</t>
  </si>
  <si>
    <t>SH10151</t>
  </si>
  <si>
    <t>SH10152</t>
  </si>
  <si>
    <t>SH10153</t>
  </si>
  <si>
    <t>SH10154</t>
  </si>
  <si>
    <t>SH10155</t>
  </si>
  <si>
    <t>SH10156</t>
  </si>
  <si>
    <t>SH10157</t>
  </si>
  <si>
    <t>SH10158</t>
  </si>
  <si>
    <t>SH10159</t>
  </si>
  <si>
    <t>SH10160</t>
  </si>
  <si>
    <t>SH10161</t>
  </si>
  <si>
    <t>SH10162</t>
  </si>
  <si>
    <t>SH10163</t>
  </si>
  <si>
    <t>SH10164</t>
  </si>
  <si>
    <t>SH10165</t>
  </si>
  <si>
    <t>SH10166</t>
  </si>
  <si>
    <t>SH10167</t>
  </si>
  <si>
    <t>SH10168</t>
  </si>
  <si>
    <t>SH10169</t>
  </si>
  <si>
    <t>SH10170</t>
  </si>
  <si>
    <t>SH10171</t>
  </si>
  <si>
    <t>SH10172</t>
  </si>
  <si>
    <t>SH10173</t>
  </si>
  <si>
    <t>SH10174</t>
  </si>
  <si>
    <t>SH10175</t>
  </si>
  <si>
    <t>SH10176</t>
  </si>
  <si>
    <t>SH10177</t>
  </si>
  <si>
    <t>SH10178</t>
  </si>
  <si>
    <t>SH10179</t>
  </si>
  <si>
    <t>SH10180</t>
  </si>
  <si>
    <t>SH10181</t>
  </si>
  <si>
    <t>SH10182</t>
  </si>
  <si>
    <t>SH10183</t>
  </si>
  <si>
    <t>SH10184</t>
  </si>
  <si>
    <t>SH10185</t>
  </si>
  <si>
    <t>SH10186</t>
  </si>
  <si>
    <t>SH10187</t>
  </si>
  <si>
    <t>SH10188</t>
  </si>
  <si>
    <t>SH10189</t>
  </si>
  <si>
    <t>SH10190</t>
  </si>
  <si>
    <t>SH10191</t>
  </si>
  <si>
    <t>SH10192</t>
  </si>
  <si>
    <t>SH10193</t>
  </si>
  <si>
    <t>SH10194</t>
  </si>
  <si>
    <t>SH10195</t>
  </si>
  <si>
    <t>SH10196</t>
  </si>
  <si>
    <t>SH10197</t>
  </si>
  <si>
    <t>SH10198</t>
  </si>
  <si>
    <t>SH10199</t>
  </si>
  <si>
    <t>SH10200</t>
  </si>
  <si>
    <t>SH10201</t>
  </si>
  <si>
    <t>SH10202</t>
  </si>
  <si>
    <t>SH10203</t>
  </si>
  <si>
    <t>SH10204</t>
  </si>
  <si>
    <t>SH10205</t>
  </si>
  <si>
    <t>SH10206</t>
  </si>
  <si>
    <t>SH10207</t>
  </si>
  <si>
    <t>SH10208</t>
  </si>
  <si>
    <t>SH10209</t>
  </si>
  <si>
    <t>SH10210</t>
  </si>
  <si>
    <t>SH10211</t>
  </si>
  <si>
    <t>SH10212</t>
  </si>
  <si>
    <t>SH10213</t>
  </si>
  <si>
    <t>SH10214</t>
  </si>
  <si>
    <t>SH10215</t>
  </si>
  <si>
    <t>SH10216</t>
  </si>
  <si>
    <t>SH10217</t>
  </si>
  <si>
    <t>SH10218</t>
  </si>
  <si>
    <t>SH10219</t>
  </si>
  <si>
    <t>SH10220</t>
  </si>
  <si>
    <t>SH10221</t>
  </si>
  <si>
    <t>SH10222</t>
  </si>
  <si>
    <t>SH10223</t>
  </si>
  <si>
    <t>SH10224</t>
  </si>
  <si>
    <t>SH10225</t>
  </si>
  <si>
    <t>SH10226</t>
  </si>
  <si>
    <t>SH10227</t>
  </si>
  <si>
    <t>SH10228</t>
  </si>
  <si>
    <t>SH10229</t>
  </si>
  <si>
    <t>SH10230</t>
  </si>
  <si>
    <t>SH10231</t>
  </si>
  <si>
    <t>SH10232</t>
  </si>
  <si>
    <t>SH10233</t>
  </si>
  <si>
    <t>SH10234</t>
  </si>
  <si>
    <t>SH10235</t>
  </si>
  <si>
    <t>SH10236</t>
  </si>
  <si>
    <t>SH10237</t>
  </si>
  <si>
    <t>SH10238</t>
  </si>
  <si>
    <t>SH10239</t>
  </si>
  <si>
    <t>SH10240</t>
  </si>
  <si>
    <t>SH10241</t>
  </si>
  <si>
    <t>SH10242</t>
  </si>
  <si>
    <t>SH10243</t>
  </si>
  <si>
    <t>SH10244</t>
  </si>
  <si>
    <t>SH10245</t>
  </si>
  <si>
    <t>SH10246</t>
  </si>
  <si>
    <t>SH10247</t>
  </si>
  <si>
    <t>SH10248</t>
  </si>
  <si>
    <t>SH10249</t>
  </si>
  <si>
    <t>SH10250</t>
  </si>
  <si>
    <t>SH10251</t>
  </si>
  <si>
    <t>SH10252</t>
  </si>
  <si>
    <t>SH10253</t>
  </si>
  <si>
    <t>SH10254</t>
  </si>
  <si>
    <t>SH10255</t>
  </si>
  <si>
    <t>SH10256</t>
  </si>
  <si>
    <t>SH10257</t>
  </si>
  <si>
    <t>SH10258</t>
  </si>
  <si>
    <t>SH10259</t>
  </si>
  <si>
    <t>SH10260</t>
  </si>
  <si>
    <t>SH10261</t>
  </si>
  <si>
    <t>SH10262</t>
  </si>
  <si>
    <t>SH10263</t>
  </si>
  <si>
    <t>SH10264</t>
  </si>
  <si>
    <t>SH10265</t>
  </si>
  <si>
    <t>SH10266</t>
  </si>
  <si>
    <t>SH10267</t>
  </si>
  <si>
    <t>SH10268</t>
  </si>
  <si>
    <t>SH10269</t>
  </si>
  <si>
    <t>SH10270</t>
  </si>
  <si>
    <t>SH10271</t>
  </si>
  <si>
    <t>SH10272</t>
  </si>
  <si>
    <t>SH10273</t>
  </si>
  <si>
    <t>SH10274</t>
  </si>
  <si>
    <t>SH10275</t>
  </si>
  <si>
    <t>SH10276</t>
  </si>
  <si>
    <t>SH10277</t>
  </si>
  <si>
    <t>SH10278</t>
  </si>
  <si>
    <t>SH10279</t>
  </si>
  <si>
    <t>SH10280</t>
  </si>
  <si>
    <t>SH10281</t>
  </si>
  <si>
    <t>SH10282</t>
  </si>
  <si>
    <t>SH10283</t>
  </si>
  <si>
    <t>SH10284</t>
  </si>
  <si>
    <t>SH10285</t>
  </si>
  <si>
    <t>SH10286</t>
  </si>
  <si>
    <t>SH10287</t>
  </si>
  <si>
    <t>SH10288</t>
  </si>
  <si>
    <t>SH10289</t>
  </si>
  <si>
    <t>SH10290</t>
  </si>
  <si>
    <t>SH10291</t>
  </si>
  <si>
    <t>SH10292</t>
  </si>
  <si>
    <t>SH10293</t>
  </si>
  <si>
    <t>SH10294</t>
  </si>
  <si>
    <t>SH10295</t>
  </si>
  <si>
    <t>SH10296</t>
  </si>
  <si>
    <t>SH10297</t>
  </si>
  <si>
    <t>SH10298</t>
  </si>
  <si>
    <t>SH10299</t>
  </si>
  <si>
    <t>SH10300</t>
  </si>
  <si>
    <t>SH10301</t>
  </si>
  <si>
    <t>SH10302</t>
  </si>
  <si>
    <t>SH10303</t>
  </si>
  <si>
    <t>SH10304</t>
  </si>
  <si>
    <t>SH10305</t>
  </si>
  <si>
    <t>SH10306</t>
  </si>
  <si>
    <t>SH10307</t>
  </si>
  <si>
    <t>SH10308</t>
  </si>
  <si>
    <t>SH10309</t>
  </si>
  <si>
    <t>SH10310</t>
  </si>
  <si>
    <t>SH10311</t>
  </si>
  <si>
    <t>SH10312</t>
  </si>
  <si>
    <t>SH10313</t>
  </si>
  <si>
    <t>SH10314</t>
  </si>
  <si>
    <t>SH10315</t>
  </si>
  <si>
    <t>SH10316</t>
  </si>
  <si>
    <t>SH10317</t>
  </si>
  <si>
    <t>SH10318</t>
  </si>
  <si>
    <t>SH10319</t>
  </si>
  <si>
    <t>SH10320</t>
  </si>
  <si>
    <t>SH10321</t>
  </si>
  <si>
    <t>SH10322</t>
  </si>
  <si>
    <t>SH10323</t>
  </si>
  <si>
    <t>SH10324</t>
  </si>
  <si>
    <t>SH10325</t>
  </si>
  <si>
    <t>SH10326</t>
  </si>
  <si>
    <t>SH10327</t>
  </si>
  <si>
    <t>SH10328</t>
  </si>
  <si>
    <t>SH10329</t>
  </si>
  <si>
    <t>SH10330</t>
  </si>
  <si>
    <t>SH10331</t>
  </si>
  <si>
    <t>SH10332</t>
  </si>
  <si>
    <t>SH10333</t>
  </si>
  <si>
    <t>SH10334</t>
  </si>
  <si>
    <t>SH10335</t>
  </si>
  <si>
    <t>SH10336</t>
  </si>
  <si>
    <t>SH10337</t>
  </si>
  <si>
    <t>SH10338</t>
  </si>
  <si>
    <t>SH10339</t>
  </si>
  <si>
    <t>SH10340</t>
  </si>
  <si>
    <t>SH10341</t>
  </si>
  <si>
    <t>SH10342</t>
  </si>
  <si>
    <t>SH10343</t>
  </si>
  <si>
    <t>SH10344</t>
  </si>
  <si>
    <t>SH10345</t>
  </si>
  <si>
    <t>SH10346</t>
  </si>
  <si>
    <t>SH10347</t>
  </si>
  <si>
    <t>SH10348</t>
  </si>
  <si>
    <t>SH10349</t>
  </si>
  <si>
    <t>SH10350</t>
  </si>
  <si>
    <t>SH10351</t>
  </si>
  <si>
    <t>SH10352</t>
  </si>
  <si>
    <t>SH10353</t>
  </si>
  <si>
    <t>SH10354</t>
  </si>
  <si>
    <t>SH10355</t>
  </si>
  <si>
    <t>SH10356</t>
  </si>
  <si>
    <t>SH10357</t>
  </si>
  <si>
    <t>SH10358</t>
  </si>
  <si>
    <t>SH10359</t>
  </si>
  <si>
    <t>SH10360</t>
  </si>
  <si>
    <t>SH10361</t>
  </si>
  <si>
    <t>SH10362</t>
  </si>
  <si>
    <t>SH10363</t>
  </si>
  <si>
    <t>SH10364</t>
  </si>
  <si>
    <t>SH10365</t>
  </si>
  <si>
    <t>SH10366</t>
  </si>
  <si>
    <t>SH10367</t>
  </si>
  <si>
    <t>SH10368</t>
  </si>
  <si>
    <t>SH10369</t>
  </si>
  <si>
    <t>SH10370</t>
  </si>
  <si>
    <t>SH10371</t>
  </si>
  <si>
    <t>SH10372</t>
  </si>
  <si>
    <t>SH10373</t>
  </si>
  <si>
    <t>SH10374</t>
  </si>
  <si>
    <t>SH10375</t>
  </si>
  <si>
    <t>SH10376</t>
  </si>
  <si>
    <t>SH10377</t>
  </si>
  <si>
    <t>SH10378</t>
  </si>
  <si>
    <t>SH10379</t>
  </si>
  <si>
    <t>SH10380</t>
  </si>
  <si>
    <t>SH10381</t>
  </si>
  <si>
    <t>SH10382</t>
  </si>
  <si>
    <t>SH10383</t>
  </si>
  <si>
    <t>SH10384</t>
  </si>
  <si>
    <t>SH10385</t>
  </si>
  <si>
    <t>SH10386</t>
  </si>
  <si>
    <t>SH10387</t>
  </si>
  <si>
    <t>SH10388</t>
  </si>
  <si>
    <t>SH10389</t>
  </si>
  <si>
    <t>SH10390</t>
  </si>
  <si>
    <t>SH10391</t>
  </si>
  <si>
    <t>SH10392</t>
  </si>
  <si>
    <t>SH10393</t>
  </si>
  <si>
    <t>SH10394</t>
  </si>
  <si>
    <t>SH10395</t>
  </si>
  <si>
    <t>SH10396</t>
  </si>
  <si>
    <t>SH10397</t>
  </si>
  <si>
    <t>SH10398</t>
  </si>
  <si>
    <t>SH10399</t>
  </si>
  <si>
    <t>SH10400</t>
  </si>
  <si>
    <t>SH10401</t>
  </si>
  <si>
    <t>SH10402</t>
  </si>
  <si>
    <t>SH10403</t>
  </si>
  <si>
    <t>SH10404</t>
  </si>
  <si>
    <t>SH10405</t>
  </si>
  <si>
    <t>SH10406</t>
  </si>
  <si>
    <t>SH10407</t>
  </si>
  <si>
    <t>SH10408</t>
  </si>
  <si>
    <t>SH10409</t>
  </si>
  <si>
    <t>SH10410</t>
  </si>
  <si>
    <t>SH10411</t>
  </si>
  <si>
    <t>SH10412</t>
  </si>
  <si>
    <t>SH10413</t>
  </si>
  <si>
    <t>SH10414</t>
  </si>
  <si>
    <t>SH10415</t>
  </si>
  <si>
    <t>SH10416</t>
  </si>
  <si>
    <t>SH10417</t>
  </si>
  <si>
    <t>SH10418</t>
  </si>
  <si>
    <t>SH10419</t>
  </si>
  <si>
    <t>SH10420</t>
  </si>
  <si>
    <t>SH10421</t>
  </si>
  <si>
    <t>SH10422</t>
  </si>
  <si>
    <t>SH10423</t>
  </si>
  <si>
    <t>SH10424</t>
  </si>
  <si>
    <t>SH10425</t>
  </si>
  <si>
    <t>SH10426</t>
  </si>
  <si>
    <t>SH10427</t>
  </si>
  <si>
    <t>SH10428</t>
  </si>
  <si>
    <t>SH10429</t>
  </si>
  <si>
    <t>SH10430</t>
  </si>
  <si>
    <t>SH10431</t>
  </si>
  <si>
    <t>SH10432</t>
  </si>
  <si>
    <t>SH10433</t>
  </si>
  <si>
    <t>SH10434</t>
  </si>
  <si>
    <t>SH10435</t>
  </si>
  <si>
    <t>SH10436</t>
  </si>
  <si>
    <t>SH10437</t>
  </si>
  <si>
    <t>SH10438</t>
  </si>
  <si>
    <t>SH10439</t>
  </si>
  <si>
    <t>SH10440</t>
  </si>
  <si>
    <t>SH10441</t>
  </si>
  <si>
    <t>SH10442</t>
  </si>
  <si>
    <t>SH10443</t>
  </si>
  <si>
    <t>SH10444</t>
  </si>
  <si>
    <t>SH10445</t>
  </si>
  <si>
    <t>SH10446</t>
  </si>
  <si>
    <t>SH10447</t>
  </si>
  <si>
    <t>SH10448</t>
  </si>
  <si>
    <t>SH10449</t>
  </si>
  <si>
    <t>SH10450</t>
  </si>
  <si>
    <t>SH10451</t>
  </si>
  <si>
    <t>SH10452</t>
  </si>
  <si>
    <t>SH10453</t>
  </si>
  <si>
    <t>SH10454</t>
  </si>
  <si>
    <t>SH10455</t>
  </si>
  <si>
    <t>SH10456</t>
  </si>
  <si>
    <t>SH10457</t>
  </si>
  <si>
    <t>SH10458</t>
  </si>
  <si>
    <t>SH10459</t>
  </si>
  <si>
    <t>SH10460</t>
  </si>
  <si>
    <t>SH10461</t>
  </si>
  <si>
    <t>SH10462</t>
  </si>
  <si>
    <t>SH10463</t>
  </si>
  <si>
    <t>SH10464</t>
  </si>
  <si>
    <t>SH10465</t>
  </si>
  <si>
    <t>SH10466</t>
  </si>
  <si>
    <t>SH10467</t>
  </si>
  <si>
    <t>SH10468</t>
  </si>
  <si>
    <t>SH10469</t>
  </si>
  <si>
    <t>SH10470</t>
  </si>
  <si>
    <t>SH10471</t>
  </si>
  <si>
    <t>SH10472</t>
  </si>
  <si>
    <t>SH10473</t>
  </si>
  <si>
    <t>SH10474</t>
  </si>
  <si>
    <t>SH10475</t>
  </si>
  <si>
    <t>SH10476</t>
  </si>
  <si>
    <t>SH10477</t>
  </si>
  <si>
    <t>SH10478</t>
  </si>
  <si>
    <t>SH10479</t>
  </si>
  <si>
    <t>SH10480</t>
  </si>
  <si>
    <t>SH10481</t>
  </si>
  <si>
    <t>SH10482</t>
  </si>
  <si>
    <t>SH10483</t>
  </si>
  <si>
    <t>SH10484</t>
  </si>
  <si>
    <t>SH10485</t>
  </si>
  <si>
    <t>SH10486</t>
  </si>
  <si>
    <t>SH10487</t>
  </si>
  <si>
    <t>SH10488</t>
  </si>
  <si>
    <t>SH10489</t>
  </si>
  <si>
    <t>SH10490</t>
  </si>
  <si>
    <t>SH10491</t>
  </si>
  <si>
    <t>SH10492</t>
  </si>
  <si>
    <t>SH10493</t>
  </si>
  <si>
    <t>SH10494</t>
  </si>
  <si>
    <t>SH10495</t>
  </si>
  <si>
    <t>SH10496</t>
  </si>
  <si>
    <t>SH10497</t>
  </si>
  <si>
    <t>SH10498</t>
  </si>
  <si>
    <t>SH10499</t>
  </si>
  <si>
    <t>SH10500</t>
  </si>
  <si>
    <t>SH10501</t>
  </si>
  <si>
    <t>SH10502</t>
  </si>
  <si>
    <t>SH10503</t>
  </si>
  <si>
    <t>SH10504</t>
  </si>
  <si>
    <t>SH10505</t>
  </si>
  <si>
    <t>SH10506</t>
  </si>
  <si>
    <t>SH10507</t>
  </si>
  <si>
    <t>SH10508</t>
  </si>
  <si>
    <t>SH10509</t>
  </si>
  <si>
    <t>SH10510</t>
  </si>
  <si>
    <t>SH10511</t>
  </si>
  <si>
    <t>SH10512</t>
  </si>
  <si>
    <t>SH10513</t>
  </si>
  <si>
    <t>SH10514</t>
  </si>
  <si>
    <t>SH10515</t>
  </si>
  <si>
    <t>SH10516</t>
  </si>
  <si>
    <t>SH10517</t>
  </si>
  <si>
    <t>SH10518</t>
  </si>
  <si>
    <t>SH10519</t>
  </si>
  <si>
    <t>SH10520</t>
  </si>
  <si>
    <t>SH10521</t>
  </si>
  <si>
    <t>SH10522</t>
  </si>
  <si>
    <t>SH10523</t>
  </si>
  <si>
    <t>SH10524</t>
  </si>
  <si>
    <t>SH10525</t>
  </si>
  <si>
    <t>SH10526</t>
  </si>
  <si>
    <t>SH10527</t>
  </si>
  <si>
    <t>SH10528</t>
  </si>
  <si>
    <t>SH10529</t>
  </si>
  <si>
    <t>SH10530</t>
  </si>
  <si>
    <t>SH10531</t>
  </si>
  <si>
    <t>SH10532</t>
  </si>
  <si>
    <t>SH10533</t>
  </si>
  <si>
    <t>SH10534</t>
  </si>
  <si>
    <t>SH10535</t>
  </si>
  <si>
    <t>SH10536</t>
  </si>
  <si>
    <t>SH10537</t>
  </si>
  <si>
    <t>SH10538</t>
  </si>
  <si>
    <t>SH10539</t>
  </si>
  <si>
    <t>SH10540</t>
  </si>
  <si>
    <t>SH10541</t>
  </si>
  <si>
    <t>SH10542</t>
  </si>
  <si>
    <t>SH10543</t>
  </si>
  <si>
    <t>SH10544</t>
  </si>
  <si>
    <t>SH10545</t>
  </si>
  <si>
    <t>SH10546</t>
  </si>
  <si>
    <t>SH10547</t>
  </si>
  <si>
    <t>SH10548</t>
  </si>
  <si>
    <t>SH10549</t>
  </si>
  <si>
    <t>SH10550</t>
  </si>
  <si>
    <t>SH10551</t>
  </si>
  <si>
    <t>SH10552</t>
  </si>
  <si>
    <t>SH10553</t>
  </si>
  <si>
    <t>SH10554</t>
  </si>
  <si>
    <t>SH10555</t>
  </si>
  <si>
    <t>SH10556</t>
  </si>
  <si>
    <t>SH10557</t>
  </si>
  <si>
    <t>SH10558</t>
  </si>
  <si>
    <t>SH10559</t>
  </si>
  <si>
    <t>SH10560</t>
  </si>
  <si>
    <t>SH10561</t>
  </si>
  <si>
    <t>SH10562</t>
  </si>
  <si>
    <t>SH10563</t>
  </si>
  <si>
    <t>SH10564</t>
  </si>
  <si>
    <t>SH10565</t>
  </si>
  <si>
    <t>SH10566</t>
  </si>
  <si>
    <t>SH10567</t>
  </si>
  <si>
    <t>SH10568</t>
  </si>
  <si>
    <t>SH10569</t>
  </si>
  <si>
    <t>SH10570</t>
  </si>
  <si>
    <t>SH10571</t>
  </si>
  <si>
    <t>SH10572</t>
  </si>
  <si>
    <t>SH10573</t>
  </si>
  <si>
    <t>SH10574</t>
  </si>
  <si>
    <t>SH10575</t>
  </si>
  <si>
    <t>SH10576</t>
  </si>
  <si>
    <t>SH10577</t>
  </si>
  <si>
    <t>SH10578</t>
  </si>
  <si>
    <t>SH10579</t>
  </si>
  <si>
    <t>SH10580</t>
  </si>
  <si>
    <t>SH10581</t>
  </si>
  <si>
    <t>SH10582</t>
  </si>
  <si>
    <t>SH10583</t>
  </si>
  <si>
    <t>SH10584</t>
  </si>
  <si>
    <t>SH10585</t>
  </si>
  <si>
    <t>SH10586</t>
  </si>
  <si>
    <t>SH10587</t>
  </si>
  <si>
    <t>SH10588</t>
  </si>
  <si>
    <t>SH10589</t>
  </si>
  <si>
    <t>SH10590</t>
  </si>
  <si>
    <t>SH10591</t>
  </si>
  <si>
    <t>SH10592</t>
  </si>
  <si>
    <t>SH10593</t>
  </si>
  <si>
    <t>SH10594</t>
  </si>
  <si>
    <t>SH10595</t>
  </si>
  <si>
    <t>SH10596</t>
  </si>
  <si>
    <t>SH10597</t>
  </si>
  <si>
    <t>SH10598</t>
  </si>
  <si>
    <t>SH10599</t>
  </si>
  <si>
    <t>SH10600</t>
  </si>
  <si>
    <t>SH10601</t>
  </si>
  <si>
    <t>SH10602</t>
  </si>
  <si>
    <t>SH10603</t>
  </si>
  <si>
    <t>SH10604</t>
  </si>
  <si>
    <t>SH10605</t>
  </si>
  <si>
    <t>SH10606</t>
  </si>
  <si>
    <t>SH10607</t>
  </si>
  <si>
    <t>SH10608</t>
  </si>
  <si>
    <t>SH10609</t>
  </si>
  <si>
    <t>SH10610</t>
  </si>
  <si>
    <t>SH10611</t>
  </si>
  <si>
    <t>SH10612</t>
  </si>
  <si>
    <t>SH10613</t>
  </si>
  <si>
    <t>SH10614</t>
  </si>
  <si>
    <t>SH10615</t>
  </si>
  <si>
    <t>SH10616</t>
  </si>
  <si>
    <t>SH10617</t>
  </si>
  <si>
    <t>SH10618</t>
  </si>
  <si>
    <t>SH10619</t>
  </si>
  <si>
    <t>SH10620</t>
  </si>
  <si>
    <t>SH10621</t>
  </si>
  <si>
    <t>SH10622</t>
  </si>
  <si>
    <t>SH10623</t>
  </si>
  <si>
    <t>SH10624</t>
  </si>
  <si>
    <t>SH10625</t>
  </si>
  <si>
    <t>SH10626</t>
  </si>
  <si>
    <t>SH10627</t>
  </si>
  <si>
    <t>SH10628</t>
  </si>
  <si>
    <t>SH10629</t>
  </si>
  <si>
    <t>SH10630</t>
  </si>
  <si>
    <t>SH10631</t>
  </si>
  <si>
    <t>SH10632</t>
  </si>
  <si>
    <t>SH10633</t>
  </si>
  <si>
    <t>SH10634</t>
  </si>
  <si>
    <t>SH10635</t>
  </si>
  <si>
    <t>SH10636</t>
  </si>
  <si>
    <t>SH10637</t>
  </si>
  <si>
    <t>SH10638</t>
  </si>
  <si>
    <t>SH10639</t>
  </si>
  <si>
    <t>SH10640</t>
  </si>
  <si>
    <t>SH10641</t>
  </si>
  <si>
    <t>SH10642</t>
  </si>
  <si>
    <t>SH10643</t>
  </si>
  <si>
    <t>SH10644</t>
  </si>
  <si>
    <t>SH10645</t>
  </si>
  <si>
    <t>SH10646</t>
  </si>
  <si>
    <t>SH10647</t>
  </si>
  <si>
    <t>SH10648</t>
  </si>
  <si>
    <t>SH10649</t>
  </si>
  <si>
    <t>SH10650</t>
  </si>
  <si>
    <t>SH10651</t>
  </si>
  <si>
    <t>SH10652</t>
  </si>
  <si>
    <t>SH10653</t>
  </si>
  <si>
    <t>SH10654</t>
  </si>
  <si>
    <t>SH10655</t>
  </si>
  <si>
    <t>SH10656</t>
  </si>
  <si>
    <t>SH10657</t>
  </si>
  <si>
    <t>SH10658</t>
  </si>
  <si>
    <t>SH10659</t>
  </si>
  <si>
    <t>SH10660</t>
  </si>
  <si>
    <t>SH10661</t>
  </si>
  <si>
    <t>SH10662</t>
  </si>
  <si>
    <t>SH10663</t>
  </si>
  <si>
    <t>SH10664</t>
  </si>
  <si>
    <t>SH10665</t>
  </si>
  <si>
    <t>SH10666</t>
  </si>
  <si>
    <t>SH10667</t>
  </si>
  <si>
    <t>SH10668</t>
  </si>
  <si>
    <t>SH10669</t>
  </si>
  <si>
    <t>SH10670</t>
  </si>
  <si>
    <t>SH10671</t>
  </si>
  <si>
    <t>SH10672</t>
  </si>
  <si>
    <t>SH10673</t>
  </si>
  <si>
    <t>SH10674</t>
  </si>
  <si>
    <t>SH10675</t>
  </si>
  <si>
    <t>SH10676</t>
  </si>
  <si>
    <t>SH10677</t>
  </si>
  <si>
    <t>SH10678</t>
  </si>
  <si>
    <t>SH10679</t>
  </si>
  <si>
    <t>SH10680</t>
  </si>
  <si>
    <t>SH10681</t>
  </si>
  <si>
    <t>SH10682</t>
  </si>
  <si>
    <t>SH10683</t>
  </si>
  <si>
    <t>SH10684</t>
  </si>
  <si>
    <t>SH10685</t>
  </si>
  <si>
    <t>SH10686</t>
  </si>
  <si>
    <t>SH10687</t>
  </si>
  <si>
    <t>SH10688</t>
  </si>
  <si>
    <t>SH10689</t>
  </si>
  <si>
    <t>SH10690</t>
  </si>
  <si>
    <t>SH10691</t>
  </si>
  <si>
    <t>SH10692</t>
  </si>
  <si>
    <t>SH10693</t>
  </si>
  <si>
    <t>SH10694</t>
  </si>
  <si>
    <t>SH10695</t>
  </si>
  <si>
    <t>SH10696</t>
  </si>
  <si>
    <t>SH10697</t>
  </si>
  <si>
    <t>SH10698</t>
  </si>
  <si>
    <t>SH10699</t>
  </si>
  <si>
    <t>SH10700</t>
  </si>
  <si>
    <t>SH10701</t>
  </si>
  <si>
    <t>SH10702</t>
  </si>
  <si>
    <t>SH10703</t>
  </si>
  <si>
    <t>SH10704</t>
  </si>
  <si>
    <t>SH10705</t>
  </si>
  <si>
    <t>SH10706</t>
  </si>
  <si>
    <t>SH10707</t>
  </si>
  <si>
    <t>SH10708</t>
  </si>
  <si>
    <t>SH10709</t>
  </si>
  <si>
    <t>SH10710</t>
  </si>
  <si>
    <t>SH10711</t>
  </si>
  <si>
    <t>SH10712</t>
  </si>
  <si>
    <t>SH10713</t>
  </si>
  <si>
    <t>SH10714</t>
  </si>
  <si>
    <t>SH10715</t>
  </si>
  <si>
    <t>SH10716</t>
  </si>
  <si>
    <t>SH10717</t>
  </si>
  <si>
    <t>SH10718</t>
  </si>
  <si>
    <t>SH10719</t>
  </si>
  <si>
    <t>SH10720</t>
  </si>
  <si>
    <t>SH10721</t>
  </si>
  <si>
    <t>SH10722</t>
  </si>
  <si>
    <t>SH10723</t>
  </si>
  <si>
    <t>SH10724</t>
  </si>
  <si>
    <t>SH10725</t>
  </si>
  <si>
    <t>SH10726</t>
  </si>
  <si>
    <t>SH10727</t>
  </si>
  <si>
    <t>SH10728</t>
  </si>
  <si>
    <t>SH10729</t>
  </si>
  <si>
    <t>SH10730</t>
  </si>
  <si>
    <t>SH10731</t>
  </si>
  <si>
    <t>SH10732</t>
  </si>
  <si>
    <t>SH10733</t>
  </si>
  <si>
    <t>SH10734</t>
  </si>
  <si>
    <t>SH10735</t>
  </si>
  <si>
    <t>SH10736</t>
  </si>
  <si>
    <t>SH10737</t>
  </si>
  <si>
    <t>SH10738</t>
  </si>
  <si>
    <t>SH10739</t>
  </si>
  <si>
    <t>SH10740</t>
  </si>
  <si>
    <t>SH10741</t>
  </si>
  <si>
    <t>SH10742</t>
  </si>
  <si>
    <t>SH10743</t>
  </si>
  <si>
    <t>SH10744</t>
  </si>
  <si>
    <t>SH10745</t>
  </si>
  <si>
    <t>SH10746</t>
  </si>
  <si>
    <t>SH10747</t>
  </si>
  <si>
    <t>SH10748</t>
  </si>
  <si>
    <t>SH10749</t>
  </si>
  <si>
    <t>SH10750</t>
  </si>
  <si>
    <t>SH10751</t>
  </si>
  <si>
    <t>SH10752</t>
  </si>
  <si>
    <t>SH10753</t>
  </si>
  <si>
    <t>SH10754</t>
  </si>
  <si>
    <t>SH10755</t>
  </si>
  <si>
    <t>SH10756</t>
  </si>
  <si>
    <t>SH10757</t>
  </si>
  <si>
    <t>SH10758</t>
  </si>
  <si>
    <t>SH10759</t>
  </si>
  <si>
    <t>SH10760</t>
  </si>
  <si>
    <t>SH10761</t>
  </si>
  <si>
    <t>SH10762</t>
  </si>
  <si>
    <t>SH10763</t>
  </si>
  <si>
    <t>SH10764</t>
  </si>
  <si>
    <t>SH10765</t>
  </si>
  <si>
    <t>SH10766</t>
  </si>
  <si>
    <t>SH10767</t>
  </si>
  <si>
    <t>SH10768</t>
  </si>
  <si>
    <t>SH10769</t>
  </si>
  <si>
    <t>SH10770</t>
  </si>
  <si>
    <t>SH10771</t>
  </si>
  <si>
    <t>SH10772</t>
  </si>
  <si>
    <t>SH10773</t>
  </si>
  <si>
    <t>SH10774</t>
  </si>
  <si>
    <t>SH10775</t>
  </si>
  <si>
    <t>SH10776</t>
  </si>
  <si>
    <t>SH10777</t>
  </si>
  <si>
    <t>SH10778</t>
  </si>
  <si>
    <t>SH10779</t>
  </si>
  <si>
    <t>SH10780</t>
  </si>
  <si>
    <t>SH10781</t>
  </si>
  <si>
    <t>SH10782</t>
  </si>
  <si>
    <t>SH10783</t>
  </si>
  <si>
    <t>SH10784</t>
  </si>
  <si>
    <t>SH10785</t>
  </si>
  <si>
    <t>SH10786</t>
  </si>
  <si>
    <t>SH10787</t>
  </si>
  <si>
    <t>SH10788</t>
  </si>
  <si>
    <t>SH10789</t>
  </si>
  <si>
    <t>SH10790</t>
  </si>
  <si>
    <t>SH10791</t>
  </si>
  <si>
    <t>SH10792</t>
  </si>
  <si>
    <t>SH10793</t>
  </si>
  <si>
    <t>SH10794</t>
  </si>
  <si>
    <t>SH10795</t>
  </si>
  <si>
    <t>SH10796</t>
  </si>
  <si>
    <t>SH10797</t>
  </si>
  <si>
    <t>SH10798</t>
  </si>
  <si>
    <t>SH10799</t>
  </si>
  <si>
    <t>SH10800</t>
  </si>
  <si>
    <t>SH10801</t>
  </si>
  <si>
    <t>SH10802</t>
  </si>
  <si>
    <t>SH10803</t>
  </si>
  <si>
    <t>SH10804</t>
  </si>
  <si>
    <t>SH10805</t>
  </si>
  <si>
    <t>SH10806</t>
  </si>
  <si>
    <t>SH10807</t>
  </si>
  <si>
    <t>SH10808</t>
  </si>
  <si>
    <t>SH10809</t>
  </si>
  <si>
    <t>SH10810</t>
  </si>
  <si>
    <t>SH10811</t>
  </si>
  <si>
    <t>SH10812</t>
  </si>
  <si>
    <t>SH10813</t>
  </si>
  <si>
    <t>SH10814</t>
  </si>
  <si>
    <t>SH10815</t>
  </si>
  <si>
    <t>SH10816</t>
  </si>
  <si>
    <t>SH10817</t>
  </si>
  <si>
    <t>SH10818</t>
  </si>
  <si>
    <t>SH10819</t>
  </si>
  <si>
    <t>SH10820</t>
  </si>
  <si>
    <t>SH10821</t>
  </si>
  <si>
    <t>SH10822</t>
  </si>
  <si>
    <t>SH10823</t>
  </si>
  <si>
    <t>SH10824</t>
  </si>
  <si>
    <t>SH10825</t>
  </si>
  <si>
    <t>SH10826</t>
  </si>
  <si>
    <t>SH10827</t>
  </si>
  <si>
    <t>SH10828</t>
  </si>
  <si>
    <t>SH10829</t>
  </si>
  <si>
    <t>SH10830</t>
  </si>
  <si>
    <t>SH10831</t>
  </si>
  <si>
    <t>SH10832</t>
  </si>
  <si>
    <t>SH10833</t>
  </si>
  <si>
    <t>SH10834</t>
  </si>
  <si>
    <t>SH10835</t>
  </si>
  <si>
    <t>SH10836</t>
  </si>
  <si>
    <t>SH10837</t>
  </si>
  <si>
    <t>SH10838</t>
  </si>
  <si>
    <t>SH10839</t>
  </si>
  <si>
    <t>SH10840</t>
  </si>
  <si>
    <t>SH10841</t>
  </si>
  <si>
    <t>SH10842</t>
  </si>
  <si>
    <t>SH10843</t>
  </si>
  <si>
    <t>SH10844</t>
  </si>
  <si>
    <t>SH10845</t>
  </si>
  <si>
    <t>SH10846</t>
  </si>
  <si>
    <t>SH10847</t>
  </si>
  <si>
    <t>SH10848</t>
  </si>
  <si>
    <t>SH10849</t>
  </si>
  <si>
    <t>SH10850</t>
  </si>
  <si>
    <t>SH10851</t>
  </si>
  <si>
    <t>SH10852</t>
  </si>
  <si>
    <t>SH10853</t>
  </si>
  <si>
    <t>SH10854</t>
  </si>
  <si>
    <t>SH10855</t>
  </si>
  <si>
    <t>SH10856</t>
  </si>
  <si>
    <t>SH10857</t>
  </si>
  <si>
    <t>SH10858</t>
  </si>
  <si>
    <t>SH10859</t>
  </si>
  <si>
    <t>SH10860</t>
  </si>
  <si>
    <t>SH10861</t>
  </si>
  <si>
    <t>SH10862</t>
  </si>
  <si>
    <t>SH10863</t>
  </si>
  <si>
    <t>SH10864</t>
  </si>
  <si>
    <t>SH10865</t>
  </si>
  <si>
    <t>SH10866</t>
  </si>
  <si>
    <t>SH10867</t>
  </si>
  <si>
    <t>SH10868</t>
  </si>
  <si>
    <t>SH10869</t>
  </si>
  <si>
    <t>SH10870</t>
  </si>
  <si>
    <t>SH10871</t>
  </si>
  <si>
    <t>SH10872</t>
  </si>
  <si>
    <t>SH10873</t>
  </si>
  <si>
    <t>SH10874</t>
  </si>
  <si>
    <t>SH10875</t>
  </si>
  <si>
    <t>SH10876</t>
  </si>
  <si>
    <t>SH10877</t>
  </si>
  <si>
    <t>SH10878</t>
  </si>
  <si>
    <t>SH10879</t>
  </si>
  <si>
    <t>SH10880</t>
  </si>
  <si>
    <t>SH10881</t>
  </si>
  <si>
    <t>SH10882</t>
  </si>
  <si>
    <t>SH10883</t>
  </si>
  <si>
    <t>SH10884</t>
  </si>
  <si>
    <t>SH10885</t>
  </si>
  <si>
    <t>SH10886</t>
  </si>
  <si>
    <t>SH10887</t>
  </si>
  <si>
    <t>SH10888</t>
  </si>
  <si>
    <t>SH10889</t>
  </si>
  <si>
    <t>SH10890</t>
  </si>
  <si>
    <t>SH10891</t>
  </si>
  <si>
    <t>SH10892</t>
  </si>
  <si>
    <t>SH10893</t>
  </si>
  <si>
    <t>SH10894</t>
  </si>
  <si>
    <t>SH10895</t>
  </si>
  <si>
    <t>SH10896</t>
  </si>
  <si>
    <t>SH10897</t>
  </si>
  <si>
    <t>SH10898</t>
  </si>
  <si>
    <t>SH10899</t>
  </si>
  <si>
    <t>SH10900</t>
  </si>
  <si>
    <t>SH10901</t>
  </si>
  <si>
    <t>SH10902</t>
  </si>
  <si>
    <t>SH10903</t>
  </si>
  <si>
    <t>SH10904</t>
  </si>
  <si>
    <t>SH10905</t>
  </si>
  <si>
    <t>SH10906</t>
  </si>
  <si>
    <t>SH10907</t>
  </si>
  <si>
    <t>SH10908</t>
  </si>
  <si>
    <t>SH10909</t>
  </si>
  <si>
    <t>SH10910</t>
  </si>
  <si>
    <t>SH10911</t>
  </si>
  <si>
    <t>SH10912</t>
  </si>
  <si>
    <t>SH10913</t>
  </si>
  <si>
    <t>SH10914</t>
  </si>
  <si>
    <t>SH10915</t>
  </si>
  <si>
    <t>SH10916</t>
  </si>
  <si>
    <t>SH10917</t>
  </si>
  <si>
    <t>SH10918</t>
  </si>
  <si>
    <t>SH10919</t>
  </si>
  <si>
    <t>SH10920</t>
  </si>
  <si>
    <t>SH10921</t>
  </si>
  <si>
    <t>SH10922</t>
  </si>
  <si>
    <t>SH10923</t>
  </si>
  <si>
    <t>SH10924</t>
  </si>
  <si>
    <t>SH10925</t>
  </si>
  <si>
    <t>SH10926</t>
  </si>
  <si>
    <t>SH10927</t>
  </si>
  <si>
    <t>SH10928</t>
  </si>
  <si>
    <t>SH10929</t>
  </si>
  <si>
    <t>SH10930</t>
  </si>
  <si>
    <t>SH10931</t>
  </si>
  <si>
    <t>SH10932</t>
  </si>
  <si>
    <t>SH10933</t>
  </si>
  <si>
    <t>SH10934</t>
  </si>
  <si>
    <t>SH10935</t>
  </si>
  <si>
    <t>SH10936</t>
  </si>
  <si>
    <t>SH10937</t>
  </si>
  <si>
    <t>SH10938</t>
  </si>
  <si>
    <t>SH10939</t>
  </si>
  <si>
    <t>SH10940</t>
  </si>
  <si>
    <t>SH10941</t>
  </si>
  <si>
    <t>SH10942</t>
  </si>
  <si>
    <t>SH10943</t>
  </si>
  <si>
    <t>SH10944</t>
  </si>
  <si>
    <t>SH10945</t>
  </si>
  <si>
    <t>SH10946</t>
  </si>
  <si>
    <t>SH10947</t>
  </si>
  <si>
    <t>SH10948</t>
  </si>
  <si>
    <t>SH10949</t>
  </si>
  <si>
    <t>SH10950</t>
  </si>
  <si>
    <t>SH10951</t>
  </si>
  <si>
    <t>SH10952</t>
  </si>
  <si>
    <t>SH10953</t>
  </si>
  <si>
    <t>SH10954</t>
  </si>
  <si>
    <t>SH10955</t>
  </si>
  <si>
    <t>SH10956</t>
  </si>
  <si>
    <t>SH10957</t>
  </si>
  <si>
    <t>SH10958</t>
  </si>
  <si>
    <t>SH10959</t>
  </si>
  <si>
    <t>SH10960</t>
  </si>
  <si>
    <t>SH10961</t>
  </si>
  <si>
    <t>SH10962</t>
  </si>
  <si>
    <t>SH10963</t>
  </si>
  <si>
    <t>SH10964</t>
  </si>
  <si>
    <t>SH10965</t>
  </si>
  <si>
    <t>SH10966</t>
  </si>
  <si>
    <t>SH10967</t>
  </si>
  <si>
    <t>SH10968</t>
  </si>
  <si>
    <t>SH10969</t>
  </si>
  <si>
    <t>SH10970</t>
  </si>
  <si>
    <t>SH10971</t>
  </si>
  <si>
    <t>SH10972</t>
  </si>
  <si>
    <t>SH10973</t>
  </si>
  <si>
    <t>SH10974</t>
  </si>
  <si>
    <t>SH10975</t>
  </si>
  <si>
    <t>SH10976</t>
  </si>
  <si>
    <t>SH10977</t>
  </si>
  <si>
    <t>SH10978</t>
  </si>
  <si>
    <t>SH10979</t>
  </si>
  <si>
    <t>SH10980</t>
  </si>
  <si>
    <t>SH10981</t>
  </si>
  <si>
    <t>SH10982</t>
  </si>
  <si>
    <t>SH10983</t>
  </si>
  <si>
    <t>SH10984</t>
  </si>
  <si>
    <t>SH10985</t>
  </si>
  <si>
    <t>SH10986</t>
  </si>
  <si>
    <t>SH10987</t>
  </si>
  <si>
    <t>SH10988</t>
  </si>
  <si>
    <t>SH10989</t>
  </si>
  <si>
    <t>SH10990</t>
  </si>
  <si>
    <t>SH10991</t>
  </si>
  <si>
    <t>SH10992</t>
  </si>
  <si>
    <t>SH10993</t>
  </si>
  <si>
    <t>SH10994</t>
  </si>
  <si>
    <t>SH10995</t>
  </si>
  <si>
    <t>SH10996</t>
  </si>
  <si>
    <t>SH10997</t>
  </si>
  <si>
    <t>SH10998</t>
  </si>
  <si>
    <t>SH10999</t>
  </si>
  <si>
    <t>SH11000</t>
  </si>
  <si>
    <t>SH11001</t>
  </si>
  <si>
    <t>SH11002</t>
  </si>
  <si>
    <t>SH11003</t>
  </si>
  <si>
    <t>SH11004</t>
  </si>
  <si>
    <t>SH11005</t>
  </si>
  <si>
    <t>SH11006</t>
  </si>
  <si>
    <t>SH11007</t>
  </si>
  <si>
    <t>SH11008</t>
  </si>
  <si>
    <t>SH11009</t>
  </si>
  <si>
    <t>SH11010</t>
  </si>
  <si>
    <t>SH11011</t>
  </si>
  <si>
    <t>SH11012</t>
  </si>
  <si>
    <t>SH11013</t>
  </si>
  <si>
    <t>SH11014</t>
  </si>
  <si>
    <t>SH11015</t>
  </si>
  <si>
    <t>SH11016</t>
  </si>
  <si>
    <t>SH11017</t>
  </si>
  <si>
    <t>SH11018</t>
  </si>
  <si>
    <t>SH11019</t>
  </si>
  <si>
    <t>SH11020</t>
  </si>
  <si>
    <t>SH11021</t>
  </si>
  <si>
    <t>SH11022</t>
  </si>
  <si>
    <t>SH11023</t>
  </si>
  <si>
    <t>SH11024</t>
  </si>
  <si>
    <t>SH11025</t>
  </si>
  <si>
    <t>SH11026</t>
  </si>
  <si>
    <t>SH11027</t>
  </si>
  <si>
    <t>SH11028</t>
  </si>
  <si>
    <t>SH11029</t>
  </si>
  <si>
    <t>SH11030</t>
  </si>
  <si>
    <t>SH11031</t>
  </si>
  <si>
    <t>SH11032</t>
  </si>
  <si>
    <t>SH11033</t>
  </si>
  <si>
    <t>SH11034</t>
  </si>
  <si>
    <t>SH11035</t>
  </si>
  <si>
    <t>SH11036</t>
  </si>
  <si>
    <t>SH11037</t>
  </si>
  <si>
    <t>SH11038</t>
  </si>
  <si>
    <t>SH11039</t>
  </si>
  <si>
    <t>SH11040</t>
  </si>
  <si>
    <t>SH11041</t>
  </si>
  <si>
    <t>SH11042</t>
  </si>
  <si>
    <t>SH11043</t>
  </si>
  <si>
    <t>SH11044</t>
  </si>
  <si>
    <t>SH11045</t>
  </si>
  <si>
    <t>SH11046</t>
  </si>
  <si>
    <t>SH11047</t>
  </si>
  <si>
    <t>SH11048</t>
  </si>
  <si>
    <t>SH11049</t>
  </si>
  <si>
    <t>SH11050</t>
  </si>
  <si>
    <t>SH11051</t>
  </si>
  <si>
    <t>SH11052</t>
  </si>
  <si>
    <t>SH11053</t>
  </si>
  <si>
    <t>SH11054</t>
  </si>
  <si>
    <t>SH11055</t>
  </si>
  <si>
    <t>SH11056</t>
  </si>
  <si>
    <t>SH11057</t>
  </si>
  <si>
    <t>SH11058</t>
  </si>
  <si>
    <t>SH11059</t>
  </si>
  <si>
    <t>SH11060</t>
  </si>
  <si>
    <t>SH11061</t>
  </si>
  <si>
    <t>SH11062</t>
  </si>
  <si>
    <t>SH11063</t>
  </si>
  <si>
    <t>SH11064</t>
  </si>
  <si>
    <t>SH11065</t>
  </si>
  <si>
    <t>SH11066</t>
  </si>
  <si>
    <t>SH11067</t>
  </si>
  <si>
    <t>SH11068</t>
  </si>
  <si>
    <t>SH11069</t>
  </si>
  <si>
    <t>SH11070</t>
  </si>
  <si>
    <t>SH11071</t>
  </si>
  <si>
    <t>SH11072</t>
  </si>
  <si>
    <t>SH11073</t>
  </si>
  <si>
    <t>SH11074</t>
  </si>
  <si>
    <t>SH11075</t>
  </si>
  <si>
    <t>SH11076</t>
  </si>
  <si>
    <t>SH11077</t>
  </si>
  <si>
    <t>SH11078</t>
  </si>
  <si>
    <t>SH11079</t>
  </si>
  <si>
    <t>SH11080</t>
  </si>
  <si>
    <t>SH11081</t>
  </si>
  <si>
    <t>SH11082</t>
  </si>
  <si>
    <t>SH11083</t>
  </si>
  <si>
    <t>SH11084</t>
  </si>
  <si>
    <t>SH11085</t>
  </si>
  <si>
    <t>SH11086</t>
  </si>
  <si>
    <t>SH11087</t>
  </si>
  <si>
    <t>SH11088</t>
  </si>
  <si>
    <t>SH11089</t>
  </si>
  <si>
    <t>SH11090</t>
  </si>
  <si>
    <t>SH11091</t>
  </si>
  <si>
    <t>SH11092</t>
  </si>
  <si>
    <t>SH11093</t>
  </si>
  <si>
    <t>SH11094</t>
  </si>
  <si>
    <t>SH11095</t>
  </si>
  <si>
    <t>SH11096</t>
  </si>
  <si>
    <t>SH11097</t>
  </si>
  <si>
    <t>SH11098</t>
  </si>
  <si>
    <t>SH11099</t>
  </si>
  <si>
    <t>SH11100</t>
  </si>
  <si>
    <t>SH11101</t>
  </si>
  <si>
    <t>SH11102</t>
  </si>
  <si>
    <t>SH11103</t>
  </si>
  <si>
    <t>SH11104</t>
  </si>
  <si>
    <t>SH11105</t>
  </si>
  <si>
    <t>SH11106</t>
  </si>
  <si>
    <t>SH11107</t>
  </si>
  <si>
    <t>SH11108</t>
  </si>
  <si>
    <t>SH11109</t>
  </si>
  <si>
    <t>SH11110</t>
  </si>
  <si>
    <t>SH11111</t>
  </si>
  <si>
    <t>SH11112</t>
  </si>
  <si>
    <t>SH11113</t>
  </si>
  <si>
    <t>SH11114</t>
  </si>
  <si>
    <t>SH11115</t>
  </si>
  <si>
    <t>SH11116</t>
  </si>
  <si>
    <t>SH11117</t>
  </si>
  <si>
    <t>SH11118</t>
  </si>
  <si>
    <t>SH11119</t>
  </si>
  <si>
    <t>SH11120</t>
  </si>
  <si>
    <t>SH11121</t>
  </si>
  <si>
    <t>SH11122</t>
  </si>
  <si>
    <t>SH11123</t>
  </si>
  <si>
    <t>SH11124</t>
  </si>
  <si>
    <t>SH11125</t>
  </si>
  <si>
    <t>SH11126</t>
  </si>
  <si>
    <t>SH11127</t>
  </si>
  <si>
    <t>SH11128</t>
  </si>
  <si>
    <t>SH11129</t>
  </si>
  <si>
    <t>SH11130</t>
  </si>
  <si>
    <t>SH11131</t>
  </si>
  <si>
    <t>SH11132</t>
  </si>
  <si>
    <t>SH11133</t>
  </si>
  <si>
    <t>SH11134</t>
  </si>
  <si>
    <t>SH11135</t>
  </si>
  <si>
    <t>SH11136</t>
  </si>
  <si>
    <t>SH11137</t>
  </si>
  <si>
    <t>SH11138</t>
  </si>
  <si>
    <t>SH11139</t>
  </si>
  <si>
    <t>SH11140</t>
  </si>
  <si>
    <t>SH11141</t>
  </si>
  <si>
    <t>SH11142</t>
  </si>
  <si>
    <t>SH11143</t>
  </si>
  <si>
    <t>SH11144</t>
  </si>
  <si>
    <t>SH11145</t>
  </si>
  <si>
    <t>SH11146</t>
  </si>
  <si>
    <t>SH11147</t>
  </si>
  <si>
    <t>SH11148</t>
  </si>
  <si>
    <t>SH11149</t>
  </si>
  <si>
    <t>SH11150</t>
  </si>
  <si>
    <t>SH11151</t>
  </si>
  <si>
    <t>SH11152</t>
  </si>
  <si>
    <t>SH11153</t>
  </si>
  <si>
    <t>SH11154</t>
  </si>
  <si>
    <t>SH11155</t>
  </si>
  <si>
    <t>SH11156</t>
  </si>
  <si>
    <t>SH11157</t>
  </si>
  <si>
    <t>SH11158</t>
  </si>
  <si>
    <t>SH11159</t>
  </si>
  <si>
    <t>SH11160</t>
  </si>
  <si>
    <t>SH11161</t>
  </si>
  <si>
    <t>SH11162</t>
  </si>
  <si>
    <t>SH11163</t>
  </si>
  <si>
    <t>SH11164</t>
  </si>
  <si>
    <t>SH11165</t>
  </si>
  <si>
    <t>SH11166</t>
  </si>
  <si>
    <t>SH11167</t>
  </si>
  <si>
    <t>SH11168</t>
  </si>
  <si>
    <t>SH11169</t>
  </si>
  <si>
    <t>SH11170</t>
  </si>
  <si>
    <t>SH11171</t>
  </si>
  <si>
    <t>SH11172</t>
  </si>
  <si>
    <t>SH11173</t>
  </si>
  <si>
    <t>SH11174</t>
  </si>
  <si>
    <t>SH11175</t>
  </si>
  <si>
    <t>SH11176</t>
  </si>
  <si>
    <t>SH11177</t>
  </si>
  <si>
    <t>SH11178</t>
  </si>
  <si>
    <t>SH11179</t>
  </si>
  <si>
    <t>SH11180</t>
  </si>
  <si>
    <t>SH11181</t>
  </si>
  <si>
    <t>SH11182</t>
  </si>
  <si>
    <t>SH11183</t>
  </si>
  <si>
    <t>SH11184</t>
  </si>
  <si>
    <t>SH11185</t>
  </si>
  <si>
    <t>SH11186</t>
  </si>
  <si>
    <t>SH11187</t>
  </si>
  <si>
    <t>SH11188</t>
  </si>
  <si>
    <t>SH11189</t>
  </si>
  <si>
    <t>SH11190</t>
  </si>
  <si>
    <t>SH11191</t>
  </si>
  <si>
    <t>SH11192</t>
  </si>
  <si>
    <t>SH11193</t>
  </si>
  <si>
    <t>SH11194</t>
  </si>
  <si>
    <t>SH11195</t>
  </si>
  <si>
    <t>SH11196</t>
  </si>
  <si>
    <t>SH11197</t>
  </si>
  <si>
    <t>SH11198</t>
  </si>
  <si>
    <t>SH11199</t>
  </si>
  <si>
    <t>SH11200</t>
  </si>
  <si>
    <t>SH11201</t>
  </si>
  <si>
    <t>SH11202</t>
  </si>
  <si>
    <t>SH11203</t>
  </si>
  <si>
    <t>SH11204</t>
  </si>
  <si>
    <t>SH11205</t>
  </si>
  <si>
    <t>SH11206</t>
  </si>
  <si>
    <t>SH11207</t>
  </si>
  <si>
    <t>SH11208</t>
  </si>
  <si>
    <t>SH11209</t>
  </si>
  <si>
    <t>SH11210</t>
  </si>
  <si>
    <t>SH11211</t>
  </si>
  <si>
    <t>SH11212</t>
  </si>
  <si>
    <t>SH11213</t>
  </si>
  <si>
    <t>SH11214</t>
  </si>
  <si>
    <t>SH11215</t>
  </si>
  <si>
    <t>SH11216</t>
  </si>
  <si>
    <t>SH11217</t>
  </si>
  <si>
    <t>SH11218</t>
  </si>
  <si>
    <t>SH11219</t>
  </si>
  <si>
    <t>SH11220</t>
  </si>
  <si>
    <t>SH11221</t>
  </si>
  <si>
    <t>SH11222</t>
  </si>
  <si>
    <t>SH11223</t>
  </si>
  <si>
    <t>SH11224</t>
  </si>
  <si>
    <t>SH11225</t>
  </si>
  <si>
    <t>SH11226</t>
  </si>
  <si>
    <t>SH11227</t>
  </si>
  <si>
    <t>SH11228</t>
  </si>
  <si>
    <t>SH11229</t>
  </si>
  <si>
    <t>SH11230</t>
  </si>
  <si>
    <t>SH11231</t>
  </si>
  <si>
    <t>SH11232</t>
  </si>
  <si>
    <t>SH11233</t>
  </si>
  <si>
    <t>SH11234</t>
  </si>
  <si>
    <t>SH11235</t>
  </si>
  <si>
    <t>SH11236</t>
  </si>
  <si>
    <t>SH11237</t>
  </si>
  <si>
    <t>SH11238</t>
  </si>
  <si>
    <t>SH11239</t>
  </si>
  <si>
    <t>SH11240</t>
  </si>
  <si>
    <t>SH11241</t>
  </si>
  <si>
    <t>SH11242</t>
  </si>
  <si>
    <t>SH11243</t>
  </si>
  <si>
    <t>SH11244</t>
  </si>
  <si>
    <t>SH11245</t>
  </si>
  <si>
    <t>SH11246</t>
  </si>
  <si>
    <t>SH11247</t>
  </si>
  <si>
    <t>SH11248</t>
  </si>
  <si>
    <t>SH11249</t>
  </si>
  <si>
    <t>SH11250</t>
  </si>
  <si>
    <t>SH11251</t>
  </si>
  <si>
    <t>SH11252</t>
  </si>
  <si>
    <t>SH11253</t>
  </si>
  <si>
    <t>SH11254</t>
  </si>
  <si>
    <t>SH11255</t>
  </si>
  <si>
    <t>SH11256</t>
  </si>
  <si>
    <t>SH11257</t>
  </si>
  <si>
    <t>SH11258</t>
  </si>
  <si>
    <t>SH11259</t>
  </si>
  <si>
    <t>SH11260</t>
  </si>
  <si>
    <t>SH11261</t>
  </si>
  <si>
    <t>SH11262</t>
  </si>
  <si>
    <t>SH11263</t>
  </si>
  <si>
    <t>SH11264</t>
  </si>
  <si>
    <t>SH11265</t>
  </si>
  <si>
    <t>SH11266</t>
  </si>
  <si>
    <t>SH11267</t>
  </si>
  <si>
    <t>SH11268</t>
  </si>
  <si>
    <t>SH11269</t>
  </si>
  <si>
    <t>SH11270</t>
  </si>
  <si>
    <t>SH11271</t>
  </si>
  <si>
    <t>SH11272</t>
  </si>
  <si>
    <t>SH11273</t>
  </si>
  <si>
    <t>SH11274</t>
  </si>
  <si>
    <t>SH11275</t>
  </si>
  <si>
    <t>SH11276</t>
  </si>
  <si>
    <t>SH11277</t>
  </si>
  <si>
    <t>SH11278</t>
  </si>
  <si>
    <t>SH11279</t>
  </si>
  <si>
    <t>SH11280</t>
  </si>
  <si>
    <t>SH11281</t>
  </si>
  <si>
    <t>SH11282</t>
  </si>
  <si>
    <t>SH11283</t>
  </si>
  <si>
    <t>SH11284</t>
  </si>
  <si>
    <t>SH11285</t>
  </si>
  <si>
    <t>SH11286</t>
  </si>
  <si>
    <t>SH11287</t>
  </si>
  <si>
    <t>SH11288</t>
  </si>
  <si>
    <t>SH11289</t>
  </si>
  <si>
    <t>SH11290</t>
  </si>
  <si>
    <t>SH11291</t>
  </si>
  <si>
    <t>SH11292</t>
  </si>
  <si>
    <t>SH11293</t>
  </si>
  <si>
    <t>SH11294</t>
  </si>
  <si>
    <t>SH11295</t>
  </si>
  <si>
    <t>SH11296</t>
  </si>
  <si>
    <t>SH11297</t>
  </si>
  <si>
    <t>SH11298</t>
  </si>
  <si>
    <t>SH11299</t>
  </si>
  <si>
    <t>SH11300</t>
  </si>
  <si>
    <t>SH11301</t>
  </si>
  <si>
    <t>SH11302</t>
  </si>
  <si>
    <t>SH11303</t>
  </si>
  <si>
    <t>SH11304</t>
  </si>
  <si>
    <t>SH11305</t>
  </si>
  <si>
    <t>SH11306</t>
  </si>
  <si>
    <t>SH11307</t>
  </si>
  <si>
    <t>SH11308</t>
  </si>
  <si>
    <t>SH11309</t>
  </si>
  <si>
    <t>SH11310</t>
  </si>
  <si>
    <t>SH11311</t>
  </si>
  <si>
    <t>SH11312</t>
  </si>
  <si>
    <t>SH11313</t>
  </si>
  <si>
    <t>SH11314</t>
  </si>
  <si>
    <t>SH11315</t>
  </si>
  <si>
    <t>SH11316</t>
  </si>
  <si>
    <t>SH11317</t>
  </si>
  <si>
    <t>SH11318</t>
  </si>
  <si>
    <t>SH11319</t>
  </si>
  <si>
    <t>SH11320</t>
  </si>
  <si>
    <t>SH11321</t>
  </si>
  <si>
    <t>SH11322</t>
  </si>
  <si>
    <t>SH11323</t>
  </si>
  <si>
    <t>SH11324</t>
  </si>
  <si>
    <t>SH11325</t>
  </si>
  <si>
    <t>SH11326</t>
  </si>
  <si>
    <t>SH11327</t>
  </si>
  <si>
    <t>SH11328</t>
  </si>
  <si>
    <t>SH11329</t>
  </si>
  <si>
    <t>SH11330</t>
  </si>
  <si>
    <t>SH11331</t>
  </si>
  <si>
    <t>SH11332</t>
  </si>
  <si>
    <t>SH11333</t>
  </si>
  <si>
    <t>SH11334</t>
  </si>
  <si>
    <t>SH11335</t>
  </si>
  <si>
    <t>SH11336</t>
  </si>
  <si>
    <t>SH11337</t>
  </si>
  <si>
    <t>SH11338</t>
  </si>
  <si>
    <t>SH11339</t>
  </si>
  <si>
    <t>SH11340</t>
  </si>
  <si>
    <t>SH11341</t>
  </si>
  <si>
    <t>SH11342</t>
  </si>
  <si>
    <t>SH11343</t>
  </si>
  <si>
    <t>SH11344</t>
  </si>
  <si>
    <t>SH11345</t>
  </si>
  <si>
    <t>SH11346</t>
  </si>
  <si>
    <t>SH11347</t>
  </si>
  <si>
    <t>SH11348</t>
  </si>
  <si>
    <t>SH11349</t>
  </si>
  <si>
    <t>SH11350</t>
  </si>
  <si>
    <t>SH11351</t>
  </si>
  <si>
    <t>SH11352</t>
  </si>
  <si>
    <t>SH11353</t>
  </si>
  <si>
    <t>SH11354</t>
  </si>
  <si>
    <t>SH11355</t>
  </si>
  <si>
    <t>SH11356</t>
  </si>
  <si>
    <t>SH11357</t>
  </si>
  <si>
    <t>SH11358</t>
  </si>
  <si>
    <t>SH11359</t>
  </si>
  <si>
    <t>SH11360</t>
  </si>
  <si>
    <t>SH11361</t>
  </si>
  <si>
    <t>SH11362</t>
  </si>
  <si>
    <t>SH11363</t>
  </si>
  <si>
    <t>SH11364</t>
  </si>
  <si>
    <t>SH11365</t>
  </si>
  <si>
    <t>SH11366</t>
  </si>
  <si>
    <t>SH11367</t>
  </si>
  <si>
    <t>SH11368</t>
  </si>
  <si>
    <t>SH11369</t>
  </si>
  <si>
    <t>SH11370</t>
  </si>
  <si>
    <t>SH11371</t>
  </si>
  <si>
    <t>SH11372</t>
  </si>
  <si>
    <t>SH11373</t>
  </si>
  <si>
    <t>SH11374</t>
  </si>
  <si>
    <t>SH11375</t>
  </si>
  <si>
    <t>SH11376</t>
  </si>
  <si>
    <t>SH11377</t>
  </si>
  <si>
    <t>SH11378</t>
  </si>
  <si>
    <t>SH11379</t>
  </si>
  <si>
    <t>SH11380</t>
  </si>
  <si>
    <t>SH11381</t>
  </si>
  <si>
    <t>SH11382</t>
  </si>
  <si>
    <t>SH11383</t>
  </si>
  <si>
    <t>SH11384</t>
  </si>
  <si>
    <t>SH11385</t>
  </si>
  <si>
    <t>SH11386</t>
  </si>
  <si>
    <t>SH11387</t>
  </si>
  <si>
    <t>SH11388</t>
  </si>
  <si>
    <t>SH11389</t>
  </si>
  <si>
    <t>SH11390</t>
  </si>
  <si>
    <t>SH11391</t>
  </si>
  <si>
    <t>SH11392</t>
  </si>
  <si>
    <t>SH11393</t>
  </si>
  <si>
    <t>SH11394</t>
  </si>
  <si>
    <t>SH11395</t>
  </si>
  <si>
    <t>SH11396</t>
  </si>
  <si>
    <t>SH11397</t>
  </si>
  <si>
    <t>SH11398</t>
  </si>
  <si>
    <t>SH11399</t>
  </si>
  <si>
    <t>SH11400</t>
  </si>
  <si>
    <t>SH11401</t>
  </si>
  <si>
    <t>SH11402</t>
  </si>
  <si>
    <t>SH11403</t>
  </si>
  <si>
    <t>SH11404</t>
  </si>
  <si>
    <t>SH11405</t>
  </si>
  <si>
    <t>SH11406</t>
  </si>
  <si>
    <t>SH11407</t>
  </si>
  <si>
    <t>SH11408</t>
  </si>
  <si>
    <t>SH11409</t>
  </si>
  <si>
    <t>SH11410</t>
  </si>
  <si>
    <t>SH11411</t>
  </si>
  <si>
    <t>SH11412</t>
  </si>
  <si>
    <t>SH11413</t>
  </si>
  <si>
    <t>SH11414</t>
  </si>
  <si>
    <t>SH11415</t>
  </si>
  <si>
    <t>SH11416</t>
  </si>
  <si>
    <t>SH11417</t>
  </si>
  <si>
    <t>SH11418</t>
  </si>
  <si>
    <t>SH11419</t>
  </si>
  <si>
    <t>SH11420</t>
  </si>
  <si>
    <t>SH11421</t>
  </si>
  <si>
    <t>SH11422</t>
  </si>
  <si>
    <t>SH11423</t>
  </si>
  <si>
    <t>SH11424</t>
  </si>
  <si>
    <t>SH11425</t>
  </si>
  <si>
    <t>SH11426</t>
  </si>
  <si>
    <t>SH11427</t>
  </si>
  <si>
    <t>SH11428</t>
  </si>
  <si>
    <t>SH11429</t>
  </si>
  <si>
    <t>SH11430</t>
  </si>
  <si>
    <t>SH11431</t>
  </si>
  <si>
    <t>SH11432</t>
  </si>
  <si>
    <t>SH11433</t>
  </si>
  <si>
    <t>SH11434</t>
  </si>
  <si>
    <t>SH11435</t>
  </si>
  <si>
    <t>SH11436</t>
  </si>
  <si>
    <t>SH11437</t>
  </si>
  <si>
    <t>SH11438</t>
  </si>
  <si>
    <t>SH11439</t>
  </si>
  <si>
    <t>SH11440</t>
  </si>
  <si>
    <t>SH11441</t>
  </si>
  <si>
    <t>SH11442</t>
  </si>
  <si>
    <t>SH11443</t>
  </si>
  <si>
    <t>SH11444</t>
  </si>
  <si>
    <t>SH11445</t>
  </si>
  <si>
    <t>SH11446</t>
  </si>
  <si>
    <t>SH11447</t>
  </si>
  <si>
    <t>SH11448</t>
  </si>
  <si>
    <t>SH11449</t>
  </si>
  <si>
    <t>SH11450</t>
  </si>
  <si>
    <t>SH11451</t>
  </si>
  <si>
    <t>SH11452</t>
  </si>
  <si>
    <t>SH11453</t>
  </si>
  <si>
    <t>SH11454</t>
  </si>
  <si>
    <t>SH11455</t>
  </si>
  <si>
    <t>SH11456</t>
  </si>
  <si>
    <t>SH11457</t>
  </si>
  <si>
    <t>SH11458</t>
  </si>
  <si>
    <t>SH11459</t>
  </si>
  <si>
    <t>SH11460</t>
  </si>
  <si>
    <t>SH11461</t>
  </si>
  <si>
    <t>SH11462</t>
  </si>
  <si>
    <t>SH11463</t>
  </si>
  <si>
    <t>SH11464</t>
  </si>
  <si>
    <t>SH11465</t>
  </si>
  <si>
    <t>SH11466</t>
  </si>
  <si>
    <t>SH11467</t>
  </si>
  <si>
    <t>SH11468</t>
  </si>
  <si>
    <t>SH11469</t>
  </si>
  <si>
    <t>SH11470</t>
  </si>
  <si>
    <t>SH11471</t>
  </si>
  <si>
    <t>SH11472</t>
  </si>
  <si>
    <t>SH11473</t>
  </si>
  <si>
    <t>SH11474</t>
  </si>
  <si>
    <t>SH11475</t>
  </si>
  <si>
    <t>SH11476</t>
  </si>
  <si>
    <t>SH11477</t>
  </si>
  <si>
    <t>SH11478</t>
  </si>
  <si>
    <t>SH11479</t>
  </si>
  <si>
    <t>SH11480</t>
  </si>
  <si>
    <t>SH11481</t>
  </si>
  <si>
    <t>SH11482</t>
  </si>
  <si>
    <t>SH11483</t>
  </si>
  <si>
    <t>SH11484</t>
  </si>
  <si>
    <t>SH11485</t>
  </si>
  <si>
    <t>SH11486</t>
  </si>
  <si>
    <t>SH11487</t>
  </si>
  <si>
    <t>SH11488</t>
  </si>
  <si>
    <t>SH11489</t>
  </si>
  <si>
    <t>SH11490</t>
  </si>
  <si>
    <t>SH11491</t>
  </si>
  <si>
    <t>SH11492</t>
  </si>
  <si>
    <t>SH11493</t>
  </si>
  <si>
    <t>SH11494</t>
  </si>
  <si>
    <t>SH11495</t>
  </si>
  <si>
    <t>SH11496</t>
  </si>
  <si>
    <t>SH11497</t>
  </si>
  <si>
    <t>SH11498</t>
  </si>
  <si>
    <t>SH11499</t>
  </si>
  <si>
    <t>SH11500</t>
  </si>
  <si>
    <t>SH11501</t>
  </si>
  <si>
    <t>SH11502</t>
  </si>
  <si>
    <t>SH11503</t>
  </si>
  <si>
    <t>SH11504</t>
  </si>
  <si>
    <t>SH11505</t>
  </si>
  <si>
    <t>SH11506</t>
  </si>
  <si>
    <t>SH11507</t>
  </si>
  <si>
    <t>SH11508</t>
  </si>
  <si>
    <t>SH11509</t>
  </si>
  <si>
    <t>SH11510</t>
  </si>
  <si>
    <t>SH11511</t>
  </si>
  <si>
    <t>SH11512</t>
  </si>
  <si>
    <t>SH11513</t>
  </si>
  <si>
    <t>SH11514</t>
  </si>
  <si>
    <t>SH11515</t>
  </si>
  <si>
    <t>SH11516</t>
  </si>
  <si>
    <t>SH11517</t>
  </si>
  <si>
    <t>SH11518</t>
  </si>
  <si>
    <t>SH11519</t>
  </si>
  <si>
    <t>SH11520</t>
  </si>
  <si>
    <t>SH11521</t>
  </si>
  <si>
    <t>SH11522</t>
  </si>
  <si>
    <t>SH11523</t>
  </si>
  <si>
    <t>SH11524</t>
  </si>
  <si>
    <t>SH11525</t>
  </si>
  <si>
    <t>SH11526</t>
  </si>
  <si>
    <t>SH11527</t>
  </si>
  <si>
    <t>SH11528</t>
  </si>
  <si>
    <t>SH11529</t>
  </si>
  <si>
    <t>SH11530</t>
  </si>
  <si>
    <t>SH11531</t>
  </si>
  <si>
    <t>SH11532</t>
  </si>
  <si>
    <t>SH11533</t>
  </si>
  <si>
    <t>SH11534</t>
  </si>
  <si>
    <t>SH11535</t>
  </si>
  <si>
    <t>SH11536</t>
  </si>
  <si>
    <t>SH11537</t>
  </si>
  <si>
    <t>SH11538</t>
  </si>
  <si>
    <t>SH11539</t>
  </si>
  <si>
    <t>SH11540</t>
  </si>
  <si>
    <t>SH11541</t>
  </si>
  <si>
    <t>SH11542</t>
  </si>
  <si>
    <t>SH11543</t>
  </si>
  <si>
    <t>SH11544</t>
  </si>
  <si>
    <t>SH11545</t>
  </si>
  <si>
    <t>SH11546</t>
  </si>
  <si>
    <t>SH11547</t>
  </si>
  <si>
    <t>SH11548</t>
  </si>
  <si>
    <t>SH11549</t>
  </si>
  <si>
    <t>SH11550</t>
  </si>
  <si>
    <t>SH11551</t>
  </si>
  <si>
    <t>SH11552</t>
  </si>
  <si>
    <t>SH11553</t>
  </si>
  <si>
    <t>SH11554</t>
  </si>
  <si>
    <t>SH11555</t>
  </si>
  <si>
    <t>SH11556</t>
  </si>
  <si>
    <t>SH11557</t>
  </si>
  <si>
    <t>SH11558</t>
  </si>
  <si>
    <t>SH11559</t>
  </si>
  <si>
    <t>SH11560</t>
  </si>
  <si>
    <t>SH11561</t>
  </si>
  <si>
    <t>SH11562</t>
  </si>
  <si>
    <t>SH11563</t>
  </si>
  <si>
    <t>SH11564</t>
  </si>
  <si>
    <t>SH11565</t>
  </si>
  <si>
    <t>SH11566</t>
  </si>
  <si>
    <t>SH11567</t>
  </si>
  <si>
    <t>SH11568</t>
  </si>
  <si>
    <t>SH11569</t>
  </si>
  <si>
    <t>SH11570</t>
  </si>
  <si>
    <t>SH11571</t>
  </si>
  <si>
    <t>SH11572</t>
  </si>
  <si>
    <t>SH11573</t>
  </si>
  <si>
    <t>SH11574</t>
  </si>
  <si>
    <t>SH11575</t>
  </si>
  <si>
    <t>SH11576</t>
  </si>
  <si>
    <t>SH11577</t>
  </si>
  <si>
    <t>SH11578</t>
  </si>
  <si>
    <t>SH11579</t>
  </si>
  <si>
    <t>SH11580</t>
  </si>
  <si>
    <t>SH11581</t>
  </si>
  <si>
    <t>SH11582</t>
  </si>
  <si>
    <t>SH11583</t>
  </si>
  <si>
    <t>SH11584</t>
  </si>
  <si>
    <t>SH11585</t>
  </si>
  <si>
    <t>SH11586</t>
  </si>
  <si>
    <t>SH11587</t>
  </si>
  <si>
    <t>SH11588</t>
  </si>
  <si>
    <t>SH11589</t>
  </si>
  <si>
    <t>SH11590</t>
  </si>
  <si>
    <t>SH11591</t>
  </si>
  <si>
    <t>SH11592</t>
  </si>
  <si>
    <t>SH11593</t>
  </si>
  <si>
    <t>SH11594</t>
  </si>
  <si>
    <t>SH11595</t>
  </si>
  <si>
    <t>SH11596</t>
  </si>
  <si>
    <t>SH11597</t>
  </si>
  <si>
    <t>SH11598</t>
  </si>
  <si>
    <t>SH11599</t>
  </si>
  <si>
    <t>SH11600</t>
  </si>
  <si>
    <t>SH11601</t>
  </si>
  <si>
    <t>SH11602</t>
  </si>
  <si>
    <t>SH11603</t>
  </si>
  <si>
    <t>SH11604</t>
  </si>
  <si>
    <t>SH11605</t>
  </si>
  <si>
    <t>SH11606</t>
  </si>
  <si>
    <t>SH11607</t>
  </si>
  <si>
    <t>SH11608</t>
  </si>
  <si>
    <t>SH11609</t>
  </si>
  <si>
    <t>SH11610</t>
  </si>
  <si>
    <t>SH11611</t>
  </si>
  <si>
    <t>SH11612</t>
  </si>
  <si>
    <t>SH11613</t>
  </si>
  <si>
    <t>SH11614</t>
  </si>
  <si>
    <t>SH11615</t>
  </si>
  <si>
    <t>SH11616</t>
  </si>
  <si>
    <t>SH11617</t>
  </si>
  <si>
    <t>SH11618</t>
  </si>
  <si>
    <t>SH11619</t>
  </si>
  <si>
    <t>SH11620</t>
  </si>
  <si>
    <t>SH11621</t>
  </si>
  <si>
    <t>SH11622</t>
  </si>
  <si>
    <t>SH11623</t>
  </si>
  <si>
    <t>SH11624</t>
  </si>
  <si>
    <t>SH11625</t>
  </si>
  <si>
    <t>SH11626</t>
  </si>
  <si>
    <t>SH11627</t>
  </si>
  <si>
    <t>SH11628</t>
  </si>
  <si>
    <t>SH11629</t>
  </si>
  <si>
    <t>SH11630</t>
  </si>
  <si>
    <t>SH11631</t>
  </si>
  <si>
    <t>SH11632</t>
  </si>
  <si>
    <t>SH11633</t>
  </si>
  <si>
    <t>SH11634</t>
  </si>
  <si>
    <t>SH11635</t>
  </si>
  <si>
    <t>SH11636</t>
  </si>
  <si>
    <t>SH11637</t>
  </si>
  <si>
    <t>SH11638</t>
  </si>
  <si>
    <t>SH11639</t>
  </si>
  <si>
    <t>SH11640</t>
  </si>
  <si>
    <t>SH11641</t>
  </si>
  <si>
    <t>SH11642</t>
  </si>
  <si>
    <t>SH11643</t>
  </si>
  <si>
    <t>SH11644</t>
  </si>
  <si>
    <t>SH11645</t>
  </si>
  <si>
    <t>SH11646</t>
  </si>
  <si>
    <t>SH11647</t>
  </si>
  <si>
    <t>SH11648</t>
  </si>
  <si>
    <t>SH11649</t>
  </si>
  <si>
    <t>SH11650</t>
  </si>
  <si>
    <t>SH11651</t>
  </si>
  <si>
    <t>SH11652</t>
  </si>
  <si>
    <t>SH11653</t>
  </si>
  <si>
    <t>SH11654</t>
  </si>
  <si>
    <t>SH11655</t>
  </si>
  <si>
    <t>SH11656</t>
  </si>
  <si>
    <t>SH11657</t>
  </si>
  <si>
    <t>SH11658</t>
  </si>
  <si>
    <t>SH11659</t>
  </si>
  <si>
    <t>SH11660</t>
  </si>
  <si>
    <t>SH11661</t>
  </si>
  <si>
    <t>SH11662</t>
  </si>
  <si>
    <t>SH11663</t>
  </si>
  <si>
    <t>SH11664</t>
  </si>
  <si>
    <t>SH11665</t>
  </si>
  <si>
    <t>SH11666</t>
  </si>
  <si>
    <t>SH11667</t>
  </si>
  <si>
    <t>SH11668</t>
  </si>
  <si>
    <t>SH11669</t>
  </si>
  <si>
    <t>SH11670</t>
  </si>
  <si>
    <t>SH11671</t>
  </si>
  <si>
    <t>SH11672</t>
  </si>
  <si>
    <t>SH11673</t>
  </si>
  <si>
    <t>SH11674</t>
  </si>
  <si>
    <t>SH11675</t>
  </si>
  <si>
    <t>SH11676</t>
  </si>
  <si>
    <t>SH11677</t>
  </si>
  <si>
    <t>SH11678</t>
  </si>
  <si>
    <t>SH11679</t>
  </si>
  <si>
    <t>SH11680</t>
  </si>
  <si>
    <t>SH11681</t>
  </si>
  <si>
    <t>SH11682</t>
  </si>
  <si>
    <t>SH11683</t>
  </si>
  <si>
    <t>SH11684</t>
  </si>
  <si>
    <t>SH11685</t>
  </si>
  <si>
    <t>SH11686</t>
  </si>
  <si>
    <t>SH11687</t>
  </si>
  <si>
    <t>SH11688</t>
  </si>
  <si>
    <t>SH11689</t>
  </si>
  <si>
    <t>SH11690</t>
  </si>
  <si>
    <t>SH11691</t>
  </si>
  <si>
    <t>SH11692</t>
  </si>
  <si>
    <t>SH11693</t>
  </si>
  <si>
    <t>SH11694</t>
  </si>
  <si>
    <t>SH11695</t>
  </si>
  <si>
    <t>SH11696</t>
  </si>
  <si>
    <t>SH11697</t>
  </si>
  <si>
    <t>SH11698</t>
  </si>
  <si>
    <t>SH11699</t>
  </si>
  <si>
    <t>SH11700</t>
  </si>
  <si>
    <t>SH11701</t>
  </si>
  <si>
    <t>SH11702</t>
  </si>
  <si>
    <t>SH11703</t>
  </si>
  <si>
    <t>SH11704</t>
  </si>
  <si>
    <t>SH11705</t>
  </si>
  <si>
    <t>SH11706</t>
  </si>
  <si>
    <t>SH11707</t>
  </si>
  <si>
    <t>SH11708</t>
  </si>
  <si>
    <t>SH11709</t>
  </si>
  <si>
    <t>SH11710</t>
  </si>
  <si>
    <t>SH11711</t>
  </si>
  <si>
    <t>SH11712</t>
  </si>
  <si>
    <t>SH11713</t>
  </si>
  <si>
    <t>SH11714</t>
  </si>
  <si>
    <t>SH11715</t>
  </si>
  <si>
    <t>SH11716</t>
  </si>
  <si>
    <t>SH11717</t>
  </si>
  <si>
    <t>SH11718</t>
  </si>
  <si>
    <t>SH11719</t>
  </si>
  <si>
    <t>SH11720</t>
  </si>
  <si>
    <t>SH11721</t>
  </si>
  <si>
    <t>SH11722</t>
  </si>
  <si>
    <t>SH11723</t>
  </si>
  <si>
    <t>SH11724</t>
  </si>
  <si>
    <t>SH11725</t>
  </si>
  <si>
    <t>SH11726</t>
  </si>
  <si>
    <t>SH11727</t>
  </si>
  <si>
    <t>SH11728</t>
  </si>
  <si>
    <t>SH11729</t>
  </si>
  <si>
    <t>SH11730</t>
  </si>
  <si>
    <t>SH11731</t>
  </si>
  <si>
    <t>SH11732</t>
  </si>
  <si>
    <t>SH11733</t>
  </si>
  <si>
    <t>SH11734</t>
  </si>
  <si>
    <t>SH11735</t>
  </si>
  <si>
    <t>SH11736</t>
  </si>
  <si>
    <t>SH11737</t>
  </si>
  <si>
    <t>SH11738</t>
  </si>
  <si>
    <t>SH11739</t>
  </si>
  <si>
    <t>SH11740</t>
  </si>
  <si>
    <t>SH11741</t>
  </si>
  <si>
    <t>SH11742</t>
  </si>
  <si>
    <t>SH11743</t>
  </si>
  <si>
    <t>SH11744</t>
  </si>
  <si>
    <t>SH11745</t>
  </si>
  <si>
    <t>SH11746</t>
  </si>
  <si>
    <t>SH11747</t>
  </si>
  <si>
    <t>SH11748</t>
  </si>
  <si>
    <t>SH11749</t>
  </si>
  <si>
    <t>SH11750</t>
  </si>
  <si>
    <t>SH11751</t>
  </si>
  <si>
    <t>SH11752</t>
  </si>
  <si>
    <t>SH11753</t>
  </si>
  <si>
    <t>SH11754</t>
  </si>
  <si>
    <t>SH11755</t>
  </si>
  <si>
    <t>SH11756</t>
  </si>
  <si>
    <t>SH11757</t>
  </si>
  <si>
    <t>SH11758</t>
  </si>
  <si>
    <t>SH11759</t>
  </si>
  <si>
    <t>SH11760</t>
  </si>
  <si>
    <t>SH11761</t>
  </si>
  <si>
    <t>SH11762</t>
  </si>
  <si>
    <t>SH11763</t>
  </si>
  <si>
    <t>SH11764</t>
  </si>
  <si>
    <t>SH11765</t>
  </si>
  <si>
    <t>SH11766</t>
  </si>
  <si>
    <t>SH11767</t>
  </si>
  <si>
    <t>SH11768</t>
  </si>
  <si>
    <t>SH11769</t>
  </si>
  <si>
    <t>SH11770</t>
  </si>
  <si>
    <t>SH11771</t>
  </si>
  <si>
    <t>SH11772</t>
  </si>
  <si>
    <t>SH11773</t>
  </si>
  <si>
    <t>SH11774</t>
  </si>
  <si>
    <t>SH11775</t>
  </si>
  <si>
    <t>SH11776</t>
  </si>
  <si>
    <t>SH11777</t>
  </si>
  <si>
    <t>SH11778</t>
  </si>
  <si>
    <t>SH11779</t>
  </si>
  <si>
    <t>SH11780</t>
  </si>
  <si>
    <t>SH11781</t>
  </si>
  <si>
    <t>SH11782</t>
  </si>
  <si>
    <t>SH11783</t>
  </si>
  <si>
    <t>SH11784</t>
  </si>
  <si>
    <t>SH11785</t>
  </si>
  <si>
    <t>SH11786</t>
  </si>
  <si>
    <t>SH11787</t>
  </si>
  <si>
    <t>SH11788</t>
  </si>
  <si>
    <t>SH11789</t>
  </si>
  <si>
    <t>SH11790</t>
  </si>
  <si>
    <t>SH11791</t>
  </si>
  <si>
    <t>SH11792</t>
  </si>
  <si>
    <t>SH11793</t>
  </si>
  <si>
    <t>SH11794</t>
  </si>
  <si>
    <t>SH11795</t>
  </si>
  <si>
    <t>SH11796</t>
  </si>
  <si>
    <t>SH11797</t>
  </si>
  <si>
    <t>SH11798</t>
  </si>
  <si>
    <t>SH11799</t>
  </si>
  <si>
    <t>SH11800</t>
  </si>
  <si>
    <t>SH11801</t>
  </si>
  <si>
    <t>SH11802</t>
  </si>
  <si>
    <t>SH11803</t>
  </si>
  <si>
    <t>SH11804</t>
  </si>
  <si>
    <t>SH11805</t>
  </si>
  <si>
    <t>SH11806</t>
  </si>
  <si>
    <t>SH11807</t>
  </si>
  <si>
    <t>SH11808</t>
  </si>
  <si>
    <t>SH11809</t>
  </si>
  <si>
    <t>SH11810</t>
  </si>
  <si>
    <t>SH11811</t>
  </si>
  <si>
    <t>SH11812</t>
  </si>
  <si>
    <t>SH11813</t>
  </si>
  <si>
    <t>SH11814</t>
  </si>
  <si>
    <t>SH11815</t>
  </si>
  <si>
    <t>SH11816</t>
  </si>
  <si>
    <t>SH11817</t>
  </si>
  <si>
    <t>SH11818</t>
  </si>
  <si>
    <t>SH11819</t>
  </si>
  <si>
    <t>SH11820</t>
  </si>
  <si>
    <t>SH11821</t>
  </si>
  <si>
    <t>SH11822</t>
  </si>
  <si>
    <t>SH11823</t>
  </si>
  <si>
    <t>SH11824</t>
  </si>
  <si>
    <t>SH11825</t>
  </si>
  <si>
    <t>SH11826</t>
  </si>
  <si>
    <t>SH11827</t>
  </si>
  <si>
    <t>SH11828</t>
  </si>
  <si>
    <t>SH11829</t>
  </si>
  <si>
    <t>SH11830</t>
  </si>
  <si>
    <t>SH11831</t>
  </si>
  <si>
    <t>SH11832</t>
  </si>
  <si>
    <t>SH11833</t>
  </si>
  <si>
    <t>SH11834</t>
  </si>
  <si>
    <t>SH11835</t>
  </si>
  <si>
    <t>SH11836</t>
  </si>
  <si>
    <t>SH11837</t>
  </si>
  <si>
    <t>SH11838</t>
  </si>
  <si>
    <t>SH11839</t>
  </si>
  <si>
    <t>SH11840</t>
  </si>
  <si>
    <t>SH11841</t>
  </si>
  <si>
    <t>SH11842</t>
  </si>
  <si>
    <t>SH11843</t>
  </si>
  <si>
    <t>SH11844</t>
  </si>
  <si>
    <t>SH11845</t>
  </si>
  <si>
    <t>SH11846</t>
  </si>
  <si>
    <t>SH11847</t>
  </si>
  <si>
    <t>SH11848</t>
  </si>
  <si>
    <t>SH11849</t>
  </si>
  <si>
    <t>SH11850</t>
  </si>
  <si>
    <t>SH11851</t>
  </si>
  <si>
    <t>SH11852</t>
  </si>
  <si>
    <t>SH11853</t>
  </si>
  <si>
    <t>SH11854</t>
  </si>
  <si>
    <t>SH11855</t>
  </si>
  <si>
    <t>SH11856</t>
  </si>
  <si>
    <t>SH11857</t>
  </si>
  <si>
    <t>SH11858</t>
  </si>
  <si>
    <t>SH11859</t>
  </si>
  <si>
    <t>SH11860</t>
  </si>
  <si>
    <t>SH11861</t>
  </si>
  <si>
    <t>SH11862</t>
  </si>
  <si>
    <t>SH11863</t>
  </si>
  <si>
    <t>SH11864</t>
  </si>
  <si>
    <t>SH11865</t>
  </si>
  <si>
    <t>SH11866</t>
  </si>
  <si>
    <t>SH11867</t>
  </si>
  <si>
    <t>SH11868</t>
  </si>
  <si>
    <t>SH11869</t>
  </si>
  <si>
    <t>SH11870</t>
  </si>
  <si>
    <t>SH11871</t>
  </si>
  <si>
    <t>SH11872</t>
  </si>
  <si>
    <t>SH11873</t>
  </si>
  <si>
    <t>SH11874</t>
  </si>
  <si>
    <t>SH11875</t>
  </si>
  <si>
    <t>SH11876</t>
  </si>
  <si>
    <t>SH11877</t>
  </si>
  <si>
    <t>SH11878</t>
  </si>
  <si>
    <t>SH11879</t>
  </si>
  <si>
    <t>SH11880</t>
  </si>
  <si>
    <t>SH11881</t>
  </si>
  <si>
    <t>SH11882</t>
  </si>
  <si>
    <t>SH11883</t>
  </si>
  <si>
    <t>SH11884</t>
  </si>
  <si>
    <t>SH11885</t>
  </si>
  <si>
    <t>SH11886</t>
  </si>
  <si>
    <t>SH11887</t>
  </si>
  <si>
    <t>SH11888</t>
  </si>
  <si>
    <t>SH11889</t>
  </si>
  <si>
    <t>SH11890</t>
  </si>
  <si>
    <t>SH11891</t>
  </si>
  <si>
    <t>SH11892</t>
  </si>
  <si>
    <t>SH11893</t>
  </si>
  <si>
    <t>SH11894</t>
  </si>
  <si>
    <t>SH11895</t>
  </si>
  <si>
    <t>SH11896</t>
  </si>
  <si>
    <t>SH11897</t>
  </si>
  <si>
    <t>SH11898</t>
  </si>
  <si>
    <t>SH11899</t>
  </si>
  <si>
    <t>SH11900</t>
  </si>
  <si>
    <t>SH11901</t>
  </si>
  <si>
    <t>SH11902</t>
  </si>
  <si>
    <t>SH11903</t>
  </si>
  <si>
    <t>SH11904</t>
  </si>
  <si>
    <t>SH11905</t>
  </si>
  <si>
    <t>SH11906</t>
  </si>
  <si>
    <t>SH11907</t>
  </si>
  <si>
    <t>SH11908</t>
  </si>
  <si>
    <t>SH11909</t>
  </si>
  <si>
    <t>SH11910</t>
  </si>
  <si>
    <t>SH11911</t>
  </si>
  <si>
    <t>SH11912</t>
  </si>
  <si>
    <t>SH11913</t>
  </si>
  <si>
    <t>SH11914</t>
  </si>
  <si>
    <t>SH11915</t>
  </si>
  <si>
    <t>SH11916</t>
  </si>
  <si>
    <t>SH11917</t>
  </si>
  <si>
    <t>SH11918</t>
  </si>
  <si>
    <t>SH11919</t>
  </si>
  <si>
    <t>SH11920</t>
  </si>
  <si>
    <t>SH11921</t>
  </si>
  <si>
    <t>SH11922</t>
  </si>
  <si>
    <t>SH11923</t>
  </si>
  <si>
    <t>SH11924</t>
  </si>
  <si>
    <t>SH11925</t>
  </si>
  <si>
    <t>SH11926</t>
  </si>
  <si>
    <t>SH11927</t>
  </si>
  <si>
    <t>SH11928</t>
  </si>
  <si>
    <t>SH11929</t>
  </si>
  <si>
    <t>SH11930</t>
  </si>
  <si>
    <t>SH11931</t>
  </si>
  <si>
    <t>SH11932</t>
  </si>
  <si>
    <t>SH11933</t>
  </si>
  <si>
    <t>SH11934</t>
  </si>
  <si>
    <t>SH11935</t>
  </si>
  <si>
    <t>SH11936</t>
  </si>
  <si>
    <t>SH11937</t>
  </si>
  <si>
    <t>SH11938</t>
  </si>
  <si>
    <t>SH11939</t>
  </si>
  <si>
    <t>SH11940</t>
  </si>
  <si>
    <t>SH11941</t>
  </si>
  <si>
    <t>SH11942</t>
  </si>
  <si>
    <t>SH11943</t>
  </si>
  <si>
    <t>SH11944</t>
  </si>
  <si>
    <t>SH11945</t>
  </si>
  <si>
    <t>SH11946</t>
  </si>
  <si>
    <t>SH11947</t>
  </si>
  <si>
    <t>SH11948</t>
  </si>
  <si>
    <t>SH11949</t>
  </si>
  <si>
    <t>SH11950</t>
  </si>
  <si>
    <t>SH11951</t>
  </si>
  <si>
    <t>SH11952</t>
  </si>
  <si>
    <t>SH11953</t>
  </si>
  <si>
    <t>SH11954</t>
  </si>
  <si>
    <t>SH11955</t>
  </si>
  <si>
    <t>SH11956</t>
  </si>
  <si>
    <t>SH11957</t>
  </si>
  <si>
    <t>SH11958</t>
  </si>
  <si>
    <t>SH11959</t>
  </si>
  <si>
    <t>SH11960</t>
  </si>
  <si>
    <t>SH11961</t>
  </si>
  <si>
    <t>SH11962</t>
  </si>
  <si>
    <t>SH11963</t>
  </si>
  <si>
    <t>SH11964</t>
  </si>
  <si>
    <t>SH11965</t>
  </si>
  <si>
    <t>SH11966</t>
  </si>
  <si>
    <t>SH11967</t>
  </si>
  <si>
    <t>SH11968</t>
  </si>
  <si>
    <t>SH11969</t>
  </si>
  <si>
    <t>SH11970</t>
  </si>
  <si>
    <t>SH11971</t>
  </si>
  <si>
    <t>SH11972</t>
  </si>
  <si>
    <t>SH11973</t>
  </si>
  <si>
    <t>SH11974</t>
  </si>
  <si>
    <t>SH11975</t>
  </si>
  <si>
    <t>SH11976</t>
  </si>
  <si>
    <t>SH11977</t>
  </si>
  <si>
    <t>SH11978</t>
  </si>
  <si>
    <t>SH11979</t>
  </si>
  <si>
    <t>SH11980</t>
  </si>
  <si>
    <t>SH11981</t>
  </si>
  <si>
    <t>SH11982</t>
  </si>
  <si>
    <t>SH11983</t>
  </si>
  <si>
    <t>SH11984</t>
  </si>
  <si>
    <t>SH11985</t>
  </si>
  <si>
    <t>SH11986</t>
  </si>
  <si>
    <t>SH11987</t>
  </si>
  <si>
    <t>SH11988</t>
  </si>
  <si>
    <t>SH11989</t>
  </si>
  <si>
    <t>SH11990</t>
  </si>
  <si>
    <t>SH11991</t>
  </si>
  <si>
    <t>SH11992</t>
  </si>
  <si>
    <t>SH11993</t>
  </si>
  <si>
    <t>SH11994</t>
  </si>
  <si>
    <t>SH11995</t>
  </si>
  <si>
    <t>SH11996</t>
  </si>
  <si>
    <t>SH11997</t>
  </si>
  <si>
    <t>SH11998</t>
  </si>
  <si>
    <t>SH11999</t>
  </si>
  <si>
    <t>Destination_State</t>
  </si>
  <si>
    <t>Destination_Region</t>
  </si>
  <si>
    <t>Performance_Score</t>
  </si>
  <si>
    <t>Destination_City</t>
  </si>
  <si>
    <t>Cost_Performance</t>
  </si>
  <si>
    <t>Cost_Per_Mile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</si>
  <si>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</si>
  <si>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</si>
  <si>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</si>
  <si>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</si>
  <si>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</si>
  <si>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</si>
  <si>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</si>
  <si>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</si>
  <si>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</si>
  <si>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</si>
  <si>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</si>
  <si>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</si>
  <si>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</si>
  <si>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Anova: Single Factor</t>
  </si>
  <si>
    <t>SUMMARY</t>
  </si>
  <si>
    <t>Groups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</si>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</sst>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10" xfId="0" applyBorder="1"/>
    <xf numFmtId="0" fontId="18" fillId="0" borderId="11" xfId="0" applyFont="1" applyBorder="1" applyAlignment="1">
      <alignment horizontal="centerContinuous"/>
    </xf>
    <xf numFmtId="0" fontId="18" fillId="0" borderId="11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Cost Per Mile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Cost Per Mile</a:t>
          </a:r>
        </a:p>
      </cx:txPr>
    </cx:title>
    <cx:plotArea>
      <cx:plotAreaRegion>
        <cx:series layoutId="boxWhisker" uniqueId="{63203800-99C2-4762-B8AA-4D9BD01E62A9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Performance Score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Performance Score</a:t>
          </a:r>
        </a:p>
      </cx:txPr>
    </cx:title>
    <cx:plotArea>
      <cx:plotAreaRegion>
        <cx:series layoutId="clusteredColumn" uniqueId="{1522BD6E-BF2A-4C26-BB43-F564F0B75865}"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Performance Score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Performance Score</a:t>
          </a:r>
        </a:p>
      </cx:txPr>
    </cx:title>
    <cx:plotArea>
      <cx:plotAreaRegion>
        <cx:series layoutId="boxWhisker" uniqueId="{67DDAC8B-C1C5-446A-BDF2-BD8498CCC134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390525</xdr:colOff>
      <xdr:row>1944</xdr:row>
      <xdr:rowOff>9525</xdr:rowOff>
    </xdr:from>
    <xdr:to>
      <xdr:col>30</xdr:col>
      <xdr:colOff>238125</xdr:colOff>
      <xdr:row>1964</xdr:row>
      <xdr:rowOff>19051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6F56C1E7-858B-D481-AFB5-2931ADACEA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450175" y="120977025"/>
              <a:ext cx="4572000" cy="21050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18</xdr:col>
      <xdr:colOff>157162</xdr:colOff>
      <xdr:row>1928</xdr:row>
      <xdr:rowOff>9525</xdr:rowOff>
    </xdr:from>
    <xdr:to>
      <xdr:col>26</xdr:col>
      <xdr:colOff>4762</xdr:colOff>
      <xdr:row>1942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A16998CB-BD4D-BDE3-BEC6-D464D563ED4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854612" y="120596025"/>
              <a:ext cx="4572000" cy="371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27</xdr:col>
      <xdr:colOff>14287</xdr:colOff>
      <xdr:row>1928</xdr:row>
      <xdr:rowOff>9525</xdr:rowOff>
    </xdr:from>
    <xdr:to>
      <xdr:col>34</xdr:col>
      <xdr:colOff>452437</xdr:colOff>
      <xdr:row>1942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36D18699-287E-52A5-235E-F19AECD40C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026687" y="120596025"/>
              <a:ext cx="4572000" cy="371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than Nordhoff" id="{16CF1B7B-2DDA-4218-A66D-235ED8B4BAB1}" userId="26330456962c0d57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6-05-01T00:26:18.16" personId="{16CF1B7B-2DDA-4218-A66D-235ED8B4BAB1}" id="{204057A1-8848-46D7-8F41-B607A3932D6D}">
    <text xml:space="preserve">Higher = better (how fast shipments move)
</text>
  </threadedComment>
  <threadedComment ref="P1" dT="2026-05-01T00:25:21.12" personId="{16CF1B7B-2DDA-4218-A66D-235ED8B4BAB1}" id="{41E29B0C-F3B9-4BBF-B971-E0CC8A77010D}">
    <text>High Score = fast and cheap
Low Score = slow and expensive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D527D-CF6D-482A-B6B3-B15A558E7034}">
  <dimension ref="A1:K2001"/>
  <sheetViews>
    <sheetView workbookViewId="0">
      <selection activeCell="H2004" sqref="H2004"/>
    </sheetView>
  </sheetViews>
  <sheetFormatPr defaultColWidth="8.85546875" defaultRowHeight="15" x14ac:dyDescent="0.25"/>
  <cols>
    <col min="1" max="1" width="12" bestFit="1" customWidth="1"/>
    <col min="2" max="2" width="17.42578125" bestFit="1" customWidth="1"/>
    <col min="3" max="3" width="13.42578125" bestFit="1" customWidth="1"/>
    <col min="4" max="4" width="16.42578125" bestFit="1" customWidth="1"/>
    <col min="5" max="5" width="14.28515625" style="1" bestFit="1" customWidth="1"/>
    <col min="6" max="6" width="12.7109375" style="1" bestFit="1" customWidth="1"/>
    <col min="7" max="7" width="9.85546875" style="2" bestFit="1" customWidth="1"/>
    <col min="8" max="8" width="8" style="2" bestFit="1" customWidth="1"/>
    <col min="9" max="9" width="9.28515625" bestFit="1" customWidth="1"/>
    <col min="10" max="10" width="14.42578125" style="2" bestFit="1" customWidth="1"/>
    <col min="11" max="11" width="12.28515625" style="2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t="s">
        <v>8</v>
      </c>
      <c r="J1" s="2" t="s">
        <v>9</v>
      </c>
      <c r="K1" s="2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s="1">
        <v>45201</v>
      </c>
      <c r="F2" s="1">
        <v>45203</v>
      </c>
      <c r="G2" s="2">
        <v>25.7</v>
      </c>
      <c r="H2" s="2">
        <v>67.459999999999994</v>
      </c>
      <c r="I2" t="s">
        <v>15</v>
      </c>
      <c r="J2" s="2">
        <v>291</v>
      </c>
      <c r="K2" s="2">
        <v>2</v>
      </c>
    </row>
    <row r="3" spans="1:11" x14ac:dyDescent="0.25">
      <c r="A3" t="s">
        <v>16</v>
      </c>
      <c r="B3" t="s">
        <v>12</v>
      </c>
      <c r="C3" t="s">
        <v>17</v>
      </c>
      <c r="D3" t="s">
        <v>18</v>
      </c>
      <c r="E3" s="1">
        <v>45266</v>
      </c>
      <c r="F3" s="1">
        <v>45269</v>
      </c>
      <c r="G3" s="2">
        <v>38.9</v>
      </c>
      <c r="H3" s="2">
        <v>268.85000000000002</v>
      </c>
      <c r="I3" t="s">
        <v>15</v>
      </c>
      <c r="J3" s="2">
        <v>1225</v>
      </c>
      <c r="K3" s="2">
        <v>3</v>
      </c>
    </row>
    <row r="4" spans="1:11" x14ac:dyDescent="0.25">
      <c r="A4" t="s">
        <v>19</v>
      </c>
      <c r="B4" t="s">
        <v>20</v>
      </c>
      <c r="C4" t="s">
        <v>21</v>
      </c>
      <c r="D4" t="s">
        <v>18</v>
      </c>
      <c r="E4" s="1">
        <v>45187</v>
      </c>
      <c r="F4" s="1">
        <v>45189</v>
      </c>
      <c r="G4" s="2">
        <v>37.200000000000003</v>
      </c>
      <c r="H4" s="2">
        <v>74.349999999999994</v>
      </c>
      <c r="I4" t="s">
        <v>15</v>
      </c>
      <c r="J4" s="2">
        <v>220</v>
      </c>
      <c r="K4" s="2">
        <v>2</v>
      </c>
    </row>
    <row r="5" spans="1:11" x14ac:dyDescent="0.25">
      <c r="A5" t="s">
        <v>22</v>
      </c>
      <c r="B5" t="s">
        <v>23</v>
      </c>
      <c r="C5" t="s">
        <v>24</v>
      </c>
      <c r="D5" t="s">
        <v>25</v>
      </c>
      <c r="E5" s="1">
        <v>44952</v>
      </c>
      <c r="F5" s="1">
        <v>44961</v>
      </c>
      <c r="G5" s="2">
        <v>42.6</v>
      </c>
      <c r="H5" s="2">
        <v>187.04</v>
      </c>
      <c r="I5" t="s">
        <v>15</v>
      </c>
      <c r="J5" s="2">
        <v>1156</v>
      </c>
      <c r="K5" s="2">
        <v>9</v>
      </c>
    </row>
    <row r="6" spans="1:11" x14ac:dyDescent="0.25">
      <c r="A6" t="s">
        <v>26</v>
      </c>
      <c r="B6" t="s">
        <v>27</v>
      </c>
      <c r="C6" t="s">
        <v>28</v>
      </c>
      <c r="D6" t="s">
        <v>25</v>
      </c>
      <c r="E6" s="1">
        <v>45080</v>
      </c>
      <c r="F6" s="1">
        <v>45083</v>
      </c>
      <c r="G6" s="2">
        <v>7.9</v>
      </c>
      <c r="H6" s="2">
        <v>120.01</v>
      </c>
      <c r="I6" t="s">
        <v>15</v>
      </c>
      <c r="J6" s="2">
        <v>1017</v>
      </c>
      <c r="K6" s="2">
        <v>3</v>
      </c>
    </row>
    <row r="7" spans="1:11" x14ac:dyDescent="0.25">
      <c r="A7" t="s">
        <v>29</v>
      </c>
      <c r="B7" t="s">
        <v>30</v>
      </c>
      <c r="C7" t="s">
        <v>31</v>
      </c>
      <c r="D7" t="s">
        <v>32</v>
      </c>
      <c r="E7" s="1">
        <v>45182</v>
      </c>
      <c r="F7" s="1">
        <v>45185</v>
      </c>
      <c r="G7" s="2">
        <v>9.1</v>
      </c>
      <c r="H7" s="2">
        <v>143.26</v>
      </c>
      <c r="I7" t="s">
        <v>15</v>
      </c>
      <c r="J7" s="2">
        <v>898</v>
      </c>
      <c r="K7" s="2">
        <v>3</v>
      </c>
    </row>
    <row r="8" spans="1:11" x14ac:dyDescent="0.25">
      <c r="A8" t="s">
        <v>33</v>
      </c>
      <c r="B8" t="s">
        <v>23</v>
      </c>
      <c r="C8" t="s">
        <v>21</v>
      </c>
      <c r="D8" t="s">
        <v>14</v>
      </c>
      <c r="E8" s="1">
        <v>45218</v>
      </c>
      <c r="F8" s="1">
        <v>45222</v>
      </c>
      <c r="G8" s="2">
        <v>0.4</v>
      </c>
      <c r="H8" s="2">
        <v>225.23</v>
      </c>
      <c r="I8" t="s">
        <v>15</v>
      </c>
      <c r="J8" s="2">
        <v>1522</v>
      </c>
      <c r="K8" s="2">
        <v>4</v>
      </c>
    </row>
    <row r="9" spans="1:11" x14ac:dyDescent="0.25">
      <c r="A9" t="s">
        <v>34</v>
      </c>
      <c r="B9" t="s">
        <v>35</v>
      </c>
      <c r="C9" t="s">
        <v>36</v>
      </c>
      <c r="D9" t="s">
        <v>37</v>
      </c>
      <c r="E9" s="1">
        <v>44984</v>
      </c>
      <c r="F9" s="1">
        <v>44993</v>
      </c>
      <c r="G9" s="2">
        <v>16.7</v>
      </c>
      <c r="H9" s="2">
        <v>281.23</v>
      </c>
      <c r="I9" t="s">
        <v>15</v>
      </c>
      <c r="J9" s="2">
        <v>2013</v>
      </c>
      <c r="K9" s="2">
        <v>9</v>
      </c>
    </row>
    <row r="10" spans="1:11" x14ac:dyDescent="0.25">
      <c r="A10" t="s">
        <v>38</v>
      </c>
      <c r="B10" t="s">
        <v>39</v>
      </c>
      <c r="C10" t="s">
        <v>40</v>
      </c>
      <c r="D10" t="s">
        <v>37</v>
      </c>
      <c r="E10" s="1">
        <v>45254</v>
      </c>
      <c r="F10" s="1">
        <v>45261</v>
      </c>
      <c r="G10" s="2">
        <v>15.1</v>
      </c>
      <c r="H10" s="2">
        <v>341.93</v>
      </c>
      <c r="I10" t="s">
        <v>15</v>
      </c>
      <c r="J10" s="2">
        <v>2072</v>
      </c>
      <c r="K10" s="2">
        <v>7</v>
      </c>
    </row>
    <row r="11" spans="1:11" x14ac:dyDescent="0.25">
      <c r="A11" t="s">
        <v>41</v>
      </c>
      <c r="B11" t="s">
        <v>27</v>
      </c>
      <c r="C11" t="s">
        <v>40</v>
      </c>
      <c r="D11" t="s">
        <v>42</v>
      </c>
      <c r="E11" s="1">
        <v>44945</v>
      </c>
      <c r="F11" s="1">
        <v>44947</v>
      </c>
      <c r="G11" s="2">
        <v>27.7</v>
      </c>
      <c r="H11" s="2">
        <v>55.24</v>
      </c>
      <c r="I11" t="s">
        <v>15</v>
      </c>
      <c r="J11" s="2">
        <v>214</v>
      </c>
      <c r="K11" s="2">
        <v>2</v>
      </c>
    </row>
    <row r="12" spans="1:11" x14ac:dyDescent="0.25">
      <c r="A12" t="s">
        <v>43</v>
      </c>
      <c r="B12" t="s">
        <v>12</v>
      </c>
      <c r="C12" t="s">
        <v>44</v>
      </c>
      <c r="D12" t="s">
        <v>32</v>
      </c>
      <c r="E12" s="1">
        <v>44959</v>
      </c>
      <c r="F12" s="1">
        <v>44964</v>
      </c>
      <c r="G12" s="2">
        <v>7.1</v>
      </c>
      <c r="H12" s="2">
        <v>251.53</v>
      </c>
      <c r="I12" t="s">
        <v>15</v>
      </c>
      <c r="J12" s="2">
        <v>1736</v>
      </c>
      <c r="K12" s="2">
        <v>5</v>
      </c>
    </row>
    <row r="13" spans="1:11" x14ac:dyDescent="0.25">
      <c r="A13" t="s">
        <v>45</v>
      </c>
      <c r="B13" t="s">
        <v>30</v>
      </c>
      <c r="C13" t="s">
        <v>46</v>
      </c>
      <c r="D13" t="s">
        <v>37</v>
      </c>
      <c r="E13" s="1">
        <v>45074</v>
      </c>
      <c r="F13" s="1">
        <v>45081</v>
      </c>
      <c r="G13" s="2">
        <v>38.200000000000003</v>
      </c>
      <c r="H13" s="2">
        <v>357.12</v>
      </c>
      <c r="I13" t="s">
        <v>47</v>
      </c>
      <c r="J13" s="2">
        <v>2366</v>
      </c>
      <c r="K13" s="2">
        <v>6</v>
      </c>
    </row>
    <row r="14" spans="1:11" x14ac:dyDescent="0.25">
      <c r="A14" t="s">
        <v>48</v>
      </c>
      <c r="B14" t="s">
        <v>49</v>
      </c>
      <c r="C14" t="s">
        <v>31</v>
      </c>
      <c r="D14" t="s">
        <v>32</v>
      </c>
      <c r="E14" s="1">
        <v>45146</v>
      </c>
      <c r="F14" s="1">
        <v>45151</v>
      </c>
      <c r="G14" s="2">
        <v>34.4</v>
      </c>
      <c r="H14" s="2">
        <v>121.14</v>
      </c>
      <c r="I14" t="s">
        <v>15</v>
      </c>
      <c r="J14" s="2">
        <v>650</v>
      </c>
      <c r="K14" s="2">
        <v>5</v>
      </c>
    </row>
    <row r="15" spans="1:11" x14ac:dyDescent="0.25">
      <c r="A15" t="s">
        <v>50</v>
      </c>
      <c r="B15" t="s">
        <v>51</v>
      </c>
      <c r="C15" t="s">
        <v>52</v>
      </c>
      <c r="D15" t="s">
        <v>14</v>
      </c>
      <c r="E15" s="1">
        <v>45288</v>
      </c>
      <c r="F15" s="1">
        <v>45294</v>
      </c>
      <c r="G15" s="2">
        <v>20.7</v>
      </c>
      <c r="H15" s="2">
        <v>272.48</v>
      </c>
      <c r="I15" t="s">
        <v>15</v>
      </c>
      <c r="J15" s="2">
        <v>1574</v>
      </c>
      <c r="K15" s="2">
        <v>6</v>
      </c>
    </row>
    <row r="16" spans="1:11" x14ac:dyDescent="0.25">
      <c r="A16" t="s">
        <v>53</v>
      </c>
      <c r="B16" t="s">
        <v>23</v>
      </c>
      <c r="C16" t="s">
        <v>54</v>
      </c>
      <c r="D16" t="s">
        <v>32</v>
      </c>
      <c r="E16" s="1">
        <v>45131</v>
      </c>
      <c r="F16" s="1">
        <v>45137</v>
      </c>
      <c r="G16" s="2">
        <v>12.5</v>
      </c>
      <c r="H16" s="2">
        <v>266.08</v>
      </c>
      <c r="I16" t="s">
        <v>15</v>
      </c>
      <c r="J16" s="2">
        <v>1849</v>
      </c>
      <c r="K16" s="2">
        <v>6</v>
      </c>
    </row>
    <row r="17" spans="1:11" x14ac:dyDescent="0.25">
      <c r="A17" t="s">
        <v>55</v>
      </c>
      <c r="B17" t="s">
        <v>56</v>
      </c>
      <c r="C17" t="s">
        <v>57</v>
      </c>
      <c r="D17" t="s">
        <v>25</v>
      </c>
      <c r="E17" s="1">
        <v>45056</v>
      </c>
      <c r="F17" s="1">
        <v>45062</v>
      </c>
      <c r="G17" s="2">
        <v>28.6</v>
      </c>
      <c r="H17" s="2">
        <v>221.21</v>
      </c>
      <c r="I17" t="s">
        <v>15</v>
      </c>
      <c r="J17" s="2">
        <v>1489</v>
      </c>
      <c r="K17" s="2">
        <v>6</v>
      </c>
    </row>
    <row r="18" spans="1:11" x14ac:dyDescent="0.25">
      <c r="A18" t="s">
        <v>58</v>
      </c>
      <c r="B18" t="s">
        <v>35</v>
      </c>
      <c r="C18" t="s">
        <v>40</v>
      </c>
      <c r="D18" t="s">
        <v>59</v>
      </c>
      <c r="E18" s="1">
        <v>44951</v>
      </c>
      <c r="F18" s="1">
        <v>44952</v>
      </c>
      <c r="G18" s="2">
        <v>24.1</v>
      </c>
      <c r="H18" s="2">
        <v>60.27</v>
      </c>
      <c r="I18" t="s">
        <v>60</v>
      </c>
      <c r="J18" s="2">
        <v>283</v>
      </c>
      <c r="K18" s="2">
        <v>1</v>
      </c>
    </row>
    <row r="19" spans="1:11" x14ac:dyDescent="0.25">
      <c r="A19" t="s">
        <v>61</v>
      </c>
      <c r="B19" t="s">
        <v>20</v>
      </c>
      <c r="C19" t="s">
        <v>13</v>
      </c>
      <c r="D19" t="s">
        <v>25</v>
      </c>
      <c r="E19" s="1">
        <v>45085</v>
      </c>
      <c r="F19" s="1">
        <v>45088</v>
      </c>
      <c r="G19" s="2">
        <v>43.2</v>
      </c>
      <c r="H19" s="2">
        <v>80.599999999999994</v>
      </c>
      <c r="I19" t="s">
        <v>62</v>
      </c>
      <c r="J19" s="2">
        <v>223</v>
      </c>
      <c r="K19" s="2">
        <v>3</v>
      </c>
    </row>
    <row r="20" spans="1:11" x14ac:dyDescent="0.25">
      <c r="A20" t="s">
        <v>63</v>
      </c>
      <c r="B20" t="s">
        <v>30</v>
      </c>
      <c r="C20" t="s">
        <v>17</v>
      </c>
      <c r="D20" t="s">
        <v>25</v>
      </c>
      <c r="E20" s="1">
        <v>45215</v>
      </c>
      <c r="F20" s="1">
        <v>45224</v>
      </c>
      <c r="G20" s="2">
        <v>6.3</v>
      </c>
      <c r="H20" s="2">
        <v>124.52</v>
      </c>
      <c r="I20" t="s">
        <v>15</v>
      </c>
      <c r="J20" s="2">
        <v>1055</v>
      </c>
      <c r="K20" s="2">
        <v>9</v>
      </c>
    </row>
    <row r="21" spans="1:11" x14ac:dyDescent="0.25">
      <c r="A21" t="s">
        <v>64</v>
      </c>
      <c r="B21" t="s">
        <v>12</v>
      </c>
      <c r="C21" t="s">
        <v>36</v>
      </c>
      <c r="D21" t="s">
        <v>18</v>
      </c>
      <c r="E21" s="1">
        <v>44942</v>
      </c>
      <c r="F21" s="1">
        <v>44947</v>
      </c>
      <c r="G21" s="2">
        <v>51.2</v>
      </c>
      <c r="H21" s="2">
        <v>290.72000000000003</v>
      </c>
      <c r="I21" t="s">
        <v>15</v>
      </c>
      <c r="J21" s="2">
        <v>1660</v>
      </c>
      <c r="K21" s="2">
        <v>5</v>
      </c>
    </row>
    <row r="22" spans="1:11" x14ac:dyDescent="0.25">
      <c r="A22" t="s">
        <v>65</v>
      </c>
      <c r="B22" t="s">
        <v>12</v>
      </c>
      <c r="C22" t="s">
        <v>54</v>
      </c>
      <c r="D22" t="s">
        <v>32</v>
      </c>
      <c r="E22" s="1">
        <v>45148</v>
      </c>
      <c r="F22" s="1">
        <v>45118</v>
      </c>
      <c r="G22" s="2">
        <v>7.8</v>
      </c>
      <c r="H22" s="2">
        <v>216.42</v>
      </c>
      <c r="I22" t="s">
        <v>15</v>
      </c>
      <c r="J22" s="2">
        <v>1696</v>
      </c>
      <c r="K22" s="2">
        <v>5</v>
      </c>
    </row>
    <row r="23" spans="1:11" x14ac:dyDescent="0.25">
      <c r="A23" t="s">
        <v>66</v>
      </c>
      <c r="B23" t="s">
        <v>49</v>
      </c>
      <c r="C23" t="s">
        <v>21</v>
      </c>
      <c r="D23" t="s">
        <v>42</v>
      </c>
      <c r="E23" s="1">
        <v>45161</v>
      </c>
      <c r="F23" s="1">
        <v>45165</v>
      </c>
      <c r="G23" s="2">
        <v>29.6</v>
      </c>
      <c r="H23" s="2">
        <v>216.63</v>
      </c>
      <c r="I23" t="s">
        <v>67</v>
      </c>
      <c r="J23" s="2">
        <v>1407</v>
      </c>
      <c r="K23" s="2">
        <v>4</v>
      </c>
    </row>
    <row r="24" spans="1:11" x14ac:dyDescent="0.25">
      <c r="A24" t="s">
        <v>68</v>
      </c>
      <c r="B24" t="s">
        <v>35</v>
      </c>
      <c r="C24" t="s">
        <v>13</v>
      </c>
      <c r="D24" t="s">
        <v>59</v>
      </c>
      <c r="E24" s="1">
        <v>45128</v>
      </c>
      <c r="F24" s="1">
        <v>45130</v>
      </c>
      <c r="G24" s="2">
        <v>15.2</v>
      </c>
      <c r="H24" s="2">
        <v>67.11</v>
      </c>
      <c r="I24" t="s">
        <v>15</v>
      </c>
      <c r="J24" s="2">
        <v>440</v>
      </c>
      <c r="K24" s="2">
        <v>2</v>
      </c>
    </row>
    <row r="25" spans="1:11" x14ac:dyDescent="0.25">
      <c r="A25" t="s">
        <v>69</v>
      </c>
      <c r="B25" t="s">
        <v>49</v>
      </c>
      <c r="C25" t="s">
        <v>70</v>
      </c>
      <c r="D25" t="s">
        <v>18</v>
      </c>
      <c r="E25" s="1">
        <v>45225</v>
      </c>
      <c r="F25" s="1">
        <v>45228</v>
      </c>
      <c r="G25" s="2">
        <v>22.2</v>
      </c>
      <c r="H25" s="2">
        <v>228.57</v>
      </c>
      <c r="I25" t="s">
        <v>15</v>
      </c>
      <c r="J25" s="2">
        <v>1402</v>
      </c>
      <c r="K25" s="2">
        <v>3</v>
      </c>
    </row>
    <row r="26" spans="1:11" x14ac:dyDescent="0.25">
      <c r="A26" t="s">
        <v>71</v>
      </c>
      <c r="B26" t="s">
        <v>56</v>
      </c>
      <c r="C26" t="s">
        <v>52</v>
      </c>
      <c r="D26" t="s">
        <v>59</v>
      </c>
      <c r="E26" s="1">
        <v>45149</v>
      </c>
      <c r="F26" s="1">
        <v>45153</v>
      </c>
      <c r="G26" s="2">
        <v>5.3</v>
      </c>
      <c r="H26" s="2">
        <v>37.32</v>
      </c>
      <c r="I26" t="s">
        <v>15</v>
      </c>
      <c r="J26" s="2">
        <v>256</v>
      </c>
      <c r="K26" s="2">
        <v>4</v>
      </c>
    </row>
    <row r="27" spans="1:11" x14ac:dyDescent="0.25">
      <c r="A27" t="s">
        <v>72</v>
      </c>
      <c r="B27" t="s">
        <v>51</v>
      </c>
      <c r="C27" t="s">
        <v>36</v>
      </c>
      <c r="D27" t="s">
        <v>14</v>
      </c>
      <c r="E27" s="1">
        <v>45043</v>
      </c>
      <c r="F27" s="1">
        <v>45045</v>
      </c>
      <c r="G27" s="2">
        <v>40</v>
      </c>
      <c r="H27" s="2">
        <v>124.29</v>
      </c>
      <c r="I27" t="s">
        <v>15</v>
      </c>
      <c r="J27" s="2">
        <v>519</v>
      </c>
      <c r="K27" s="2">
        <v>2</v>
      </c>
    </row>
    <row r="28" spans="1:11" x14ac:dyDescent="0.25">
      <c r="A28" t="s">
        <v>73</v>
      </c>
      <c r="B28" t="s">
        <v>56</v>
      </c>
      <c r="C28" t="s">
        <v>54</v>
      </c>
      <c r="D28" t="s">
        <v>14</v>
      </c>
      <c r="E28" s="1">
        <v>45290</v>
      </c>
      <c r="F28" s="1">
        <v>45292</v>
      </c>
      <c r="G28" s="2">
        <v>8.6999999999999993</v>
      </c>
      <c r="H28" s="2">
        <v>73.52</v>
      </c>
      <c r="I28" t="s">
        <v>15</v>
      </c>
      <c r="J28" s="2">
        <v>386</v>
      </c>
      <c r="K28" s="2">
        <v>2</v>
      </c>
    </row>
    <row r="29" spans="1:11" x14ac:dyDescent="0.25">
      <c r="A29" t="s">
        <v>74</v>
      </c>
      <c r="B29" t="s">
        <v>56</v>
      </c>
      <c r="C29" t="s">
        <v>46</v>
      </c>
      <c r="D29" t="s">
        <v>59</v>
      </c>
      <c r="E29" s="1">
        <v>45290</v>
      </c>
      <c r="F29" s="1">
        <v>45296</v>
      </c>
      <c r="G29" s="2">
        <v>10.1</v>
      </c>
      <c r="H29" s="2">
        <v>309.58999999999997</v>
      </c>
      <c r="I29" t="s">
        <v>47</v>
      </c>
      <c r="J29" s="2">
        <v>1986</v>
      </c>
      <c r="K29" s="2">
        <v>5</v>
      </c>
    </row>
    <row r="30" spans="1:11" x14ac:dyDescent="0.25">
      <c r="A30" t="s">
        <v>75</v>
      </c>
      <c r="B30" t="s">
        <v>27</v>
      </c>
      <c r="C30" t="s">
        <v>28</v>
      </c>
      <c r="D30" t="s">
        <v>42</v>
      </c>
      <c r="E30" s="1">
        <v>45275</v>
      </c>
      <c r="F30" s="1">
        <v>45280</v>
      </c>
      <c r="G30" s="2">
        <v>22.8</v>
      </c>
      <c r="H30" s="2">
        <v>373.64</v>
      </c>
      <c r="I30" t="s">
        <v>15</v>
      </c>
      <c r="J30" s="2">
        <v>2229</v>
      </c>
      <c r="K30" s="2">
        <v>5</v>
      </c>
    </row>
    <row r="31" spans="1:11" x14ac:dyDescent="0.25">
      <c r="A31" t="s">
        <v>76</v>
      </c>
      <c r="B31" t="s">
        <v>49</v>
      </c>
      <c r="C31" t="s">
        <v>44</v>
      </c>
      <c r="D31" t="s">
        <v>18</v>
      </c>
      <c r="E31" s="1">
        <v>45104</v>
      </c>
      <c r="F31" s="1">
        <v>45110</v>
      </c>
      <c r="G31" s="2">
        <v>13</v>
      </c>
      <c r="H31" s="2">
        <v>347.94</v>
      </c>
      <c r="I31" t="s">
        <v>15</v>
      </c>
      <c r="J31" s="2">
        <v>2310</v>
      </c>
      <c r="K31" s="2">
        <v>6</v>
      </c>
    </row>
    <row r="32" spans="1:11" x14ac:dyDescent="0.25">
      <c r="A32" t="s">
        <v>77</v>
      </c>
      <c r="B32" t="s">
        <v>27</v>
      </c>
      <c r="C32" t="s">
        <v>13</v>
      </c>
      <c r="D32" t="s">
        <v>42</v>
      </c>
      <c r="E32" s="1">
        <v>45234</v>
      </c>
      <c r="G32" s="2">
        <v>28.5</v>
      </c>
      <c r="H32" s="2">
        <v>109.33</v>
      </c>
      <c r="I32" t="s">
        <v>15</v>
      </c>
      <c r="J32" s="2">
        <v>502</v>
      </c>
      <c r="K32" s="2">
        <v>2</v>
      </c>
    </row>
    <row r="33" spans="1:11" x14ac:dyDescent="0.25">
      <c r="A33" t="s">
        <v>78</v>
      </c>
      <c r="B33" t="s">
        <v>23</v>
      </c>
      <c r="C33" t="s">
        <v>28</v>
      </c>
      <c r="D33" t="s">
        <v>25</v>
      </c>
      <c r="E33" s="1">
        <v>45111</v>
      </c>
      <c r="F33" s="1">
        <v>45115</v>
      </c>
      <c r="G33" s="2">
        <v>30.2</v>
      </c>
      <c r="H33" s="2">
        <v>162.68</v>
      </c>
      <c r="I33" t="s">
        <v>15</v>
      </c>
      <c r="J33" s="2">
        <v>1048</v>
      </c>
      <c r="K33" s="2">
        <v>4</v>
      </c>
    </row>
    <row r="34" spans="1:11" x14ac:dyDescent="0.25">
      <c r="A34" t="s">
        <v>79</v>
      </c>
      <c r="B34" t="s">
        <v>35</v>
      </c>
      <c r="C34" t="s">
        <v>31</v>
      </c>
      <c r="D34" t="s">
        <v>32</v>
      </c>
      <c r="E34" s="1">
        <v>45196</v>
      </c>
      <c r="F34" s="1">
        <v>45200</v>
      </c>
      <c r="G34" s="2">
        <v>11.3</v>
      </c>
      <c r="H34" s="2">
        <v>206.19</v>
      </c>
      <c r="I34" t="s">
        <v>15</v>
      </c>
      <c r="J34" s="2">
        <v>1551</v>
      </c>
      <c r="K34" s="2">
        <v>4</v>
      </c>
    </row>
    <row r="35" spans="1:11" x14ac:dyDescent="0.25">
      <c r="A35" t="s">
        <v>80</v>
      </c>
      <c r="B35" t="s">
        <v>27</v>
      </c>
      <c r="C35" t="s">
        <v>81</v>
      </c>
      <c r="D35" t="s">
        <v>59</v>
      </c>
      <c r="E35" s="1">
        <v>45011</v>
      </c>
      <c r="F35" s="1">
        <v>45018</v>
      </c>
      <c r="G35" s="2">
        <v>15.8</v>
      </c>
      <c r="H35" s="2">
        <v>66.349999999999994</v>
      </c>
      <c r="I35" t="s">
        <v>47</v>
      </c>
      <c r="J35" s="2">
        <v>431</v>
      </c>
      <c r="K35" s="2">
        <v>2</v>
      </c>
    </row>
    <row r="36" spans="1:11" x14ac:dyDescent="0.25">
      <c r="A36" t="s">
        <v>82</v>
      </c>
      <c r="B36" t="s">
        <v>49</v>
      </c>
      <c r="C36" t="s">
        <v>81</v>
      </c>
      <c r="D36" t="s">
        <v>25</v>
      </c>
      <c r="E36" s="1">
        <v>44978</v>
      </c>
      <c r="F36" s="1">
        <v>44980</v>
      </c>
      <c r="G36" s="2">
        <v>10.7</v>
      </c>
      <c r="H36" s="2">
        <v>76.52</v>
      </c>
      <c r="I36" t="s">
        <v>15</v>
      </c>
      <c r="J36" s="2">
        <v>528</v>
      </c>
      <c r="K36" s="2">
        <v>2</v>
      </c>
    </row>
    <row r="37" spans="1:11" x14ac:dyDescent="0.25">
      <c r="A37" t="s">
        <v>83</v>
      </c>
      <c r="B37" t="s">
        <v>23</v>
      </c>
      <c r="C37" t="s">
        <v>28</v>
      </c>
      <c r="D37" t="s">
        <v>25</v>
      </c>
      <c r="E37" s="1">
        <v>45123</v>
      </c>
      <c r="F37" s="1">
        <v>45124</v>
      </c>
      <c r="G37" s="2">
        <v>37.700000000000003</v>
      </c>
      <c r="H37" s="2">
        <v>55.09</v>
      </c>
      <c r="I37" t="s">
        <v>60</v>
      </c>
      <c r="J37" s="2">
        <v>131</v>
      </c>
      <c r="K37" s="2">
        <v>1</v>
      </c>
    </row>
    <row r="38" spans="1:11" x14ac:dyDescent="0.25">
      <c r="A38" t="s">
        <v>84</v>
      </c>
      <c r="B38" t="s">
        <v>30</v>
      </c>
      <c r="C38" t="s">
        <v>70</v>
      </c>
      <c r="D38" t="s">
        <v>32</v>
      </c>
      <c r="E38" s="1">
        <v>45079</v>
      </c>
      <c r="F38" s="1">
        <v>45095</v>
      </c>
      <c r="G38" s="2">
        <v>27.9</v>
      </c>
      <c r="H38" s="2">
        <v>123.81</v>
      </c>
      <c r="I38" t="s">
        <v>47</v>
      </c>
      <c r="J38" s="2">
        <v>659</v>
      </c>
      <c r="K38" s="2">
        <v>3</v>
      </c>
    </row>
    <row r="39" spans="1:11" x14ac:dyDescent="0.25">
      <c r="A39" t="s">
        <v>85</v>
      </c>
      <c r="B39" t="s">
        <v>27</v>
      </c>
      <c r="C39" t="s">
        <v>28</v>
      </c>
      <c r="D39" t="s">
        <v>37</v>
      </c>
      <c r="E39" s="1">
        <v>45236</v>
      </c>
      <c r="F39" s="1">
        <v>45241</v>
      </c>
      <c r="G39" s="2">
        <v>26.6</v>
      </c>
      <c r="H39" s="2">
        <v>333.35</v>
      </c>
      <c r="I39" t="s">
        <v>15</v>
      </c>
      <c r="J39" s="2">
        <v>2209</v>
      </c>
      <c r="K39" s="2">
        <v>5</v>
      </c>
    </row>
    <row r="40" spans="1:11" x14ac:dyDescent="0.25">
      <c r="A40" t="s">
        <v>86</v>
      </c>
      <c r="B40" t="s">
        <v>27</v>
      </c>
      <c r="C40" t="s">
        <v>40</v>
      </c>
      <c r="D40" t="s">
        <v>42</v>
      </c>
      <c r="E40" s="1">
        <v>45234</v>
      </c>
      <c r="F40" s="1">
        <v>45240</v>
      </c>
      <c r="G40" s="2">
        <v>30.7</v>
      </c>
      <c r="H40" s="2">
        <v>282.70999999999998</v>
      </c>
      <c r="I40" t="s">
        <v>67</v>
      </c>
      <c r="J40" s="2">
        <v>1674</v>
      </c>
      <c r="K40" s="2">
        <v>6</v>
      </c>
    </row>
    <row r="41" spans="1:11" x14ac:dyDescent="0.25">
      <c r="A41" t="s">
        <v>87</v>
      </c>
      <c r="B41" t="s">
        <v>12</v>
      </c>
      <c r="C41" t="s">
        <v>31</v>
      </c>
      <c r="D41" t="s">
        <v>42</v>
      </c>
      <c r="E41" s="1">
        <v>45268</v>
      </c>
      <c r="G41" s="2">
        <v>65.2</v>
      </c>
      <c r="H41" s="2">
        <v>284.81</v>
      </c>
      <c r="I41" t="s">
        <v>15</v>
      </c>
      <c r="J41" s="2">
        <v>1204</v>
      </c>
      <c r="K41" s="2">
        <v>3</v>
      </c>
    </row>
    <row r="42" spans="1:11" x14ac:dyDescent="0.25">
      <c r="A42" t="s">
        <v>88</v>
      </c>
      <c r="B42" t="s">
        <v>23</v>
      </c>
      <c r="C42" t="s">
        <v>81</v>
      </c>
      <c r="D42" t="s">
        <v>37</v>
      </c>
      <c r="E42" s="1">
        <v>45203</v>
      </c>
      <c r="F42" s="1">
        <v>45209</v>
      </c>
      <c r="G42" s="2">
        <v>13.4</v>
      </c>
      <c r="H42" s="2">
        <v>209.01</v>
      </c>
      <c r="I42" t="s">
        <v>15</v>
      </c>
      <c r="J42" s="2">
        <v>1550</v>
      </c>
      <c r="K42" s="2">
        <v>6</v>
      </c>
    </row>
    <row r="43" spans="1:11" x14ac:dyDescent="0.25">
      <c r="A43" t="s">
        <v>89</v>
      </c>
      <c r="B43" t="s">
        <v>51</v>
      </c>
      <c r="C43" t="s">
        <v>70</v>
      </c>
      <c r="D43" t="s">
        <v>14</v>
      </c>
      <c r="E43" s="1">
        <v>45059</v>
      </c>
      <c r="F43" s="1">
        <v>45063</v>
      </c>
      <c r="G43" s="2">
        <v>31.9</v>
      </c>
      <c r="H43" s="2">
        <v>263.06</v>
      </c>
      <c r="I43" t="s">
        <v>15</v>
      </c>
      <c r="J43" s="2">
        <v>1696</v>
      </c>
      <c r="K43" s="2">
        <v>4</v>
      </c>
    </row>
    <row r="44" spans="1:11" x14ac:dyDescent="0.25">
      <c r="A44" t="s">
        <v>90</v>
      </c>
      <c r="B44" t="s">
        <v>51</v>
      </c>
      <c r="C44" t="s">
        <v>70</v>
      </c>
      <c r="D44" t="s">
        <v>59</v>
      </c>
      <c r="E44" s="1">
        <v>45289</v>
      </c>
      <c r="F44" s="1">
        <v>45292</v>
      </c>
      <c r="G44" s="2">
        <v>37.799999999999997</v>
      </c>
      <c r="H44" s="2">
        <v>129.72999999999999</v>
      </c>
      <c r="I44" t="s">
        <v>15</v>
      </c>
      <c r="J44" s="2">
        <v>660</v>
      </c>
      <c r="K44" s="2">
        <v>3</v>
      </c>
    </row>
    <row r="45" spans="1:11" x14ac:dyDescent="0.25">
      <c r="A45" t="s">
        <v>91</v>
      </c>
      <c r="B45" t="s">
        <v>49</v>
      </c>
      <c r="C45" t="s">
        <v>31</v>
      </c>
      <c r="D45" t="s">
        <v>18</v>
      </c>
      <c r="E45" s="1">
        <v>44994</v>
      </c>
      <c r="F45" s="1">
        <v>44998</v>
      </c>
      <c r="G45" s="2">
        <v>17.399999999999999</v>
      </c>
      <c r="H45" s="2">
        <v>194.58</v>
      </c>
      <c r="I45" t="s">
        <v>15</v>
      </c>
      <c r="J45" s="2">
        <v>1153</v>
      </c>
      <c r="K45" s="2">
        <v>4</v>
      </c>
    </row>
    <row r="46" spans="1:11" x14ac:dyDescent="0.25">
      <c r="A46" t="s">
        <v>92</v>
      </c>
      <c r="B46" t="s">
        <v>35</v>
      </c>
      <c r="C46" t="s">
        <v>13</v>
      </c>
      <c r="D46" t="s">
        <v>25</v>
      </c>
      <c r="E46" s="1">
        <v>45054</v>
      </c>
      <c r="F46" s="1">
        <v>45057</v>
      </c>
      <c r="G46" s="2">
        <v>4.7</v>
      </c>
      <c r="H46" s="2">
        <v>49.68</v>
      </c>
      <c r="I46" t="s">
        <v>15</v>
      </c>
      <c r="J46" s="2">
        <v>343</v>
      </c>
      <c r="K46" s="2">
        <v>3</v>
      </c>
    </row>
    <row r="47" spans="1:11" x14ac:dyDescent="0.25">
      <c r="A47" t="s">
        <v>93</v>
      </c>
      <c r="B47" t="s">
        <v>51</v>
      </c>
      <c r="C47" t="s">
        <v>54</v>
      </c>
      <c r="D47" t="s">
        <v>42</v>
      </c>
      <c r="E47" s="1">
        <v>45040</v>
      </c>
      <c r="F47" s="1">
        <v>45045</v>
      </c>
      <c r="G47" s="2">
        <v>29.7</v>
      </c>
      <c r="H47" s="2">
        <v>245.98</v>
      </c>
      <c r="I47" t="s">
        <v>15</v>
      </c>
      <c r="J47" s="2">
        <v>1973</v>
      </c>
      <c r="K47" s="2">
        <v>5</v>
      </c>
    </row>
    <row r="48" spans="1:11" x14ac:dyDescent="0.25">
      <c r="A48" t="s">
        <v>94</v>
      </c>
      <c r="B48" t="s">
        <v>20</v>
      </c>
      <c r="C48" t="s">
        <v>70</v>
      </c>
      <c r="D48" t="s">
        <v>18</v>
      </c>
      <c r="E48" s="1">
        <v>45174</v>
      </c>
      <c r="F48" s="1">
        <v>45180</v>
      </c>
      <c r="G48" s="2">
        <v>9</v>
      </c>
      <c r="H48" s="2">
        <v>356.77</v>
      </c>
      <c r="I48" t="s">
        <v>15</v>
      </c>
      <c r="J48" s="2">
        <v>2335</v>
      </c>
      <c r="K48" s="2">
        <v>6</v>
      </c>
    </row>
    <row r="49" spans="1:11" x14ac:dyDescent="0.25">
      <c r="A49" t="s">
        <v>95</v>
      </c>
      <c r="B49" t="s">
        <v>27</v>
      </c>
      <c r="C49" t="s">
        <v>28</v>
      </c>
      <c r="D49" t="s">
        <v>59</v>
      </c>
      <c r="E49" s="1">
        <v>44943</v>
      </c>
      <c r="F49" s="1">
        <v>44946</v>
      </c>
      <c r="G49" s="2">
        <v>25.4</v>
      </c>
      <c r="H49" s="2">
        <v>127.22</v>
      </c>
      <c r="I49" t="s">
        <v>15</v>
      </c>
      <c r="J49" s="2">
        <v>816</v>
      </c>
      <c r="K49" s="2">
        <v>3</v>
      </c>
    </row>
    <row r="50" spans="1:11" x14ac:dyDescent="0.25">
      <c r="A50" t="s">
        <v>96</v>
      </c>
      <c r="B50" t="s">
        <v>27</v>
      </c>
      <c r="C50" t="s">
        <v>52</v>
      </c>
      <c r="D50" t="s">
        <v>42</v>
      </c>
      <c r="E50" s="1">
        <v>45039</v>
      </c>
      <c r="F50" s="1">
        <v>45046</v>
      </c>
      <c r="G50" s="2">
        <v>14.2</v>
      </c>
      <c r="H50" s="2">
        <v>248.03</v>
      </c>
      <c r="I50" t="s">
        <v>15</v>
      </c>
      <c r="J50" s="2">
        <v>1758</v>
      </c>
      <c r="K50" s="2">
        <v>7</v>
      </c>
    </row>
    <row r="51" spans="1:11" x14ac:dyDescent="0.25">
      <c r="A51" t="s">
        <v>97</v>
      </c>
      <c r="B51" t="s">
        <v>12</v>
      </c>
      <c r="C51" t="s">
        <v>46</v>
      </c>
      <c r="D51" t="s">
        <v>14</v>
      </c>
      <c r="E51" s="1">
        <v>44933</v>
      </c>
      <c r="F51" s="1">
        <v>44937</v>
      </c>
      <c r="G51" s="2">
        <v>84.1</v>
      </c>
      <c r="H51" s="2">
        <v>251.24</v>
      </c>
      <c r="I51" t="s">
        <v>15</v>
      </c>
      <c r="J51" s="2">
        <v>1010</v>
      </c>
      <c r="K51" s="2">
        <v>4</v>
      </c>
    </row>
    <row r="52" spans="1:11" x14ac:dyDescent="0.25">
      <c r="A52" t="s">
        <v>98</v>
      </c>
      <c r="B52" t="s">
        <v>12</v>
      </c>
      <c r="C52" t="s">
        <v>31</v>
      </c>
      <c r="D52" t="s">
        <v>32</v>
      </c>
      <c r="E52" s="1">
        <v>45144</v>
      </c>
      <c r="F52" s="1">
        <v>45160</v>
      </c>
      <c r="G52" s="2">
        <v>29.5</v>
      </c>
      <c r="H52" s="2">
        <v>340.07</v>
      </c>
      <c r="I52" t="s">
        <v>47</v>
      </c>
      <c r="J52" s="2">
        <v>2396</v>
      </c>
      <c r="K52" s="2">
        <v>6</v>
      </c>
    </row>
    <row r="53" spans="1:11" x14ac:dyDescent="0.25">
      <c r="A53" t="s">
        <v>99</v>
      </c>
      <c r="B53" t="s">
        <v>49</v>
      </c>
      <c r="C53" t="s">
        <v>57</v>
      </c>
      <c r="D53" t="s">
        <v>59</v>
      </c>
      <c r="E53" s="1">
        <v>44980</v>
      </c>
      <c r="F53" s="1">
        <v>44985</v>
      </c>
      <c r="G53" s="2">
        <v>19.600000000000001</v>
      </c>
      <c r="H53" s="2">
        <v>156.03</v>
      </c>
      <c r="I53" t="s">
        <v>15</v>
      </c>
      <c r="J53" s="2">
        <v>1267</v>
      </c>
      <c r="K53" s="2">
        <v>5</v>
      </c>
    </row>
    <row r="54" spans="1:11" x14ac:dyDescent="0.25">
      <c r="A54" t="s">
        <v>100</v>
      </c>
      <c r="B54" t="s">
        <v>23</v>
      </c>
      <c r="C54" t="s">
        <v>44</v>
      </c>
      <c r="D54" t="s">
        <v>37</v>
      </c>
      <c r="E54" s="1">
        <v>44953</v>
      </c>
      <c r="F54" s="1">
        <v>44958</v>
      </c>
      <c r="G54" s="2">
        <v>25.9</v>
      </c>
      <c r="H54" s="2">
        <v>206.17</v>
      </c>
      <c r="I54" t="s">
        <v>15</v>
      </c>
      <c r="J54" s="2">
        <v>1365</v>
      </c>
      <c r="K54" s="2">
        <v>5</v>
      </c>
    </row>
    <row r="55" spans="1:11" x14ac:dyDescent="0.25">
      <c r="A55" t="s">
        <v>101</v>
      </c>
      <c r="B55" t="s">
        <v>23</v>
      </c>
      <c r="C55" t="s">
        <v>28</v>
      </c>
      <c r="D55" t="s">
        <v>14</v>
      </c>
      <c r="E55" s="1">
        <v>44975</v>
      </c>
      <c r="F55" s="1">
        <v>44980</v>
      </c>
      <c r="G55" s="2">
        <v>26.6</v>
      </c>
      <c r="H55" s="2">
        <v>277.97000000000003</v>
      </c>
      <c r="I55" t="s">
        <v>15</v>
      </c>
      <c r="J55" s="2">
        <v>1847</v>
      </c>
      <c r="K55" s="2">
        <v>5</v>
      </c>
    </row>
    <row r="56" spans="1:11" x14ac:dyDescent="0.25">
      <c r="A56" t="s">
        <v>102</v>
      </c>
      <c r="B56" t="s">
        <v>56</v>
      </c>
      <c r="C56" t="s">
        <v>57</v>
      </c>
      <c r="D56" t="s">
        <v>42</v>
      </c>
      <c r="E56" s="1">
        <v>45057</v>
      </c>
      <c r="F56" s="1">
        <v>45063</v>
      </c>
      <c r="G56" s="2">
        <v>31.6</v>
      </c>
      <c r="H56" s="2">
        <v>283.13</v>
      </c>
      <c r="I56" t="s">
        <v>15</v>
      </c>
      <c r="J56" s="2">
        <v>2249</v>
      </c>
      <c r="K56" s="2">
        <v>6</v>
      </c>
    </row>
    <row r="57" spans="1:11" x14ac:dyDescent="0.25">
      <c r="A57" t="s">
        <v>103</v>
      </c>
      <c r="B57" t="s">
        <v>35</v>
      </c>
      <c r="C57" t="s">
        <v>44</v>
      </c>
      <c r="D57" t="s">
        <v>25</v>
      </c>
      <c r="E57" s="1">
        <v>45196</v>
      </c>
      <c r="F57" s="1">
        <v>45199</v>
      </c>
      <c r="G57" s="2">
        <v>24.7</v>
      </c>
      <c r="H57" s="2">
        <v>68.63</v>
      </c>
      <c r="I57" t="s">
        <v>15</v>
      </c>
      <c r="J57" s="2">
        <v>342</v>
      </c>
      <c r="K57" s="2">
        <v>3</v>
      </c>
    </row>
    <row r="58" spans="1:11" x14ac:dyDescent="0.25">
      <c r="A58" t="s">
        <v>104</v>
      </c>
      <c r="B58" t="s">
        <v>27</v>
      </c>
      <c r="C58" t="s">
        <v>57</v>
      </c>
      <c r="D58" t="s">
        <v>42</v>
      </c>
      <c r="E58" s="1">
        <v>45030</v>
      </c>
      <c r="F58" s="1">
        <v>45035</v>
      </c>
      <c r="G58" s="2">
        <v>23.2</v>
      </c>
      <c r="H58" s="2">
        <v>231.64</v>
      </c>
      <c r="I58" t="s">
        <v>15</v>
      </c>
      <c r="J58" s="2">
        <v>1913</v>
      </c>
      <c r="K58" s="2">
        <v>5</v>
      </c>
    </row>
    <row r="59" spans="1:11" x14ac:dyDescent="0.25">
      <c r="A59" t="s">
        <v>105</v>
      </c>
      <c r="B59" t="s">
        <v>39</v>
      </c>
      <c r="C59" t="s">
        <v>70</v>
      </c>
      <c r="D59" t="s">
        <v>42</v>
      </c>
      <c r="E59" s="1">
        <v>45225</v>
      </c>
      <c r="F59" s="1">
        <v>45228</v>
      </c>
      <c r="G59" s="2">
        <v>6.8</v>
      </c>
      <c r="H59" s="2">
        <v>42.06</v>
      </c>
      <c r="I59" t="s">
        <v>60</v>
      </c>
      <c r="J59" s="2">
        <v>255</v>
      </c>
      <c r="K59" s="2">
        <v>3</v>
      </c>
    </row>
    <row r="60" spans="1:11" x14ac:dyDescent="0.25">
      <c r="A60" t="s">
        <v>106</v>
      </c>
      <c r="B60" t="s">
        <v>27</v>
      </c>
      <c r="C60" t="s">
        <v>70</v>
      </c>
      <c r="D60" t="s">
        <v>59</v>
      </c>
      <c r="E60" s="1">
        <v>45210</v>
      </c>
      <c r="F60" s="1">
        <v>45212</v>
      </c>
      <c r="G60" s="2">
        <v>8.9</v>
      </c>
      <c r="H60" s="2">
        <v>78.37</v>
      </c>
      <c r="I60" t="s">
        <v>15</v>
      </c>
      <c r="J60" s="2">
        <v>600</v>
      </c>
      <c r="K60" s="2">
        <v>2</v>
      </c>
    </row>
    <row r="61" spans="1:11" x14ac:dyDescent="0.25">
      <c r="A61" t="s">
        <v>107</v>
      </c>
      <c r="B61" t="s">
        <v>23</v>
      </c>
      <c r="C61" t="s">
        <v>13</v>
      </c>
      <c r="D61" t="s">
        <v>25</v>
      </c>
      <c r="E61" s="1">
        <v>45231</v>
      </c>
      <c r="F61" s="1">
        <v>45236</v>
      </c>
      <c r="G61" s="2">
        <v>28.5</v>
      </c>
      <c r="H61" s="2">
        <v>128.94</v>
      </c>
      <c r="I61" t="s">
        <v>15</v>
      </c>
      <c r="J61" s="2">
        <v>622</v>
      </c>
      <c r="K61" s="2">
        <v>5</v>
      </c>
    </row>
    <row r="62" spans="1:11" x14ac:dyDescent="0.25">
      <c r="A62" t="s">
        <v>108</v>
      </c>
      <c r="B62" t="s">
        <v>39</v>
      </c>
      <c r="C62" t="s">
        <v>81</v>
      </c>
      <c r="D62" t="s">
        <v>25</v>
      </c>
      <c r="E62" s="1">
        <v>45209</v>
      </c>
      <c r="F62" s="1">
        <v>45212</v>
      </c>
      <c r="G62" s="2">
        <v>59.8</v>
      </c>
      <c r="H62" s="2">
        <v>196.89</v>
      </c>
      <c r="I62" t="s">
        <v>15</v>
      </c>
      <c r="J62" s="2">
        <v>1030</v>
      </c>
      <c r="K62" s="2">
        <v>3</v>
      </c>
    </row>
    <row r="63" spans="1:11" x14ac:dyDescent="0.25">
      <c r="A63" t="s">
        <v>109</v>
      </c>
      <c r="B63" t="s">
        <v>30</v>
      </c>
      <c r="C63" t="s">
        <v>44</v>
      </c>
      <c r="D63" t="s">
        <v>42</v>
      </c>
      <c r="E63" s="1">
        <v>45142</v>
      </c>
      <c r="F63" s="1">
        <v>45145</v>
      </c>
      <c r="G63" s="2">
        <v>9.8000000000000007</v>
      </c>
      <c r="H63" s="2">
        <v>93.3</v>
      </c>
      <c r="I63" t="s">
        <v>15</v>
      </c>
      <c r="J63" s="2">
        <v>708</v>
      </c>
      <c r="K63" s="2">
        <v>3</v>
      </c>
    </row>
    <row r="64" spans="1:11" x14ac:dyDescent="0.25">
      <c r="A64" t="s">
        <v>110</v>
      </c>
      <c r="B64" t="s">
        <v>49</v>
      </c>
      <c r="C64" t="s">
        <v>40</v>
      </c>
      <c r="D64" t="s">
        <v>32</v>
      </c>
      <c r="E64" s="1">
        <v>45069</v>
      </c>
      <c r="F64" s="1">
        <v>45087</v>
      </c>
      <c r="G64" s="2">
        <v>61.9</v>
      </c>
      <c r="H64" s="2">
        <v>316.41000000000003</v>
      </c>
      <c r="I64" t="s">
        <v>47</v>
      </c>
      <c r="J64" s="2">
        <v>1914</v>
      </c>
      <c r="K64" s="2">
        <v>5</v>
      </c>
    </row>
    <row r="65" spans="1:11" x14ac:dyDescent="0.25">
      <c r="A65" t="s">
        <v>111</v>
      </c>
      <c r="B65" t="s">
        <v>23</v>
      </c>
      <c r="C65" t="s">
        <v>70</v>
      </c>
      <c r="D65" t="s">
        <v>14</v>
      </c>
      <c r="E65" s="1">
        <v>45123</v>
      </c>
      <c r="F65" s="1">
        <v>45126</v>
      </c>
      <c r="G65" s="2">
        <v>25.6</v>
      </c>
      <c r="H65" s="2">
        <v>128.53</v>
      </c>
      <c r="I65" t="s">
        <v>15</v>
      </c>
      <c r="J65" s="2">
        <v>740</v>
      </c>
      <c r="K65" s="2">
        <v>3</v>
      </c>
    </row>
    <row r="66" spans="1:11" x14ac:dyDescent="0.25">
      <c r="A66" t="s">
        <v>112</v>
      </c>
      <c r="B66" t="s">
        <v>35</v>
      </c>
      <c r="C66" t="s">
        <v>70</v>
      </c>
      <c r="D66" t="s">
        <v>14</v>
      </c>
      <c r="E66" s="1">
        <v>45212</v>
      </c>
      <c r="F66" s="1">
        <v>45215</v>
      </c>
      <c r="G66" s="2">
        <v>67.599999999999994</v>
      </c>
      <c r="H66" s="2">
        <v>232.32</v>
      </c>
      <c r="I66" t="s">
        <v>15</v>
      </c>
      <c r="J66" s="2">
        <v>1007</v>
      </c>
      <c r="K66" s="2">
        <v>3</v>
      </c>
    </row>
    <row r="67" spans="1:11" x14ac:dyDescent="0.25">
      <c r="A67" t="s">
        <v>113</v>
      </c>
      <c r="B67" t="s">
        <v>20</v>
      </c>
      <c r="C67" t="s">
        <v>54</v>
      </c>
      <c r="D67" t="s">
        <v>42</v>
      </c>
      <c r="E67" s="1">
        <v>45039</v>
      </c>
      <c r="F67" s="1">
        <v>45043</v>
      </c>
      <c r="G67" s="2">
        <v>50.3</v>
      </c>
      <c r="H67" s="2">
        <v>152.13</v>
      </c>
      <c r="I67" t="s">
        <v>15</v>
      </c>
      <c r="J67" s="2">
        <v>864</v>
      </c>
      <c r="K67" s="2">
        <v>4</v>
      </c>
    </row>
    <row r="68" spans="1:11" x14ac:dyDescent="0.25">
      <c r="A68" t="s">
        <v>114</v>
      </c>
      <c r="B68" t="s">
        <v>27</v>
      </c>
      <c r="C68" t="s">
        <v>54</v>
      </c>
      <c r="D68" t="s">
        <v>37</v>
      </c>
      <c r="E68" s="1">
        <v>45019</v>
      </c>
      <c r="F68" s="1">
        <v>45025</v>
      </c>
      <c r="G68" s="2">
        <v>15.9</v>
      </c>
      <c r="H68" s="2">
        <v>325.16000000000003</v>
      </c>
      <c r="I68" t="s">
        <v>15</v>
      </c>
      <c r="J68" s="2">
        <v>2463</v>
      </c>
      <c r="K68" s="2">
        <v>6</v>
      </c>
    </row>
    <row r="69" spans="1:11" x14ac:dyDescent="0.25">
      <c r="A69" t="s">
        <v>115</v>
      </c>
      <c r="B69" t="s">
        <v>49</v>
      </c>
      <c r="C69" t="s">
        <v>24</v>
      </c>
      <c r="D69" t="s">
        <v>18</v>
      </c>
      <c r="E69" s="1">
        <v>45088</v>
      </c>
      <c r="F69" s="1">
        <v>45091</v>
      </c>
      <c r="G69" s="2">
        <v>42.3</v>
      </c>
      <c r="H69" s="2">
        <v>195.98</v>
      </c>
      <c r="I69" t="s">
        <v>15</v>
      </c>
      <c r="J69" s="2">
        <v>998</v>
      </c>
      <c r="K69" s="2">
        <v>3</v>
      </c>
    </row>
    <row r="70" spans="1:11" x14ac:dyDescent="0.25">
      <c r="A70" t="s">
        <v>116</v>
      </c>
      <c r="B70" t="s">
        <v>49</v>
      </c>
      <c r="C70" t="s">
        <v>17</v>
      </c>
      <c r="D70" t="s">
        <v>32</v>
      </c>
      <c r="E70" s="1">
        <v>45170</v>
      </c>
      <c r="F70" s="1">
        <v>45178</v>
      </c>
      <c r="G70" s="2">
        <v>26.2</v>
      </c>
      <c r="H70" s="2">
        <v>261.81</v>
      </c>
      <c r="I70" t="s">
        <v>15</v>
      </c>
      <c r="J70" s="2">
        <v>1801</v>
      </c>
      <c r="K70" s="2">
        <v>8</v>
      </c>
    </row>
    <row r="71" spans="1:11" x14ac:dyDescent="0.25">
      <c r="A71" t="s">
        <v>117</v>
      </c>
      <c r="B71" t="s">
        <v>49</v>
      </c>
      <c r="C71" t="s">
        <v>21</v>
      </c>
      <c r="D71" t="s">
        <v>32</v>
      </c>
      <c r="E71" s="1">
        <v>45077</v>
      </c>
      <c r="F71" s="1">
        <v>45081</v>
      </c>
      <c r="G71" s="2">
        <v>35.700000000000003</v>
      </c>
      <c r="H71" s="2">
        <v>180.2</v>
      </c>
      <c r="I71" t="s">
        <v>15</v>
      </c>
      <c r="J71" s="2">
        <v>989</v>
      </c>
      <c r="K71" s="2">
        <v>4</v>
      </c>
    </row>
    <row r="72" spans="1:11" x14ac:dyDescent="0.25">
      <c r="A72" t="s">
        <v>118</v>
      </c>
      <c r="B72" t="s">
        <v>39</v>
      </c>
      <c r="C72" t="s">
        <v>44</v>
      </c>
      <c r="D72" t="s">
        <v>18</v>
      </c>
      <c r="E72" s="1">
        <v>45033</v>
      </c>
      <c r="F72" s="1">
        <v>45042</v>
      </c>
      <c r="G72" s="2">
        <v>6.9</v>
      </c>
      <c r="H72" s="2">
        <v>56.51</v>
      </c>
      <c r="I72" t="s">
        <v>47</v>
      </c>
      <c r="J72" s="2">
        <v>383</v>
      </c>
      <c r="K72" s="2">
        <v>3</v>
      </c>
    </row>
    <row r="73" spans="1:11" x14ac:dyDescent="0.25">
      <c r="A73" t="s">
        <v>119</v>
      </c>
      <c r="B73" t="s">
        <v>35</v>
      </c>
      <c r="C73" t="s">
        <v>24</v>
      </c>
      <c r="D73" t="s">
        <v>25</v>
      </c>
      <c r="E73" s="1">
        <v>45097</v>
      </c>
      <c r="F73" s="1">
        <v>45102</v>
      </c>
      <c r="G73" s="2">
        <v>30.7</v>
      </c>
      <c r="I73" t="s">
        <v>15</v>
      </c>
      <c r="J73" s="2">
        <v>2307</v>
      </c>
      <c r="K73" s="2">
        <v>5</v>
      </c>
    </row>
    <row r="74" spans="1:11" x14ac:dyDescent="0.25">
      <c r="A74" t="s">
        <v>120</v>
      </c>
      <c r="B74" t="s">
        <v>51</v>
      </c>
      <c r="C74" t="s">
        <v>70</v>
      </c>
      <c r="D74" t="s">
        <v>42</v>
      </c>
      <c r="E74" s="1">
        <v>44989</v>
      </c>
      <c r="F74" s="1">
        <v>44998</v>
      </c>
      <c r="G74" s="2">
        <v>10.8</v>
      </c>
      <c r="H74" s="2">
        <v>225.74</v>
      </c>
      <c r="I74" t="s">
        <v>47</v>
      </c>
      <c r="J74" s="2">
        <v>1727</v>
      </c>
      <c r="K74" s="2">
        <v>6</v>
      </c>
    </row>
    <row r="75" spans="1:11" x14ac:dyDescent="0.25">
      <c r="A75" t="s">
        <v>121</v>
      </c>
      <c r="B75" t="s">
        <v>20</v>
      </c>
      <c r="C75" t="s">
        <v>24</v>
      </c>
      <c r="D75" t="s">
        <v>59</v>
      </c>
      <c r="E75" s="1">
        <v>45180</v>
      </c>
      <c r="F75" s="1">
        <v>45183</v>
      </c>
      <c r="G75" s="2">
        <v>0.6</v>
      </c>
      <c r="H75" s="2">
        <v>199.78</v>
      </c>
      <c r="I75" t="s">
        <v>62</v>
      </c>
      <c r="J75" s="2">
        <v>1135</v>
      </c>
      <c r="K75" s="2">
        <v>3</v>
      </c>
    </row>
    <row r="76" spans="1:11" x14ac:dyDescent="0.25">
      <c r="A76" t="s">
        <v>122</v>
      </c>
      <c r="B76" t="s">
        <v>12</v>
      </c>
      <c r="C76" t="s">
        <v>52</v>
      </c>
      <c r="D76" t="s">
        <v>14</v>
      </c>
      <c r="E76" s="1">
        <v>44984</v>
      </c>
      <c r="F76" s="1">
        <v>44987</v>
      </c>
      <c r="G76" s="2">
        <v>93</v>
      </c>
      <c r="H76" s="2">
        <v>221.01</v>
      </c>
      <c r="I76" t="s">
        <v>15</v>
      </c>
      <c r="J76" s="2">
        <v>757</v>
      </c>
      <c r="K76" s="2">
        <v>3</v>
      </c>
    </row>
    <row r="77" spans="1:11" x14ac:dyDescent="0.25">
      <c r="A77" t="s">
        <v>123</v>
      </c>
      <c r="B77" t="s">
        <v>39</v>
      </c>
      <c r="C77" t="s">
        <v>28</v>
      </c>
      <c r="D77" t="s">
        <v>25</v>
      </c>
      <c r="E77" s="1">
        <v>45138</v>
      </c>
      <c r="F77" s="1">
        <v>45142</v>
      </c>
      <c r="G77" s="2">
        <v>35.299999999999997</v>
      </c>
      <c r="H77" s="2">
        <v>261.49</v>
      </c>
      <c r="I77" t="s">
        <v>15</v>
      </c>
      <c r="J77" s="2">
        <v>1673</v>
      </c>
      <c r="K77" s="2">
        <v>4</v>
      </c>
    </row>
    <row r="78" spans="1:11" x14ac:dyDescent="0.25">
      <c r="A78" t="s">
        <v>124</v>
      </c>
      <c r="B78" t="s">
        <v>56</v>
      </c>
      <c r="C78" t="s">
        <v>21</v>
      </c>
      <c r="D78" t="s">
        <v>37</v>
      </c>
      <c r="E78" s="1">
        <v>45242</v>
      </c>
      <c r="F78" s="1">
        <v>45243</v>
      </c>
      <c r="G78" s="2">
        <v>25.4</v>
      </c>
      <c r="H78" s="2">
        <v>85.28</v>
      </c>
      <c r="I78" t="s">
        <v>15</v>
      </c>
      <c r="J78" s="2">
        <v>319</v>
      </c>
      <c r="K78" s="2">
        <v>1</v>
      </c>
    </row>
    <row r="79" spans="1:11" x14ac:dyDescent="0.25">
      <c r="A79" t="s">
        <v>125</v>
      </c>
      <c r="B79" t="s">
        <v>35</v>
      </c>
      <c r="C79" t="s">
        <v>24</v>
      </c>
      <c r="D79" t="s">
        <v>59</v>
      </c>
      <c r="E79" s="1">
        <v>45138</v>
      </c>
      <c r="F79" s="1">
        <v>45140</v>
      </c>
      <c r="G79" s="2">
        <v>20.8</v>
      </c>
      <c r="H79" s="2">
        <v>130.21</v>
      </c>
      <c r="I79" t="s">
        <v>60</v>
      </c>
      <c r="J79" s="2">
        <v>994</v>
      </c>
      <c r="K79" s="2">
        <v>2</v>
      </c>
    </row>
    <row r="80" spans="1:11" x14ac:dyDescent="0.25">
      <c r="A80" t="s">
        <v>126</v>
      </c>
      <c r="B80" t="s">
        <v>20</v>
      </c>
      <c r="C80" t="s">
        <v>36</v>
      </c>
      <c r="D80" t="s">
        <v>14</v>
      </c>
      <c r="E80" s="1">
        <v>45259</v>
      </c>
      <c r="F80" s="1">
        <v>45262</v>
      </c>
      <c r="G80" s="2">
        <v>10.9</v>
      </c>
      <c r="H80" s="2">
        <v>119.38</v>
      </c>
      <c r="I80" t="s">
        <v>15</v>
      </c>
      <c r="J80" s="2">
        <v>612</v>
      </c>
      <c r="K80" s="2">
        <v>3</v>
      </c>
    </row>
    <row r="81" spans="1:11" x14ac:dyDescent="0.25">
      <c r="A81" t="s">
        <v>127</v>
      </c>
      <c r="B81" t="s">
        <v>27</v>
      </c>
      <c r="C81" t="s">
        <v>40</v>
      </c>
      <c r="D81" t="s">
        <v>14</v>
      </c>
      <c r="E81" s="1">
        <v>45107</v>
      </c>
      <c r="F81" s="1">
        <v>45117</v>
      </c>
      <c r="G81" s="2">
        <v>22.4</v>
      </c>
      <c r="H81" s="2">
        <v>309.17</v>
      </c>
      <c r="I81" t="s">
        <v>47</v>
      </c>
      <c r="J81" s="2">
        <v>2214</v>
      </c>
      <c r="K81" s="2">
        <v>7</v>
      </c>
    </row>
    <row r="82" spans="1:11" x14ac:dyDescent="0.25">
      <c r="A82" t="s">
        <v>128</v>
      </c>
      <c r="B82" t="s">
        <v>20</v>
      </c>
      <c r="C82" t="s">
        <v>70</v>
      </c>
      <c r="D82" t="s">
        <v>42</v>
      </c>
      <c r="E82" s="1">
        <v>45020</v>
      </c>
      <c r="F82" s="1">
        <v>45023</v>
      </c>
      <c r="G82" s="2">
        <v>15.1</v>
      </c>
      <c r="H82" s="2">
        <v>152.16</v>
      </c>
      <c r="I82" t="s">
        <v>15</v>
      </c>
      <c r="J82" s="2">
        <v>1051</v>
      </c>
      <c r="K82" s="2">
        <v>3</v>
      </c>
    </row>
    <row r="83" spans="1:11" x14ac:dyDescent="0.25">
      <c r="A83" t="s">
        <v>129</v>
      </c>
      <c r="B83" t="s">
        <v>27</v>
      </c>
      <c r="C83" t="s">
        <v>31</v>
      </c>
      <c r="D83" t="s">
        <v>18</v>
      </c>
      <c r="E83" s="1">
        <v>44999</v>
      </c>
      <c r="F83" s="1">
        <v>45004</v>
      </c>
      <c r="G83" s="2">
        <v>22.9</v>
      </c>
      <c r="H83" s="2">
        <v>289.37</v>
      </c>
      <c r="I83" t="s">
        <v>15</v>
      </c>
      <c r="J83" s="2">
        <v>1714</v>
      </c>
      <c r="K83" s="2">
        <v>5</v>
      </c>
    </row>
    <row r="84" spans="1:11" x14ac:dyDescent="0.25">
      <c r="A84" t="s">
        <v>130</v>
      </c>
      <c r="B84" t="s">
        <v>35</v>
      </c>
      <c r="C84" t="s">
        <v>81</v>
      </c>
      <c r="D84" t="s">
        <v>25</v>
      </c>
      <c r="E84" s="1">
        <v>45053</v>
      </c>
      <c r="F84" s="1">
        <v>45055</v>
      </c>
      <c r="G84" s="2">
        <v>14.1</v>
      </c>
      <c r="H84" s="2">
        <v>144.13999999999999</v>
      </c>
      <c r="I84" t="s">
        <v>15</v>
      </c>
      <c r="J84" s="2">
        <v>1000</v>
      </c>
      <c r="K84" s="2">
        <v>2</v>
      </c>
    </row>
    <row r="85" spans="1:11" x14ac:dyDescent="0.25">
      <c r="A85" t="s">
        <v>131</v>
      </c>
      <c r="B85" t="s">
        <v>27</v>
      </c>
      <c r="C85" t="s">
        <v>52</v>
      </c>
      <c r="D85" t="s">
        <v>42</v>
      </c>
      <c r="E85" s="1">
        <v>45234</v>
      </c>
      <c r="F85" s="1">
        <v>45242</v>
      </c>
      <c r="G85" s="2">
        <v>9.3000000000000007</v>
      </c>
      <c r="H85" s="2">
        <v>333.26</v>
      </c>
      <c r="I85" t="s">
        <v>15</v>
      </c>
      <c r="J85" s="2">
        <v>2210</v>
      </c>
      <c r="K85" s="2">
        <v>8</v>
      </c>
    </row>
    <row r="86" spans="1:11" x14ac:dyDescent="0.25">
      <c r="A86" t="s">
        <v>132</v>
      </c>
      <c r="B86" t="s">
        <v>35</v>
      </c>
      <c r="C86" t="s">
        <v>17</v>
      </c>
      <c r="D86" t="s">
        <v>32</v>
      </c>
      <c r="E86" s="1">
        <v>45109</v>
      </c>
      <c r="F86" s="1">
        <v>45113</v>
      </c>
      <c r="G86" s="2">
        <v>22.9</v>
      </c>
      <c r="H86" s="2">
        <v>233.89</v>
      </c>
      <c r="I86" t="s">
        <v>15</v>
      </c>
      <c r="J86" s="2">
        <v>1510</v>
      </c>
      <c r="K86" s="2">
        <v>4</v>
      </c>
    </row>
    <row r="87" spans="1:11" x14ac:dyDescent="0.25">
      <c r="A87" t="s">
        <v>133</v>
      </c>
      <c r="B87" t="s">
        <v>35</v>
      </c>
      <c r="C87" t="s">
        <v>70</v>
      </c>
      <c r="D87" t="s">
        <v>14</v>
      </c>
      <c r="E87" s="1">
        <v>45022</v>
      </c>
      <c r="F87" s="1">
        <v>45028</v>
      </c>
      <c r="G87" s="2">
        <v>31.7</v>
      </c>
      <c r="H87" s="2">
        <v>282.19</v>
      </c>
      <c r="I87" t="s">
        <v>15</v>
      </c>
      <c r="J87" s="2">
        <v>1777</v>
      </c>
      <c r="K87" s="2">
        <v>6</v>
      </c>
    </row>
    <row r="88" spans="1:11" x14ac:dyDescent="0.25">
      <c r="A88" t="s">
        <v>134</v>
      </c>
      <c r="B88" t="s">
        <v>49</v>
      </c>
      <c r="C88" t="s">
        <v>57</v>
      </c>
      <c r="D88" t="s">
        <v>18</v>
      </c>
      <c r="E88" s="1">
        <v>45252</v>
      </c>
      <c r="F88" s="1">
        <v>45259</v>
      </c>
      <c r="G88" s="2">
        <v>13.5</v>
      </c>
      <c r="H88" s="2">
        <v>422.32</v>
      </c>
      <c r="I88" t="s">
        <v>15</v>
      </c>
      <c r="J88" s="2">
        <v>2388</v>
      </c>
      <c r="K88" s="2">
        <v>7</v>
      </c>
    </row>
    <row r="89" spans="1:11" x14ac:dyDescent="0.25">
      <c r="A89" t="s">
        <v>135</v>
      </c>
      <c r="B89" t="s">
        <v>35</v>
      </c>
      <c r="C89" t="s">
        <v>44</v>
      </c>
      <c r="D89" t="s">
        <v>25</v>
      </c>
      <c r="E89" s="1">
        <v>45251</v>
      </c>
      <c r="F89" s="1">
        <v>45260</v>
      </c>
      <c r="G89" s="2">
        <v>17.100000000000001</v>
      </c>
      <c r="H89" s="2">
        <v>214.99</v>
      </c>
      <c r="I89" t="s">
        <v>47</v>
      </c>
      <c r="J89" s="2">
        <v>1284</v>
      </c>
      <c r="K89" s="2">
        <v>4</v>
      </c>
    </row>
    <row r="90" spans="1:11" x14ac:dyDescent="0.25">
      <c r="A90" t="s">
        <v>136</v>
      </c>
      <c r="B90" t="s">
        <v>39</v>
      </c>
      <c r="C90" t="s">
        <v>54</v>
      </c>
      <c r="D90" t="s">
        <v>59</v>
      </c>
      <c r="E90" s="1">
        <v>45098</v>
      </c>
      <c r="F90" s="1">
        <v>45101</v>
      </c>
      <c r="G90" s="2">
        <v>37</v>
      </c>
      <c r="H90" s="2">
        <v>184.07</v>
      </c>
      <c r="I90" t="s">
        <v>15</v>
      </c>
      <c r="J90" s="2">
        <v>1198</v>
      </c>
      <c r="K90" s="2">
        <v>3</v>
      </c>
    </row>
    <row r="91" spans="1:11" x14ac:dyDescent="0.25">
      <c r="A91" t="s">
        <v>137</v>
      </c>
      <c r="B91" t="s">
        <v>51</v>
      </c>
      <c r="C91" t="s">
        <v>36</v>
      </c>
      <c r="D91" t="s">
        <v>42</v>
      </c>
      <c r="E91" s="1">
        <v>45240</v>
      </c>
      <c r="F91" s="1">
        <v>45244</v>
      </c>
      <c r="G91" s="2">
        <v>127.8</v>
      </c>
      <c r="H91" s="2">
        <v>247.54</v>
      </c>
      <c r="I91" t="s">
        <v>15</v>
      </c>
      <c r="J91" s="2">
        <v>1482</v>
      </c>
      <c r="K91" s="2">
        <v>4</v>
      </c>
    </row>
    <row r="92" spans="1:11" x14ac:dyDescent="0.25">
      <c r="A92" t="s">
        <v>138</v>
      </c>
      <c r="B92" t="s">
        <v>12</v>
      </c>
      <c r="C92" t="s">
        <v>44</v>
      </c>
      <c r="D92" t="s">
        <v>25</v>
      </c>
      <c r="E92" s="1">
        <v>44953</v>
      </c>
      <c r="F92" s="1">
        <v>44955</v>
      </c>
      <c r="G92" s="2">
        <v>10.8</v>
      </c>
      <c r="H92" s="2">
        <v>83.32</v>
      </c>
      <c r="I92" t="s">
        <v>67</v>
      </c>
      <c r="J92" s="2">
        <v>530</v>
      </c>
      <c r="K92" s="2">
        <v>2</v>
      </c>
    </row>
    <row r="93" spans="1:11" x14ac:dyDescent="0.25">
      <c r="A93" t="s">
        <v>139</v>
      </c>
      <c r="B93" t="s">
        <v>30</v>
      </c>
      <c r="C93" t="s">
        <v>70</v>
      </c>
      <c r="D93" t="s">
        <v>37</v>
      </c>
      <c r="E93" s="1">
        <v>45258</v>
      </c>
      <c r="F93" s="1">
        <v>45269</v>
      </c>
      <c r="G93" s="2">
        <v>8.5</v>
      </c>
      <c r="H93" s="2">
        <v>151.63999999999999</v>
      </c>
      <c r="I93" t="s">
        <v>47</v>
      </c>
      <c r="J93" s="2">
        <v>920</v>
      </c>
      <c r="K93" s="2">
        <v>4</v>
      </c>
    </row>
    <row r="94" spans="1:11" x14ac:dyDescent="0.25">
      <c r="A94" t="s">
        <v>140</v>
      </c>
      <c r="B94" t="s">
        <v>56</v>
      </c>
      <c r="C94" t="s">
        <v>70</v>
      </c>
      <c r="D94" t="s">
        <v>42</v>
      </c>
      <c r="E94" s="1">
        <v>45042</v>
      </c>
      <c r="F94" s="1">
        <v>45047</v>
      </c>
      <c r="G94" s="2">
        <v>16</v>
      </c>
      <c r="H94" s="2">
        <v>277.61</v>
      </c>
      <c r="I94" t="s">
        <v>15</v>
      </c>
      <c r="J94" s="2">
        <v>1950</v>
      </c>
      <c r="K94" s="2">
        <v>5</v>
      </c>
    </row>
    <row r="95" spans="1:11" x14ac:dyDescent="0.25">
      <c r="A95" t="s">
        <v>141</v>
      </c>
      <c r="B95" t="s">
        <v>12</v>
      </c>
      <c r="C95" t="s">
        <v>21</v>
      </c>
      <c r="D95" t="s">
        <v>14</v>
      </c>
      <c r="E95" s="1">
        <v>44988</v>
      </c>
      <c r="F95" s="1">
        <v>44993</v>
      </c>
      <c r="G95" s="2">
        <v>32.9</v>
      </c>
      <c r="H95" s="2">
        <v>337.04</v>
      </c>
      <c r="I95" t="s">
        <v>15</v>
      </c>
      <c r="J95" s="2">
        <v>2233</v>
      </c>
      <c r="K95" s="2">
        <v>5</v>
      </c>
    </row>
    <row r="96" spans="1:11" x14ac:dyDescent="0.25">
      <c r="A96" t="s">
        <v>142</v>
      </c>
      <c r="B96" t="s">
        <v>30</v>
      </c>
      <c r="C96" t="s">
        <v>13</v>
      </c>
      <c r="D96" t="s">
        <v>25</v>
      </c>
      <c r="E96" s="1">
        <v>45033</v>
      </c>
      <c r="F96" s="1">
        <v>45040</v>
      </c>
      <c r="G96" s="2">
        <v>29.5</v>
      </c>
      <c r="H96" s="2">
        <v>167.82</v>
      </c>
      <c r="I96" t="s">
        <v>15</v>
      </c>
      <c r="J96" s="2">
        <v>1022</v>
      </c>
      <c r="K96" s="2">
        <v>7</v>
      </c>
    </row>
    <row r="97" spans="1:11" x14ac:dyDescent="0.25">
      <c r="A97" t="s">
        <v>143</v>
      </c>
      <c r="B97" t="s">
        <v>12</v>
      </c>
      <c r="C97" t="s">
        <v>40</v>
      </c>
      <c r="D97" t="s">
        <v>37</v>
      </c>
      <c r="E97" s="1">
        <v>45108</v>
      </c>
      <c r="F97" s="1">
        <v>45111</v>
      </c>
      <c r="G97" s="2">
        <v>18.600000000000001</v>
      </c>
      <c r="H97" s="2">
        <v>191.08</v>
      </c>
      <c r="I97" t="s">
        <v>15</v>
      </c>
      <c r="J97" s="2">
        <v>1447</v>
      </c>
      <c r="K97" s="2">
        <v>3</v>
      </c>
    </row>
    <row r="98" spans="1:11" x14ac:dyDescent="0.25">
      <c r="A98" t="s">
        <v>144</v>
      </c>
      <c r="B98" t="s">
        <v>12</v>
      </c>
      <c r="C98" t="s">
        <v>17</v>
      </c>
      <c r="D98" t="s">
        <v>18</v>
      </c>
      <c r="E98" s="1">
        <v>45158</v>
      </c>
      <c r="F98" s="1">
        <v>45159</v>
      </c>
      <c r="G98" s="2">
        <v>9.6</v>
      </c>
      <c r="H98" s="2">
        <v>42.77</v>
      </c>
      <c r="I98" t="s">
        <v>15</v>
      </c>
      <c r="J98" s="2">
        <v>241</v>
      </c>
      <c r="K98" s="2">
        <v>1</v>
      </c>
    </row>
    <row r="99" spans="1:11" x14ac:dyDescent="0.25">
      <c r="A99" t="s">
        <v>145</v>
      </c>
      <c r="B99" t="s">
        <v>12</v>
      </c>
      <c r="C99" t="s">
        <v>17</v>
      </c>
      <c r="D99" t="s">
        <v>37</v>
      </c>
      <c r="E99" s="1">
        <v>45188</v>
      </c>
      <c r="G99" s="2">
        <v>80.400000000000006</v>
      </c>
      <c r="H99" s="2">
        <v>259.98</v>
      </c>
      <c r="I99" t="s">
        <v>15</v>
      </c>
      <c r="J99" s="2">
        <v>1554</v>
      </c>
      <c r="K99" s="2">
        <v>5</v>
      </c>
    </row>
    <row r="100" spans="1:11" x14ac:dyDescent="0.25">
      <c r="A100" t="s">
        <v>146</v>
      </c>
      <c r="B100" t="s">
        <v>23</v>
      </c>
      <c r="C100" t="s">
        <v>54</v>
      </c>
      <c r="D100" t="s">
        <v>25</v>
      </c>
      <c r="E100" s="1">
        <v>45056</v>
      </c>
      <c r="F100" s="1">
        <v>45061</v>
      </c>
      <c r="G100" s="2">
        <v>11.1</v>
      </c>
      <c r="H100" s="2">
        <v>273.63</v>
      </c>
      <c r="I100" t="s">
        <v>15</v>
      </c>
      <c r="J100" s="2">
        <v>2053</v>
      </c>
      <c r="K100" s="2">
        <v>5</v>
      </c>
    </row>
    <row r="101" spans="1:11" x14ac:dyDescent="0.25">
      <c r="A101" t="s">
        <v>147</v>
      </c>
      <c r="B101" t="s">
        <v>49</v>
      </c>
      <c r="C101" t="s">
        <v>52</v>
      </c>
      <c r="D101" t="s">
        <v>42</v>
      </c>
      <c r="E101" s="1">
        <v>45125</v>
      </c>
      <c r="F101" s="1">
        <v>45128</v>
      </c>
      <c r="G101" s="2">
        <v>14.6</v>
      </c>
      <c r="H101" s="2">
        <v>141.34</v>
      </c>
      <c r="I101" t="s">
        <v>15</v>
      </c>
      <c r="J101" s="2">
        <v>1158</v>
      </c>
      <c r="K101" s="2">
        <v>3</v>
      </c>
    </row>
    <row r="102" spans="1:11" x14ac:dyDescent="0.25">
      <c r="A102" t="s">
        <v>148</v>
      </c>
      <c r="B102" t="s">
        <v>35</v>
      </c>
      <c r="C102" t="s">
        <v>17</v>
      </c>
      <c r="D102" t="s">
        <v>37</v>
      </c>
      <c r="E102" s="1">
        <v>45026</v>
      </c>
      <c r="F102" s="1">
        <v>45033</v>
      </c>
      <c r="G102" s="2">
        <v>11.9</v>
      </c>
      <c r="H102" s="2">
        <v>277.05</v>
      </c>
      <c r="I102" t="s">
        <v>15</v>
      </c>
      <c r="J102" s="2">
        <v>2109</v>
      </c>
      <c r="K102" s="2">
        <v>7</v>
      </c>
    </row>
    <row r="103" spans="1:11" x14ac:dyDescent="0.25">
      <c r="A103" t="s">
        <v>149</v>
      </c>
      <c r="B103" t="s">
        <v>56</v>
      </c>
      <c r="C103" t="s">
        <v>54</v>
      </c>
      <c r="D103" t="s">
        <v>42</v>
      </c>
      <c r="E103" s="1">
        <v>45166</v>
      </c>
      <c r="F103" s="1">
        <v>45168</v>
      </c>
      <c r="G103" s="2">
        <v>51</v>
      </c>
      <c r="I103" t="s">
        <v>15</v>
      </c>
      <c r="J103" s="2">
        <v>179</v>
      </c>
      <c r="K103" s="2">
        <v>2</v>
      </c>
    </row>
    <row r="104" spans="1:11" x14ac:dyDescent="0.25">
      <c r="A104" t="s">
        <v>150</v>
      </c>
      <c r="B104" t="s">
        <v>23</v>
      </c>
      <c r="C104" t="s">
        <v>21</v>
      </c>
      <c r="D104" t="s">
        <v>18</v>
      </c>
      <c r="E104" s="1">
        <v>45124</v>
      </c>
      <c r="F104" s="1">
        <v>45131</v>
      </c>
      <c r="G104" s="2">
        <v>8.6</v>
      </c>
      <c r="H104" s="2">
        <v>352.85</v>
      </c>
      <c r="I104" t="s">
        <v>15</v>
      </c>
      <c r="J104" s="2">
        <v>2465</v>
      </c>
      <c r="K104" s="2">
        <v>7</v>
      </c>
    </row>
    <row r="105" spans="1:11" x14ac:dyDescent="0.25">
      <c r="A105" t="s">
        <v>151</v>
      </c>
      <c r="B105" t="s">
        <v>23</v>
      </c>
      <c r="C105" t="s">
        <v>31</v>
      </c>
      <c r="D105" t="s">
        <v>37</v>
      </c>
      <c r="E105" s="1">
        <v>44940</v>
      </c>
      <c r="F105" s="1">
        <v>44951</v>
      </c>
      <c r="G105" s="2">
        <v>6.3</v>
      </c>
      <c r="H105" s="2">
        <v>283.56</v>
      </c>
      <c r="I105" t="s">
        <v>15</v>
      </c>
      <c r="J105" s="2">
        <v>2366</v>
      </c>
      <c r="K105" s="2">
        <v>11</v>
      </c>
    </row>
    <row r="106" spans="1:11" x14ac:dyDescent="0.25">
      <c r="A106" t="s">
        <v>152</v>
      </c>
      <c r="B106" t="s">
        <v>49</v>
      </c>
      <c r="C106" t="s">
        <v>31</v>
      </c>
      <c r="D106" t="s">
        <v>32</v>
      </c>
      <c r="E106" s="1">
        <v>45273</v>
      </c>
      <c r="F106" s="1">
        <v>45276</v>
      </c>
      <c r="G106" s="2">
        <v>16.600000000000001</v>
      </c>
      <c r="H106" s="2">
        <v>121.29</v>
      </c>
      <c r="I106" t="s">
        <v>15</v>
      </c>
      <c r="J106" s="2">
        <v>543</v>
      </c>
      <c r="K106" s="2">
        <v>3</v>
      </c>
    </row>
    <row r="107" spans="1:11" x14ac:dyDescent="0.25">
      <c r="A107" t="s">
        <v>153</v>
      </c>
      <c r="B107" t="s">
        <v>12</v>
      </c>
      <c r="C107" t="s">
        <v>31</v>
      </c>
      <c r="D107" t="s">
        <v>18</v>
      </c>
      <c r="E107" s="1">
        <v>45039</v>
      </c>
      <c r="F107" s="1">
        <v>45052</v>
      </c>
      <c r="G107" s="2">
        <v>40.700000000000003</v>
      </c>
      <c r="H107" s="2">
        <v>270.27</v>
      </c>
      <c r="I107" t="s">
        <v>47</v>
      </c>
      <c r="J107" s="2">
        <v>1682</v>
      </c>
      <c r="K107" s="2">
        <v>6</v>
      </c>
    </row>
    <row r="108" spans="1:11" x14ac:dyDescent="0.25">
      <c r="A108" t="s">
        <v>154</v>
      </c>
      <c r="B108" t="s">
        <v>39</v>
      </c>
      <c r="C108" t="s">
        <v>81</v>
      </c>
      <c r="D108" t="s">
        <v>25</v>
      </c>
      <c r="E108" s="1">
        <v>45157</v>
      </c>
      <c r="F108" s="1">
        <v>45160</v>
      </c>
      <c r="G108" s="2">
        <v>22.6</v>
      </c>
      <c r="H108" s="2">
        <v>149.52000000000001</v>
      </c>
      <c r="I108" t="s">
        <v>15</v>
      </c>
      <c r="J108" s="2">
        <v>1030</v>
      </c>
      <c r="K108" s="2">
        <v>3</v>
      </c>
    </row>
    <row r="109" spans="1:11" x14ac:dyDescent="0.25">
      <c r="A109" t="s">
        <v>155</v>
      </c>
      <c r="B109" t="s">
        <v>51</v>
      </c>
      <c r="C109" t="s">
        <v>44</v>
      </c>
      <c r="D109" t="s">
        <v>14</v>
      </c>
      <c r="E109" s="1">
        <v>45137</v>
      </c>
      <c r="F109" s="1">
        <v>45140</v>
      </c>
      <c r="G109" s="2">
        <v>44.3</v>
      </c>
      <c r="H109" s="2">
        <v>140.74</v>
      </c>
      <c r="I109" t="s">
        <v>15</v>
      </c>
      <c r="J109" s="2">
        <v>790</v>
      </c>
      <c r="K109" s="2">
        <v>3</v>
      </c>
    </row>
    <row r="110" spans="1:11" x14ac:dyDescent="0.25">
      <c r="A110" t="s">
        <v>156</v>
      </c>
      <c r="B110" t="s">
        <v>12</v>
      </c>
      <c r="C110" t="s">
        <v>57</v>
      </c>
      <c r="D110" t="s">
        <v>42</v>
      </c>
      <c r="E110" s="1">
        <v>45153</v>
      </c>
      <c r="F110" s="1">
        <v>45157</v>
      </c>
      <c r="G110" s="2">
        <v>12.8</v>
      </c>
      <c r="H110" s="2">
        <v>198.31</v>
      </c>
      <c r="I110" t="s">
        <v>15</v>
      </c>
      <c r="J110" s="2">
        <v>1534</v>
      </c>
      <c r="K110" s="2">
        <v>4</v>
      </c>
    </row>
    <row r="111" spans="1:11" x14ac:dyDescent="0.25">
      <c r="A111" t="s">
        <v>157</v>
      </c>
      <c r="B111" t="s">
        <v>56</v>
      </c>
      <c r="C111" t="s">
        <v>52</v>
      </c>
      <c r="D111" t="s">
        <v>42</v>
      </c>
      <c r="E111" s="1">
        <v>45273</v>
      </c>
      <c r="G111" s="2">
        <v>16.5</v>
      </c>
      <c r="H111" s="2">
        <v>73.12</v>
      </c>
      <c r="I111" t="s">
        <v>15</v>
      </c>
      <c r="J111" s="2">
        <v>371</v>
      </c>
      <c r="K111" s="2">
        <v>2</v>
      </c>
    </row>
    <row r="112" spans="1:11" x14ac:dyDescent="0.25">
      <c r="A112" t="s">
        <v>158</v>
      </c>
      <c r="B112" t="s">
        <v>35</v>
      </c>
      <c r="C112" t="s">
        <v>21</v>
      </c>
      <c r="D112" t="s">
        <v>18</v>
      </c>
      <c r="E112" s="1">
        <v>45191</v>
      </c>
      <c r="F112" s="1">
        <v>45198</v>
      </c>
      <c r="G112" s="2">
        <v>46.1</v>
      </c>
      <c r="H112" s="2">
        <v>409.06</v>
      </c>
      <c r="I112" t="s">
        <v>15</v>
      </c>
      <c r="J112" s="2">
        <v>2306</v>
      </c>
      <c r="K112" s="2">
        <v>7</v>
      </c>
    </row>
    <row r="113" spans="1:11" x14ac:dyDescent="0.25">
      <c r="A113" t="s">
        <v>159</v>
      </c>
      <c r="B113" t="s">
        <v>27</v>
      </c>
      <c r="C113" t="s">
        <v>31</v>
      </c>
      <c r="D113" t="s">
        <v>32</v>
      </c>
      <c r="E113" s="1">
        <v>45070</v>
      </c>
      <c r="F113" s="1">
        <v>45075</v>
      </c>
      <c r="G113" s="2">
        <v>19.2</v>
      </c>
      <c r="H113" s="2">
        <v>273.26</v>
      </c>
      <c r="I113" t="s">
        <v>15</v>
      </c>
      <c r="J113" s="2">
        <v>1810</v>
      </c>
      <c r="K113" s="2">
        <v>5</v>
      </c>
    </row>
    <row r="114" spans="1:11" x14ac:dyDescent="0.25">
      <c r="A114" t="s">
        <v>160</v>
      </c>
      <c r="B114" t="s">
        <v>39</v>
      </c>
      <c r="C114" t="s">
        <v>44</v>
      </c>
      <c r="D114" t="s">
        <v>37</v>
      </c>
      <c r="E114" s="1">
        <v>44959</v>
      </c>
      <c r="F114" s="1">
        <v>44973</v>
      </c>
      <c r="G114" s="2">
        <v>7.6</v>
      </c>
      <c r="H114" s="2">
        <v>41.42</v>
      </c>
      <c r="I114" t="s">
        <v>47</v>
      </c>
      <c r="J114" s="2">
        <v>277</v>
      </c>
      <c r="K114" s="2">
        <v>2</v>
      </c>
    </row>
    <row r="115" spans="1:11" x14ac:dyDescent="0.25">
      <c r="A115" t="s">
        <v>161</v>
      </c>
      <c r="B115" t="s">
        <v>35</v>
      </c>
      <c r="C115" t="s">
        <v>44</v>
      </c>
      <c r="D115" t="s">
        <v>59</v>
      </c>
      <c r="E115" s="1">
        <v>45084</v>
      </c>
      <c r="F115" s="1">
        <v>45090</v>
      </c>
      <c r="G115" s="2">
        <v>38.1</v>
      </c>
      <c r="H115" s="2">
        <v>272.16000000000003</v>
      </c>
      <c r="I115" t="s">
        <v>15</v>
      </c>
      <c r="J115" s="2">
        <v>1953</v>
      </c>
      <c r="K115" s="2">
        <v>6</v>
      </c>
    </row>
    <row r="116" spans="1:11" x14ac:dyDescent="0.25">
      <c r="A116" t="s">
        <v>162</v>
      </c>
      <c r="B116" t="s">
        <v>27</v>
      </c>
      <c r="C116" t="s">
        <v>70</v>
      </c>
      <c r="D116" t="s">
        <v>32</v>
      </c>
      <c r="E116" s="1">
        <v>45019</v>
      </c>
      <c r="F116" s="1">
        <v>44989</v>
      </c>
      <c r="G116" s="2">
        <v>23.2</v>
      </c>
      <c r="H116" s="2">
        <v>270.43</v>
      </c>
      <c r="I116" t="s">
        <v>15</v>
      </c>
      <c r="J116" s="2">
        <v>1800</v>
      </c>
      <c r="K116" s="2">
        <v>4</v>
      </c>
    </row>
    <row r="117" spans="1:11" x14ac:dyDescent="0.25">
      <c r="A117" t="s">
        <v>163</v>
      </c>
      <c r="B117" t="s">
        <v>51</v>
      </c>
      <c r="C117" t="s">
        <v>36</v>
      </c>
      <c r="D117" t="s">
        <v>42</v>
      </c>
      <c r="E117" s="1">
        <v>45127</v>
      </c>
      <c r="F117" s="1">
        <v>45132</v>
      </c>
      <c r="G117" s="2">
        <v>22.8</v>
      </c>
      <c r="H117" s="2">
        <v>267.89</v>
      </c>
      <c r="I117" t="s">
        <v>15</v>
      </c>
      <c r="J117" s="2">
        <v>1951</v>
      </c>
      <c r="K117" s="2">
        <v>5</v>
      </c>
    </row>
    <row r="118" spans="1:11" x14ac:dyDescent="0.25">
      <c r="A118" t="s">
        <v>164</v>
      </c>
      <c r="B118" t="s">
        <v>23</v>
      </c>
      <c r="C118" t="s">
        <v>21</v>
      </c>
      <c r="D118" t="s">
        <v>32</v>
      </c>
      <c r="E118" s="1">
        <v>44931</v>
      </c>
      <c r="F118" s="1">
        <v>44938</v>
      </c>
      <c r="G118" s="2">
        <v>18.8</v>
      </c>
      <c r="H118" s="2">
        <v>249.35</v>
      </c>
      <c r="I118" t="s">
        <v>15</v>
      </c>
      <c r="J118" s="2">
        <v>1744</v>
      </c>
      <c r="K118" s="2">
        <v>7</v>
      </c>
    </row>
    <row r="119" spans="1:11" x14ac:dyDescent="0.25">
      <c r="A119" t="s">
        <v>165</v>
      </c>
      <c r="B119" t="s">
        <v>35</v>
      </c>
      <c r="C119" t="s">
        <v>57</v>
      </c>
      <c r="D119" t="s">
        <v>37</v>
      </c>
      <c r="E119" s="1">
        <v>45064</v>
      </c>
      <c r="F119" s="1">
        <v>45068</v>
      </c>
      <c r="G119" s="2">
        <v>14</v>
      </c>
      <c r="H119" s="2">
        <v>171.55</v>
      </c>
      <c r="I119" t="s">
        <v>15</v>
      </c>
      <c r="J119" s="2">
        <v>1323</v>
      </c>
      <c r="K119" s="2">
        <v>4</v>
      </c>
    </row>
    <row r="120" spans="1:11" x14ac:dyDescent="0.25">
      <c r="A120" t="s">
        <v>166</v>
      </c>
      <c r="B120" t="s">
        <v>56</v>
      </c>
      <c r="C120" t="s">
        <v>81</v>
      </c>
      <c r="D120" t="s">
        <v>25</v>
      </c>
      <c r="E120" s="1">
        <v>45009</v>
      </c>
      <c r="F120" s="1">
        <v>45017</v>
      </c>
      <c r="G120" s="2">
        <v>17.600000000000001</v>
      </c>
      <c r="H120" s="2">
        <v>215.18</v>
      </c>
      <c r="I120" t="s">
        <v>47</v>
      </c>
      <c r="J120" s="2">
        <v>1646</v>
      </c>
      <c r="K120" s="2">
        <v>4</v>
      </c>
    </row>
    <row r="121" spans="1:11" x14ac:dyDescent="0.25">
      <c r="A121" t="s">
        <v>167</v>
      </c>
      <c r="B121" t="s">
        <v>56</v>
      </c>
      <c r="C121" t="s">
        <v>57</v>
      </c>
      <c r="D121" t="s">
        <v>18</v>
      </c>
      <c r="E121" s="1">
        <v>45117</v>
      </c>
      <c r="F121" s="1">
        <v>45118</v>
      </c>
      <c r="G121" s="2">
        <v>21.6</v>
      </c>
      <c r="H121" s="2">
        <v>64.739999999999995</v>
      </c>
      <c r="I121" t="s">
        <v>15</v>
      </c>
      <c r="J121" s="2">
        <v>261</v>
      </c>
      <c r="K121" s="2">
        <v>1</v>
      </c>
    </row>
    <row r="122" spans="1:11" x14ac:dyDescent="0.25">
      <c r="A122" t="s">
        <v>168</v>
      </c>
      <c r="B122" t="s">
        <v>49</v>
      </c>
      <c r="C122" t="s">
        <v>81</v>
      </c>
      <c r="D122" t="s">
        <v>37</v>
      </c>
      <c r="E122" s="1">
        <v>45195</v>
      </c>
      <c r="F122" s="1">
        <v>45201</v>
      </c>
      <c r="G122" s="2">
        <v>8.1999999999999993</v>
      </c>
      <c r="H122" s="2">
        <v>278.33999999999997</v>
      </c>
      <c r="I122" t="s">
        <v>15</v>
      </c>
      <c r="J122" s="2">
        <v>2330</v>
      </c>
      <c r="K122" s="2">
        <v>6</v>
      </c>
    </row>
    <row r="123" spans="1:11" x14ac:dyDescent="0.25">
      <c r="A123" t="s">
        <v>169</v>
      </c>
      <c r="B123" t="s">
        <v>35</v>
      </c>
      <c r="C123" t="s">
        <v>21</v>
      </c>
      <c r="D123" t="s">
        <v>32</v>
      </c>
      <c r="E123" s="1">
        <v>44991</v>
      </c>
      <c r="F123" s="1">
        <v>44996</v>
      </c>
      <c r="G123" s="2">
        <v>25.1</v>
      </c>
      <c r="H123" s="2">
        <v>165.41</v>
      </c>
      <c r="I123" t="s">
        <v>15</v>
      </c>
      <c r="J123" s="2">
        <v>973</v>
      </c>
      <c r="K123" s="2">
        <v>5</v>
      </c>
    </row>
    <row r="124" spans="1:11" x14ac:dyDescent="0.25">
      <c r="A124" t="s">
        <v>170</v>
      </c>
      <c r="B124" t="s">
        <v>39</v>
      </c>
      <c r="C124" t="s">
        <v>31</v>
      </c>
      <c r="D124" t="s">
        <v>37</v>
      </c>
      <c r="E124" s="1">
        <v>45064</v>
      </c>
      <c r="F124" s="1">
        <v>45071</v>
      </c>
      <c r="G124" s="2">
        <v>14.4</v>
      </c>
      <c r="H124" s="2">
        <v>280.58999999999997</v>
      </c>
      <c r="I124" t="s">
        <v>15</v>
      </c>
      <c r="J124" s="2">
        <v>2399</v>
      </c>
      <c r="K124" s="2">
        <v>7</v>
      </c>
    </row>
    <row r="125" spans="1:11" x14ac:dyDescent="0.25">
      <c r="A125" t="s">
        <v>171</v>
      </c>
      <c r="B125" t="s">
        <v>30</v>
      </c>
      <c r="C125" t="s">
        <v>52</v>
      </c>
      <c r="D125" t="s">
        <v>25</v>
      </c>
      <c r="E125" s="1">
        <v>45148</v>
      </c>
      <c r="F125" s="1">
        <v>45152</v>
      </c>
      <c r="G125" s="2">
        <v>50.1</v>
      </c>
      <c r="H125" s="2">
        <v>210.77</v>
      </c>
      <c r="I125" t="s">
        <v>15</v>
      </c>
      <c r="J125" s="2">
        <v>1297</v>
      </c>
      <c r="K125" s="2">
        <v>4</v>
      </c>
    </row>
    <row r="126" spans="1:11" x14ac:dyDescent="0.25">
      <c r="A126" t="s">
        <v>172</v>
      </c>
      <c r="B126" t="s">
        <v>30</v>
      </c>
      <c r="C126" t="s">
        <v>13</v>
      </c>
      <c r="D126" t="s">
        <v>59</v>
      </c>
      <c r="E126" s="1">
        <v>45021</v>
      </c>
      <c r="F126" s="1">
        <v>45027</v>
      </c>
      <c r="G126" s="2">
        <v>20.3</v>
      </c>
      <c r="H126" s="2">
        <v>150.38</v>
      </c>
      <c r="I126" t="s">
        <v>15</v>
      </c>
      <c r="J126" s="2">
        <v>1200</v>
      </c>
      <c r="K126" s="2">
        <v>6</v>
      </c>
    </row>
    <row r="127" spans="1:11" x14ac:dyDescent="0.25">
      <c r="A127" t="s">
        <v>173</v>
      </c>
      <c r="B127" t="s">
        <v>35</v>
      </c>
      <c r="C127" t="s">
        <v>54</v>
      </c>
      <c r="D127" t="s">
        <v>59</v>
      </c>
      <c r="E127" s="1">
        <v>45105</v>
      </c>
      <c r="F127" s="1">
        <v>45109</v>
      </c>
      <c r="G127" s="2">
        <v>11.8</v>
      </c>
      <c r="H127" s="2">
        <v>180.52</v>
      </c>
      <c r="I127" t="s">
        <v>15</v>
      </c>
      <c r="J127" s="2">
        <v>1350</v>
      </c>
      <c r="K127" s="2">
        <v>4</v>
      </c>
    </row>
    <row r="128" spans="1:11" x14ac:dyDescent="0.25">
      <c r="A128" t="s">
        <v>174</v>
      </c>
      <c r="B128" t="s">
        <v>49</v>
      </c>
      <c r="C128" t="s">
        <v>54</v>
      </c>
      <c r="D128" t="s">
        <v>14</v>
      </c>
      <c r="E128" s="1">
        <v>45171</v>
      </c>
      <c r="F128" s="1">
        <v>45178</v>
      </c>
      <c r="G128" s="2">
        <v>90.2</v>
      </c>
      <c r="H128" s="2">
        <v>384.64</v>
      </c>
      <c r="I128" t="s">
        <v>15</v>
      </c>
      <c r="J128" s="2">
        <v>2188</v>
      </c>
      <c r="K128" s="2">
        <v>7</v>
      </c>
    </row>
    <row r="129" spans="1:11" x14ac:dyDescent="0.25">
      <c r="A129" t="s">
        <v>175</v>
      </c>
      <c r="B129" t="s">
        <v>20</v>
      </c>
      <c r="C129" t="s">
        <v>54</v>
      </c>
      <c r="D129" t="s">
        <v>14</v>
      </c>
      <c r="E129" s="1">
        <v>45204</v>
      </c>
      <c r="F129" s="1">
        <v>45212</v>
      </c>
      <c r="G129" s="2">
        <v>30.1</v>
      </c>
      <c r="H129" s="2">
        <v>156.74</v>
      </c>
      <c r="I129" t="s">
        <v>15</v>
      </c>
      <c r="J129" s="2">
        <v>1075</v>
      </c>
      <c r="K129" s="2">
        <v>8</v>
      </c>
    </row>
    <row r="130" spans="1:11" x14ac:dyDescent="0.25">
      <c r="A130" t="s">
        <v>176</v>
      </c>
      <c r="B130" t="s">
        <v>23</v>
      </c>
      <c r="C130" t="s">
        <v>54</v>
      </c>
      <c r="D130" t="s">
        <v>42</v>
      </c>
      <c r="E130" s="1">
        <v>45217</v>
      </c>
      <c r="F130" s="1">
        <v>45226</v>
      </c>
      <c r="G130" s="2">
        <v>3.2</v>
      </c>
      <c r="H130" s="2">
        <v>159.82</v>
      </c>
      <c r="I130" t="s">
        <v>15</v>
      </c>
      <c r="J130" s="2">
        <v>1260</v>
      </c>
      <c r="K130" s="2">
        <v>9</v>
      </c>
    </row>
    <row r="131" spans="1:11" x14ac:dyDescent="0.25">
      <c r="A131" t="s">
        <v>177</v>
      </c>
      <c r="B131" t="s">
        <v>12</v>
      </c>
      <c r="C131" t="s">
        <v>54</v>
      </c>
      <c r="D131" t="s">
        <v>42</v>
      </c>
      <c r="E131" s="1">
        <v>45033</v>
      </c>
      <c r="F131" s="1">
        <v>45038</v>
      </c>
      <c r="G131" s="2">
        <v>31.9</v>
      </c>
      <c r="H131" s="2">
        <v>260.72000000000003</v>
      </c>
      <c r="I131" t="s">
        <v>15</v>
      </c>
      <c r="J131" s="2">
        <v>1926</v>
      </c>
      <c r="K131" s="2">
        <v>5</v>
      </c>
    </row>
    <row r="132" spans="1:11" x14ac:dyDescent="0.25">
      <c r="A132" t="s">
        <v>178</v>
      </c>
      <c r="B132" t="s">
        <v>12</v>
      </c>
      <c r="C132" t="s">
        <v>52</v>
      </c>
      <c r="D132" t="s">
        <v>42</v>
      </c>
      <c r="E132" s="1">
        <v>45261</v>
      </c>
      <c r="F132" s="1">
        <v>45266</v>
      </c>
      <c r="G132" s="2">
        <v>15.1</v>
      </c>
      <c r="H132" s="2">
        <v>321.82</v>
      </c>
      <c r="I132" t="s">
        <v>15</v>
      </c>
      <c r="J132" s="2">
        <v>2204</v>
      </c>
      <c r="K132" s="2">
        <v>5</v>
      </c>
    </row>
    <row r="133" spans="1:11" x14ac:dyDescent="0.25">
      <c r="A133" t="s">
        <v>179</v>
      </c>
      <c r="B133" t="s">
        <v>27</v>
      </c>
      <c r="C133" t="s">
        <v>24</v>
      </c>
      <c r="D133" t="s">
        <v>25</v>
      </c>
      <c r="E133" s="1">
        <v>45072</v>
      </c>
      <c r="F133" s="1">
        <v>45079</v>
      </c>
      <c r="G133" s="2">
        <v>19.2</v>
      </c>
      <c r="H133" s="2">
        <v>253.39</v>
      </c>
      <c r="I133" t="s">
        <v>67</v>
      </c>
      <c r="J133" s="2">
        <v>2048</v>
      </c>
      <c r="K133" s="2">
        <v>7</v>
      </c>
    </row>
    <row r="134" spans="1:11" x14ac:dyDescent="0.25">
      <c r="A134" t="s">
        <v>180</v>
      </c>
      <c r="B134" t="s">
        <v>56</v>
      </c>
      <c r="C134" t="s">
        <v>13</v>
      </c>
      <c r="D134" t="s">
        <v>18</v>
      </c>
      <c r="E134" s="1">
        <v>45114</v>
      </c>
      <c r="G134" s="2">
        <v>8.4</v>
      </c>
      <c r="I134" t="s">
        <v>15</v>
      </c>
      <c r="J134" s="2">
        <v>815</v>
      </c>
      <c r="K134" s="2">
        <v>3</v>
      </c>
    </row>
    <row r="135" spans="1:11" x14ac:dyDescent="0.25">
      <c r="A135" t="s">
        <v>181</v>
      </c>
      <c r="B135" t="s">
        <v>51</v>
      </c>
      <c r="C135" t="s">
        <v>17</v>
      </c>
      <c r="D135" t="s">
        <v>14</v>
      </c>
      <c r="E135" s="1">
        <v>45283</v>
      </c>
      <c r="F135" s="1">
        <v>45286</v>
      </c>
      <c r="G135" s="2">
        <v>26.4</v>
      </c>
      <c r="H135" s="2">
        <v>186.75</v>
      </c>
      <c r="I135" t="s">
        <v>15</v>
      </c>
      <c r="J135" s="2">
        <v>870</v>
      </c>
      <c r="K135" s="2">
        <v>3</v>
      </c>
    </row>
    <row r="136" spans="1:11" x14ac:dyDescent="0.25">
      <c r="A136" t="s">
        <v>182</v>
      </c>
      <c r="B136" t="s">
        <v>27</v>
      </c>
      <c r="C136" t="s">
        <v>36</v>
      </c>
      <c r="D136" t="s">
        <v>42</v>
      </c>
      <c r="E136" s="1">
        <v>44929</v>
      </c>
      <c r="F136" s="1">
        <v>44936</v>
      </c>
      <c r="G136" s="2">
        <v>24.4</v>
      </c>
      <c r="H136" s="2">
        <v>313.23</v>
      </c>
      <c r="I136" t="s">
        <v>15</v>
      </c>
      <c r="J136" s="2">
        <v>2314</v>
      </c>
      <c r="K136" s="2">
        <v>7</v>
      </c>
    </row>
    <row r="137" spans="1:11" x14ac:dyDescent="0.25">
      <c r="A137" t="s">
        <v>183</v>
      </c>
      <c r="B137" t="s">
        <v>20</v>
      </c>
      <c r="C137" t="s">
        <v>13</v>
      </c>
      <c r="D137" t="s">
        <v>18</v>
      </c>
      <c r="E137" s="1">
        <v>45185</v>
      </c>
      <c r="F137" s="1">
        <v>45188</v>
      </c>
      <c r="G137" s="2">
        <v>59.4</v>
      </c>
      <c r="H137" s="2">
        <v>234.64</v>
      </c>
      <c r="I137" t="s">
        <v>15</v>
      </c>
      <c r="J137" s="2">
        <v>1070</v>
      </c>
      <c r="K137" s="2">
        <v>3</v>
      </c>
    </row>
    <row r="138" spans="1:11" x14ac:dyDescent="0.25">
      <c r="A138" t="s">
        <v>184</v>
      </c>
      <c r="B138" t="s">
        <v>35</v>
      </c>
      <c r="C138" t="s">
        <v>54</v>
      </c>
      <c r="D138" t="s">
        <v>32</v>
      </c>
      <c r="E138" s="1">
        <v>45234</v>
      </c>
      <c r="F138" s="1">
        <v>45240</v>
      </c>
      <c r="G138" s="2">
        <v>15.9</v>
      </c>
      <c r="H138" s="2">
        <v>257.13</v>
      </c>
      <c r="I138" t="s">
        <v>15</v>
      </c>
      <c r="J138" s="2">
        <v>1350</v>
      </c>
      <c r="K138" s="2">
        <v>6</v>
      </c>
    </row>
    <row r="139" spans="1:11" x14ac:dyDescent="0.25">
      <c r="A139" t="s">
        <v>185</v>
      </c>
      <c r="B139" t="s">
        <v>56</v>
      </c>
      <c r="C139" t="s">
        <v>46</v>
      </c>
      <c r="D139" t="s">
        <v>37</v>
      </c>
      <c r="E139" s="1">
        <v>44967</v>
      </c>
      <c r="F139" s="1">
        <v>44971</v>
      </c>
      <c r="G139" s="2">
        <v>17.5</v>
      </c>
      <c r="H139" s="2">
        <v>208.17</v>
      </c>
      <c r="I139" t="s">
        <v>15</v>
      </c>
      <c r="J139" s="2">
        <v>1476</v>
      </c>
      <c r="K139" s="2">
        <v>4</v>
      </c>
    </row>
    <row r="140" spans="1:11" x14ac:dyDescent="0.25">
      <c r="A140" t="s">
        <v>186</v>
      </c>
      <c r="B140" t="s">
        <v>51</v>
      </c>
      <c r="C140" t="s">
        <v>21</v>
      </c>
      <c r="D140" t="s">
        <v>25</v>
      </c>
      <c r="E140" s="1">
        <v>45238</v>
      </c>
      <c r="F140" s="1">
        <v>45241</v>
      </c>
      <c r="G140" s="2">
        <v>66.5</v>
      </c>
      <c r="H140" s="2">
        <v>199.04</v>
      </c>
      <c r="I140" t="s">
        <v>15</v>
      </c>
      <c r="J140" s="2">
        <v>672</v>
      </c>
      <c r="K140" s="2">
        <v>3</v>
      </c>
    </row>
    <row r="141" spans="1:11" x14ac:dyDescent="0.25">
      <c r="A141" t="s">
        <v>187</v>
      </c>
      <c r="B141" t="s">
        <v>35</v>
      </c>
      <c r="C141" t="s">
        <v>21</v>
      </c>
      <c r="D141" t="s">
        <v>59</v>
      </c>
      <c r="E141" s="1">
        <v>44995</v>
      </c>
      <c r="F141" s="1">
        <v>44998</v>
      </c>
      <c r="G141" s="2">
        <v>19.399999999999999</v>
      </c>
      <c r="H141" s="2">
        <v>169.99</v>
      </c>
      <c r="I141" t="s">
        <v>15</v>
      </c>
      <c r="J141" s="2">
        <v>1300</v>
      </c>
      <c r="K141" s="2">
        <v>3</v>
      </c>
    </row>
    <row r="142" spans="1:11" x14ac:dyDescent="0.25">
      <c r="A142" t="s">
        <v>188</v>
      </c>
      <c r="B142" t="s">
        <v>49</v>
      </c>
      <c r="C142" t="s">
        <v>36</v>
      </c>
      <c r="D142" t="s">
        <v>59</v>
      </c>
      <c r="E142" s="1">
        <v>45262</v>
      </c>
      <c r="F142" s="1">
        <v>45264</v>
      </c>
      <c r="G142" s="2">
        <v>48</v>
      </c>
      <c r="H142" s="2">
        <v>133.97999999999999</v>
      </c>
      <c r="I142" t="s">
        <v>15</v>
      </c>
      <c r="J142" s="2">
        <v>593</v>
      </c>
      <c r="K142" s="2">
        <v>2</v>
      </c>
    </row>
    <row r="143" spans="1:11" x14ac:dyDescent="0.25">
      <c r="A143" t="s">
        <v>189</v>
      </c>
      <c r="B143" t="s">
        <v>23</v>
      </c>
      <c r="C143" t="s">
        <v>44</v>
      </c>
      <c r="D143" t="s">
        <v>59</v>
      </c>
      <c r="E143" s="1">
        <v>45214</v>
      </c>
      <c r="F143" s="1">
        <v>45219</v>
      </c>
      <c r="G143" s="2">
        <v>18.399999999999999</v>
      </c>
      <c r="H143" s="2">
        <v>237.17</v>
      </c>
      <c r="I143" t="s">
        <v>15</v>
      </c>
      <c r="J143" s="2">
        <v>1939</v>
      </c>
      <c r="K143" s="2">
        <v>5</v>
      </c>
    </row>
    <row r="144" spans="1:11" x14ac:dyDescent="0.25">
      <c r="A144" t="s">
        <v>190</v>
      </c>
      <c r="B144" t="s">
        <v>51</v>
      </c>
      <c r="C144" t="s">
        <v>44</v>
      </c>
      <c r="D144" t="s">
        <v>25</v>
      </c>
      <c r="E144" s="1">
        <v>44932</v>
      </c>
      <c r="F144" s="1">
        <v>44935</v>
      </c>
      <c r="G144" s="2">
        <v>38.9</v>
      </c>
      <c r="H144" s="2">
        <v>137.82</v>
      </c>
      <c r="I144" t="s">
        <v>15</v>
      </c>
      <c r="J144" s="2">
        <v>790</v>
      </c>
      <c r="K144" s="2">
        <v>3</v>
      </c>
    </row>
    <row r="145" spans="1:11" x14ac:dyDescent="0.25">
      <c r="A145" t="s">
        <v>191</v>
      </c>
      <c r="B145" t="s">
        <v>20</v>
      </c>
      <c r="C145" t="s">
        <v>13</v>
      </c>
      <c r="D145" t="s">
        <v>25</v>
      </c>
      <c r="E145" s="1">
        <v>44962</v>
      </c>
      <c r="F145" s="1">
        <v>44969</v>
      </c>
      <c r="G145" s="2">
        <v>36.6</v>
      </c>
      <c r="H145" s="2">
        <v>310.16000000000003</v>
      </c>
      <c r="I145" t="s">
        <v>15</v>
      </c>
      <c r="J145" s="2">
        <v>2497</v>
      </c>
      <c r="K145" s="2">
        <v>7</v>
      </c>
    </row>
    <row r="146" spans="1:11" x14ac:dyDescent="0.25">
      <c r="A146" t="s">
        <v>192</v>
      </c>
      <c r="B146" t="s">
        <v>49</v>
      </c>
      <c r="C146" t="s">
        <v>31</v>
      </c>
      <c r="D146" t="s">
        <v>59</v>
      </c>
      <c r="E146" s="1">
        <v>45051</v>
      </c>
      <c r="F146" s="1">
        <v>45053</v>
      </c>
      <c r="G146" s="2">
        <v>19.2</v>
      </c>
      <c r="H146" s="2">
        <v>81.430000000000007</v>
      </c>
      <c r="I146" t="s">
        <v>15</v>
      </c>
      <c r="J146" s="2">
        <v>510</v>
      </c>
      <c r="K146" s="2">
        <v>2</v>
      </c>
    </row>
    <row r="147" spans="1:11" x14ac:dyDescent="0.25">
      <c r="A147" t="s">
        <v>193</v>
      </c>
      <c r="B147" t="s">
        <v>39</v>
      </c>
      <c r="C147" t="s">
        <v>17</v>
      </c>
      <c r="D147" t="s">
        <v>14</v>
      </c>
      <c r="E147" s="1">
        <v>45110</v>
      </c>
      <c r="F147" s="1">
        <v>45117</v>
      </c>
      <c r="G147" s="2">
        <v>23.4</v>
      </c>
      <c r="H147" s="2">
        <v>142.13</v>
      </c>
      <c r="I147" t="s">
        <v>47</v>
      </c>
      <c r="J147" s="2">
        <v>800</v>
      </c>
      <c r="K147" s="2">
        <v>3</v>
      </c>
    </row>
    <row r="148" spans="1:11" x14ac:dyDescent="0.25">
      <c r="A148" t="s">
        <v>194</v>
      </c>
      <c r="B148" t="s">
        <v>23</v>
      </c>
      <c r="C148" t="s">
        <v>36</v>
      </c>
      <c r="D148" t="s">
        <v>59</v>
      </c>
      <c r="E148" s="1">
        <v>45150</v>
      </c>
      <c r="F148" s="1">
        <v>45155</v>
      </c>
      <c r="G148" s="2">
        <v>23.7</v>
      </c>
      <c r="I148" t="s">
        <v>15</v>
      </c>
      <c r="J148" s="2">
        <v>1459</v>
      </c>
      <c r="K148" s="2">
        <v>5</v>
      </c>
    </row>
    <row r="149" spans="1:11" x14ac:dyDescent="0.25">
      <c r="A149" t="s">
        <v>195</v>
      </c>
      <c r="B149" t="s">
        <v>30</v>
      </c>
      <c r="C149" t="s">
        <v>13</v>
      </c>
      <c r="D149" t="s">
        <v>14</v>
      </c>
      <c r="E149" s="1">
        <v>45121</v>
      </c>
      <c r="F149" s="1">
        <v>45126</v>
      </c>
      <c r="G149" s="2">
        <v>66.8</v>
      </c>
      <c r="H149" s="2">
        <v>336.2</v>
      </c>
      <c r="I149" t="s">
        <v>15</v>
      </c>
      <c r="J149" s="2">
        <v>2262</v>
      </c>
      <c r="K149" s="2">
        <v>5</v>
      </c>
    </row>
    <row r="150" spans="1:11" x14ac:dyDescent="0.25">
      <c r="A150" t="s">
        <v>196</v>
      </c>
      <c r="B150" t="s">
        <v>51</v>
      </c>
      <c r="C150" t="s">
        <v>57</v>
      </c>
      <c r="D150" t="s">
        <v>37</v>
      </c>
      <c r="E150" s="1">
        <v>45132</v>
      </c>
      <c r="F150" s="1">
        <v>45138</v>
      </c>
      <c r="G150" s="2">
        <v>25.8</v>
      </c>
      <c r="H150" s="2">
        <v>258.31</v>
      </c>
      <c r="I150" t="s">
        <v>15</v>
      </c>
      <c r="J150" s="2">
        <v>2078</v>
      </c>
      <c r="K150" s="2">
        <v>6</v>
      </c>
    </row>
    <row r="151" spans="1:11" x14ac:dyDescent="0.25">
      <c r="A151" t="s">
        <v>197</v>
      </c>
      <c r="B151" t="s">
        <v>20</v>
      </c>
      <c r="C151" t="s">
        <v>31</v>
      </c>
      <c r="D151" t="s">
        <v>18</v>
      </c>
      <c r="E151" s="1">
        <v>45068</v>
      </c>
      <c r="F151" s="1">
        <v>45084</v>
      </c>
      <c r="G151" s="2">
        <v>38.200000000000003</v>
      </c>
      <c r="H151" s="2">
        <v>151.35</v>
      </c>
      <c r="I151" t="s">
        <v>60</v>
      </c>
      <c r="J151" s="2">
        <v>775</v>
      </c>
      <c r="K151" s="2">
        <v>3</v>
      </c>
    </row>
    <row r="152" spans="1:11" x14ac:dyDescent="0.25">
      <c r="A152" t="s">
        <v>198</v>
      </c>
      <c r="B152" t="s">
        <v>27</v>
      </c>
      <c r="C152" t="s">
        <v>52</v>
      </c>
      <c r="D152" t="s">
        <v>42</v>
      </c>
      <c r="E152" s="1">
        <v>45073</v>
      </c>
      <c r="F152" s="1">
        <v>45078</v>
      </c>
      <c r="G152" s="2">
        <v>11.6</v>
      </c>
      <c r="H152" s="2">
        <v>278.85000000000002</v>
      </c>
      <c r="I152" t="s">
        <v>15</v>
      </c>
      <c r="J152" s="2">
        <v>2080</v>
      </c>
      <c r="K152" s="2">
        <v>5</v>
      </c>
    </row>
    <row r="153" spans="1:11" x14ac:dyDescent="0.25">
      <c r="A153" t="s">
        <v>199</v>
      </c>
      <c r="B153" t="s">
        <v>30</v>
      </c>
      <c r="C153" t="s">
        <v>13</v>
      </c>
      <c r="D153" t="s">
        <v>14</v>
      </c>
      <c r="E153" s="1">
        <v>45245</v>
      </c>
      <c r="F153" s="1">
        <v>45260</v>
      </c>
      <c r="G153" s="2">
        <v>21.8</v>
      </c>
      <c r="H153" s="2">
        <v>123.4</v>
      </c>
      <c r="I153" t="s">
        <v>47</v>
      </c>
      <c r="J153" s="2">
        <v>573</v>
      </c>
      <c r="K153" s="2">
        <v>2</v>
      </c>
    </row>
    <row r="154" spans="1:11" x14ac:dyDescent="0.25">
      <c r="A154" t="s">
        <v>200</v>
      </c>
      <c r="B154" t="s">
        <v>39</v>
      </c>
      <c r="C154" t="s">
        <v>24</v>
      </c>
      <c r="D154" t="s">
        <v>32</v>
      </c>
      <c r="E154" s="1">
        <v>45015</v>
      </c>
      <c r="F154" s="1">
        <v>45018</v>
      </c>
      <c r="G154" s="2">
        <v>11.5</v>
      </c>
      <c r="H154" s="2">
        <v>167.08</v>
      </c>
      <c r="I154" t="s">
        <v>15</v>
      </c>
      <c r="J154" s="2">
        <v>1125</v>
      </c>
      <c r="K154" s="2">
        <v>3</v>
      </c>
    </row>
    <row r="155" spans="1:11" x14ac:dyDescent="0.25">
      <c r="A155" t="s">
        <v>201</v>
      </c>
      <c r="B155" t="s">
        <v>12</v>
      </c>
      <c r="C155" t="s">
        <v>44</v>
      </c>
      <c r="D155" t="s">
        <v>42</v>
      </c>
      <c r="E155" s="1">
        <v>45232</v>
      </c>
      <c r="F155" s="1">
        <v>45247</v>
      </c>
      <c r="G155" s="2">
        <v>45</v>
      </c>
      <c r="H155" s="2">
        <v>118.74</v>
      </c>
      <c r="I155" t="s">
        <v>47</v>
      </c>
      <c r="J155" s="2">
        <v>382</v>
      </c>
      <c r="K155" s="2">
        <v>5</v>
      </c>
    </row>
    <row r="156" spans="1:11" x14ac:dyDescent="0.25">
      <c r="A156" t="s">
        <v>202</v>
      </c>
      <c r="B156" t="s">
        <v>12</v>
      </c>
      <c r="C156" t="s">
        <v>57</v>
      </c>
      <c r="D156" t="s">
        <v>18</v>
      </c>
      <c r="E156" s="1">
        <v>45061</v>
      </c>
      <c r="G156" s="2">
        <v>55.3</v>
      </c>
      <c r="H156" s="2">
        <v>362.11</v>
      </c>
      <c r="I156" t="s">
        <v>15</v>
      </c>
      <c r="J156" s="2">
        <v>2192</v>
      </c>
      <c r="K156" s="2">
        <v>6</v>
      </c>
    </row>
    <row r="157" spans="1:11" x14ac:dyDescent="0.25">
      <c r="A157" t="s">
        <v>203</v>
      </c>
      <c r="B157" t="s">
        <v>27</v>
      </c>
      <c r="C157" t="s">
        <v>24</v>
      </c>
      <c r="D157" t="s">
        <v>59</v>
      </c>
      <c r="E157" s="1">
        <v>45129</v>
      </c>
      <c r="F157" s="1">
        <v>45134</v>
      </c>
      <c r="G157" s="2">
        <v>12.2</v>
      </c>
      <c r="H157" s="2">
        <v>278.14999999999998</v>
      </c>
      <c r="I157" t="s">
        <v>15</v>
      </c>
      <c r="J157" s="2">
        <v>2161</v>
      </c>
      <c r="K157" s="2">
        <v>5</v>
      </c>
    </row>
    <row r="158" spans="1:11" x14ac:dyDescent="0.25">
      <c r="A158" t="s">
        <v>204</v>
      </c>
      <c r="B158" t="s">
        <v>20</v>
      </c>
      <c r="C158" t="s">
        <v>31</v>
      </c>
      <c r="D158" t="s">
        <v>32</v>
      </c>
      <c r="E158" s="1">
        <v>44992</v>
      </c>
      <c r="F158" s="1">
        <v>44997</v>
      </c>
      <c r="G158" s="2">
        <v>54.9</v>
      </c>
      <c r="H158" s="2">
        <v>332.76</v>
      </c>
      <c r="I158" t="s">
        <v>15</v>
      </c>
      <c r="J158" s="2">
        <v>2244</v>
      </c>
      <c r="K158" s="2">
        <v>5</v>
      </c>
    </row>
    <row r="159" spans="1:11" x14ac:dyDescent="0.25">
      <c r="A159" t="s">
        <v>205</v>
      </c>
      <c r="B159" t="s">
        <v>49</v>
      </c>
      <c r="C159" t="s">
        <v>24</v>
      </c>
      <c r="D159" t="s">
        <v>42</v>
      </c>
      <c r="E159" s="1">
        <v>45050</v>
      </c>
      <c r="F159" s="1">
        <v>45052</v>
      </c>
      <c r="G159" s="2">
        <v>11.9</v>
      </c>
      <c r="H159" s="2">
        <v>83.93</v>
      </c>
      <c r="I159" t="s">
        <v>15</v>
      </c>
      <c r="J159" s="2">
        <v>561</v>
      </c>
      <c r="K159" s="2">
        <v>2</v>
      </c>
    </row>
    <row r="160" spans="1:11" x14ac:dyDescent="0.25">
      <c r="A160" t="s">
        <v>206</v>
      </c>
      <c r="B160" t="s">
        <v>51</v>
      </c>
      <c r="C160" t="s">
        <v>52</v>
      </c>
      <c r="D160" t="s">
        <v>37</v>
      </c>
      <c r="E160" s="1">
        <v>45267</v>
      </c>
      <c r="F160" s="1">
        <v>45269</v>
      </c>
      <c r="G160" s="2">
        <v>11.5</v>
      </c>
      <c r="H160" s="2">
        <v>69.7</v>
      </c>
      <c r="I160" t="s">
        <v>15</v>
      </c>
      <c r="J160" s="2">
        <v>388</v>
      </c>
      <c r="K160" s="2">
        <v>2</v>
      </c>
    </row>
    <row r="161" spans="1:11" x14ac:dyDescent="0.25">
      <c r="A161" t="s">
        <v>207</v>
      </c>
      <c r="B161" t="s">
        <v>39</v>
      </c>
      <c r="C161" t="s">
        <v>36</v>
      </c>
      <c r="D161" t="s">
        <v>14</v>
      </c>
      <c r="E161" s="1">
        <v>45060</v>
      </c>
      <c r="F161" s="1">
        <v>45069</v>
      </c>
      <c r="G161" s="2">
        <v>32.200000000000003</v>
      </c>
      <c r="H161" s="2">
        <v>334.49</v>
      </c>
      <c r="I161" t="s">
        <v>15</v>
      </c>
      <c r="J161" s="2">
        <v>2453</v>
      </c>
      <c r="K161" s="2">
        <v>9</v>
      </c>
    </row>
    <row r="162" spans="1:11" x14ac:dyDescent="0.25">
      <c r="A162" t="s">
        <v>208</v>
      </c>
      <c r="B162" t="s">
        <v>20</v>
      </c>
      <c r="C162" t="s">
        <v>17</v>
      </c>
      <c r="D162" t="s">
        <v>14</v>
      </c>
      <c r="E162" s="1">
        <v>45242</v>
      </c>
      <c r="F162" s="1">
        <v>45246</v>
      </c>
      <c r="G162" s="2">
        <v>22.1</v>
      </c>
      <c r="H162" s="2">
        <v>169.82</v>
      </c>
      <c r="I162" t="s">
        <v>15</v>
      </c>
      <c r="J162" s="2">
        <v>821</v>
      </c>
      <c r="K162" s="2">
        <v>4</v>
      </c>
    </row>
    <row r="163" spans="1:11" x14ac:dyDescent="0.25">
      <c r="A163" t="s">
        <v>209</v>
      </c>
      <c r="B163" t="s">
        <v>39</v>
      </c>
      <c r="C163" t="s">
        <v>44</v>
      </c>
      <c r="D163" t="s">
        <v>42</v>
      </c>
      <c r="E163" s="1">
        <v>45188</v>
      </c>
      <c r="F163" s="1">
        <v>45192</v>
      </c>
      <c r="G163" s="2">
        <v>23.8</v>
      </c>
      <c r="H163" s="2">
        <v>206.9</v>
      </c>
      <c r="I163" t="s">
        <v>15</v>
      </c>
      <c r="J163" s="2">
        <v>1566</v>
      </c>
      <c r="K163" s="2">
        <v>4</v>
      </c>
    </row>
    <row r="164" spans="1:11" x14ac:dyDescent="0.25">
      <c r="A164" t="s">
        <v>210</v>
      </c>
      <c r="B164" t="s">
        <v>23</v>
      </c>
      <c r="C164" t="s">
        <v>21</v>
      </c>
      <c r="D164" t="s">
        <v>59</v>
      </c>
      <c r="E164" s="1">
        <v>44999</v>
      </c>
      <c r="F164" s="1">
        <v>45001</v>
      </c>
      <c r="G164" s="2">
        <v>22.1</v>
      </c>
      <c r="H164" s="2">
        <v>79.13</v>
      </c>
      <c r="I164" t="s">
        <v>15</v>
      </c>
      <c r="J164" s="2">
        <v>465</v>
      </c>
      <c r="K164" s="2">
        <v>2</v>
      </c>
    </row>
    <row r="165" spans="1:11" x14ac:dyDescent="0.25">
      <c r="A165" t="s">
        <v>211</v>
      </c>
      <c r="B165" t="s">
        <v>35</v>
      </c>
      <c r="C165" t="s">
        <v>54</v>
      </c>
      <c r="D165" t="s">
        <v>37</v>
      </c>
      <c r="E165" s="1">
        <v>45216</v>
      </c>
      <c r="F165" s="1">
        <v>45220</v>
      </c>
      <c r="G165" s="2">
        <v>19.7</v>
      </c>
      <c r="H165" s="2">
        <v>196.56</v>
      </c>
      <c r="I165" t="s">
        <v>15</v>
      </c>
      <c r="J165" s="2">
        <v>1350</v>
      </c>
      <c r="K165" s="2">
        <v>4</v>
      </c>
    </row>
    <row r="166" spans="1:11" x14ac:dyDescent="0.25">
      <c r="A166" t="s">
        <v>212</v>
      </c>
      <c r="B166" t="s">
        <v>35</v>
      </c>
      <c r="C166" t="s">
        <v>17</v>
      </c>
      <c r="D166" t="s">
        <v>59</v>
      </c>
      <c r="E166" s="1">
        <v>45188</v>
      </c>
      <c r="F166" s="1">
        <v>45190</v>
      </c>
      <c r="G166" s="2">
        <v>14.6</v>
      </c>
      <c r="H166" s="2">
        <v>94.67</v>
      </c>
      <c r="I166" t="s">
        <v>15</v>
      </c>
      <c r="J166" s="2">
        <v>648</v>
      </c>
      <c r="K166" s="2">
        <v>2</v>
      </c>
    </row>
    <row r="167" spans="1:11" x14ac:dyDescent="0.25">
      <c r="A167" t="s">
        <v>213</v>
      </c>
      <c r="B167" t="s">
        <v>20</v>
      </c>
      <c r="C167" t="s">
        <v>81</v>
      </c>
      <c r="D167" t="s">
        <v>25</v>
      </c>
      <c r="E167" s="1">
        <v>45249</v>
      </c>
      <c r="F167" s="1">
        <v>45251</v>
      </c>
      <c r="G167" s="2">
        <v>23.3</v>
      </c>
      <c r="H167" s="2">
        <v>117.91</v>
      </c>
      <c r="I167" t="s">
        <v>15</v>
      </c>
      <c r="J167" s="2">
        <v>586</v>
      </c>
      <c r="K167" s="2">
        <v>2</v>
      </c>
    </row>
    <row r="168" spans="1:11" x14ac:dyDescent="0.25">
      <c r="A168" t="s">
        <v>214</v>
      </c>
      <c r="B168" t="s">
        <v>49</v>
      </c>
      <c r="C168" t="s">
        <v>57</v>
      </c>
      <c r="D168" t="s">
        <v>32</v>
      </c>
      <c r="E168" s="1">
        <v>45052</v>
      </c>
      <c r="F168" s="1">
        <v>45057</v>
      </c>
      <c r="G168" s="2">
        <v>20.2</v>
      </c>
      <c r="H168" s="2">
        <v>309.57</v>
      </c>
      <c r="I168" t="s">
        <v>15</v>
      </c>
      <c r="J168" s="2">
        <v>1964</v>
      </c>
      <c r="K168" s="2">
        <v>5</v>
      </c>
    </row>
    <row r="169" spans="1:11" x14ac:dyDescent="0.25">
      <c r="A169" t="s">
        <v>215</v>
      </c>
      <c r="B169" t="s">
        <v>20</v>
      </c>
      <c r="C169" t="s">
        <v>54</v>
      </c>
      <c r="D169" t="s">
        <v>14</v>
      </c>
      <c r="E169" s="1">
        <v>45161</v>
      </c>
      <c r="F169" s="1">
        <v>45163</v>
      </c>
      <c r="G169" s="2">
        <v>5.7</v>
      </c>
      <c r="H169" s="2">
        <v>24.11</v>
      </c>
      <c r="I169" t="s">
        <v>15</v>
      </c>
      <c r="J169" s="2">
        <v>143</v>
      </c>
      <c r="K169" s="2">
        <v>2</v>
      </c>
    </row>
    <row r="170" spans="1:11" x14ac:dyDescent="0.25">
      <c r="A170" t="s">
        <v>216</v>
      </c>
      <c r="B170" t="s">
        <v>35</v>
      </c>
      <c r="C170" t="s">
        <v>21</v>
      </c>
      <c r="D170" t="s">
        <v>37</v>
      </c>
      <c r="E170" s="1">
        <v>45132</v>
      </c>
      <c r="F170" s="1">
        <v>45136</v>
      </c>
      <c r="G170" s="2">
        <v>7.5</v>
      </c>
      <c r="H170" s="2">
        <v>157.13</v>
      </c>
      <c r="I170" t="s">
        <v>15</v>
      </c>
      <c r="J170" s="2">
        <v>1262</v>
      </c>
      <c r="K170" s="2">
        <v>4</v>
      </c>
    </row>
    <row r="171" spans="1:11" x14ac:dyDescent="0.25">
      <c r="A171" t="s">
        <v>217</v>
      </c>
      <c r="B171" t="s">
        <v>56</v>
      </c>
      <c r="C171" t="s">
        <v>52</v>
      </c>
      <c r="D171" t="s">
        <v>32</v>
      </c>
      <c r="E171" s="1">
        <v>45170</v>
      </c>
      <c r="F171" s="1">
        <v>45175</v>
      </c>
      <c r="G171" s="2">
        <v>84.2</v>
      </c>
      <c r="H171" s="2">
        <v>414.53</v>
      </c>
      <c r="I171" t="s">
        <v>15</v>
      </c>
      <c r="J171" s="2">
        <v>2302</v>
      </c>
      <c r="K171" s="2">
        <v>5</v>
      </c>
    </row>
    <row r="172" spans="1:11" x14ac:dyDescent="0.25">
      <c r="A172" t="s">
        <v>218</v>
      </c>
      <c r="B172" t="s">
        <v>12</v>
      </c>
      <c r="C172" t="s">
        <v>17</v>
      </c>
      <c r="D172" t="s">
        <v>59</v>
      </c>
      <c r="E172" s="1">
        <v>45194</v>
      </c>
      <c r="F172" s="1">
        <v>45197</v>
      </c>
      <c r="G172" s="2">
        <v>18.2</v>
      </c>
      <c r="H172" s="2">
        <v>103.05</v>
      </c>
      <c r="I172" t="s">
        <v>15</v>
      </c>
      <c r="J172" s="2">
        <v>679</v>
      </c>
      <c r="K172" s="2">
        <v>3</v>
      </c>
    </row>
    <row r="173" spans="1:11" x14ac:dyDescent="0.25">
      <c r="A173" t="s">
        <v>219</v>
      </c>
      <c r="B173" t="s">
        <v>20</v>
      </c>
      <c r="C173" t="s">
        <v>44</v>
      </c>
      <c r="D173" t="s">
        <v>37</v>
      </c>
      <c r="E173" s="1">
        <v>45184</v>
      </c>
      <c r="F173" s="1">
        <v>45186</v>
      </c>
      <c r="G173" s="2">
        <v>12.9</v>
      </c>
      <c r="H173" s="2">
        <v>114.88</v>
      </c>
      <c r="I173" t="s">
        <v>15</v>
      </c>
      <c r="J173" s="2">
        <v>755</v>
      </c>
      <c r="K173" s="2">
        <v>2</v>
      </c>
    </row>
    <row r="174" spans="1:11" x14ac:dyDescent="0.25">
      <c r="A174" t="s">
        <v>220</v>
      </c>
      <c r="B174" t="s">
        <v>49</v>
      </c>
      <c r="C174" t="s">
        <v>31</v>
      </c>
      <c r="D174" t="s">
        <v>37</v>
      </c>
      <c r="E174" s="1">
        <v>45039</v>
      </c>
      <c r="F174" s="1">
        <v>45047</v>
      </c>
      <c r="G174" s="2">
        <v>35.1</v>
      </c>
      <c r="H174" s="2">
        <v>272.06</v>
      </c>
      <c r="I174" t="s">
        <v>15</v>
      </c>
      <c r="J174" s="2">
        <v>2056</v>
      </c>
      <c r="K174" s="2">
        <v>8</v>
      </c>
    </row>
    <row r="175" spans="1:11" x14ac:dyDescent="0.25">
      <c r="A175" t="s">
        <v>221</v>
      </c>
      <c r="B175" t="s">
        <v>12</v>
      </c>
      <c r="C175" t="s">
        <v>40</v>
      </c>
      <c r="D175" t="s">
        <v>14</v>
      </c>
      <c r="E175" s="1">
        <v>45135</v>
      </c>
      <c r="F175" s="1">
        <v>45139</v>
      </c>
      <c r="G175" s="2">
        <v>6.6</v>
      </c>
      <c r="H175" s="2">
        <v>156.36000000000001</v>
      </c>
      <c r="I175" t="s">
        <v>62</v>
      </c>
      <c r="J175" s="2">
        <v>1222</v>
      </c>
      <c r="K175" s="2">
        <v>4</v>
      </c>
    </row>
    <row r="176" spans="1:11" x14ac:dyDescent="0.25">
      <c r="A176" t="s">
        <v>222</v>
      </c>
      <c r="B176" t="s">
        <v>20</v>
      </c>
      <c r="C176" t="s">
        <v>21</v>
      </c>
      <c r="D176" t="s">
        <v>32</v>
      </c>
      <c r="E176" s="1">
        <v>44931</v>
      </c>
      <c r="F176" s="1">
        <v>44949</v>
      </c>
      <c r="G176" s="2">
        <v>11.5</v>
      </c>
      <c r="H176" s="2">
        <v>244.22</v>
      </c>
      <c r="I176" t="s">
        <v>47</v>
      </c>
      <c r="J176" s="2">
        <v>1814</v>
      </c>
      <c r="K176" s="2">
        <v>8</v>
      </c>
    </row>
    <row r="177" spans="1:11" x14ac:dyDescent="0.25">
      <c r="A177" t="s">
        <v>223</v>
      </c>
      <c r="B177" t="s">
        <v>12</v>
      </c>
      <c r="C177" t="s">
        <v>57</v>
      </c>
      <c r="D177" t="s">
        <v>59</v>
      </c>
      <c r="E177" s="1">
        <v>45126</v>
      </c>
      <c r="F177" s="1">
        <v>45132</v>
      </c>
      <c r="G177" s="2">
        <v>11.6</v>
      </c>
      <c r="H177" s="2">
        <v>184.5</v>
      </c>
      <c r="I177" t="s">
        <v>15</v>
      </c>
      <c r="J177" s="2">
        <v>1454</v>
      </c>
      <c r="K177" s="2">
        <v>6</v>
      </c>
    </row>
    <row r="178" spans="1:11" x14ac:dyDescent="0.25">
      <c r="A178" t="s">
        <v>224</v>
      </c>
      <c r="B178" t="s">
        <v>51</v>
      </c>
      <c r="C178" t="s">
        <v>54</v>
      </c>
      <c r="D178" t="s">
        <v>59</v>
      </c>
      <c r="E178" s="1">
        <v>45094</v>
      </c>
      <c r="F178" s="1">
        <v>45096</v>
      </c>
      <c r="G178" s="2">
        <v>105</v>
      </c>
      <c r="H178" s="2">
        <v>180.26</v>
      </c>
      <c r="I178" t="s">
        <v>67</v>
      </c>
      <c r="J178" s="2">
        <v>543</v>
      </c>
      <c r="K178" s="2">
        <v>2</v>
      </c>
    </row>
    <row r="179" spans="1:11" x14ac:dyDescent="0.25">
      <c r="A179" t="s">
        <v>225</v>
      </c>
      <c r="B179" t="s">
        <v>23</v>
      </c>
      <c r="C179" t="s">
        <v>17</v>
      </c>
      <c r="D179" t="s">
        <v>18</v>
      </c>
      <c r="E179" s="1">
        <v>45137</v>
      </c>
      <c r="F179" s="1">
        <v>45140</v>
      </c>
      <c r="G179" s="2">
        <v>13.8</v>
      </c>
      <c r="H179" s="2">
        <v>167.23</v>
      </c>
      <c r="I179" t="s">
        <v>15</v>
      </c>
      <c r="J179" s="2">
        <v>1142</v>
      </c>
      <c r="K179" s="2">
        <v>3</v>
      </c>
    </row>
    <row r="180" spans="1:11" x14ac:dyDescent="0.25">
      <c r="A180" t="s">
        <v>226</v>
      </c>
      <c r="B180" t="s">
        <v>12</v>
      </c>
      <c r="C180" t="s">
        <v>36</v>
      </c>
      <c r="D180" t="s">
        <v>32</v>
      </c>
      <c r="E180" s="1">
        <v>45084</v>
      </c>
      <c r="F180" s="1">
        <v>45087</v>
      </c>
      <c r="G180" s="2">
        <v>14.1</v>
      </c>
      <c r="H180" s="2">
        <v>137.25</v>
      </c>
      <c r="I180" t="s">
        <v>15</v>
      </c>
      <c r="J180" s="2">
        <v>810</v>
      </c>
      <c r="K180" s="2">
        <v>3</v>
      </c>
    </row>
    <row r="181" spans="1:11" x14ac:dyDescent="0.25">
      <c r="A181" t="s">
        <v>227</v>
      </c>
      <c r="B181" t="s">
        <v>35</v>
      </c>
      <c r="C181" t="s">
        <v>36</v>
      </c>
      <c r="D181" t="s">
        <v>37</v>
      </c>
      <c r="E181" s="1">
        <v>45152</v>
      </c>
      <c r="F181" s="1">
        <v>45165</v>
      </c>
      <c r="G181" s="2">
        <v>30.3</v>
      </c>
      <c r="H181" s="2">
        <v>154.16</v>
      </c>
      <c r="I181" t="s">
        <v>47</v>
      </c>
      <c r="J181" s="2">
        <v>1081</v>
      </c>
      <c r="K181" s="2">
        <v>3</v>
      </c>
    </row>
    <row r="182" spans="1:11" x14ac:dyDescent="0.25">
      <c r="A182" t="s">
        <v>228</v>
      </c>
      <c r="B182" t="s">
        <v>56</v>
      </c>
      <c r="C182" t="s">
        <v>52</v>
      </c>
      <c r="D182" t="s">
        <v>37</v>
      </c>
      <c r="E182" s="1">
        <v>44947</v>
      </c>
      <c r="F182" s="1">
        <v>44948</v>
      </c>
      <c r="G182" s="2">
        <v>19.399999999999999</v>
      </c>
      <c r="H182" s="2">
        <v>40.24</v>
      </c>
      <c r="I182" t="s">
        <v>15</v>
      </c>
      <c r="J182" s="2">
        <v>152</v>
      </c>
      <c r="K182" s="2">
        <v>1</v>
      </c>
    </row>
    <row r="183" spans="1:11" x14ac:dyDescent="0.25">
      <c r="A183" t="s">
        <v>229</v>
      </c>
      <c r="B183" t="s">
        <v>51</v>
      </c>
      <c r="C183" t="s">
        <v>52</v>
      </c>
      <c r="D183" t="s">
        <v>18</v>
      </c>
      <c r="E183" s="1">
        <v>45184</v>
      </c>
      <c r="F183" s="1">
        <v>45189</v>
      </c>
      <c r="G183" s="2">
        <v>10</v>
      </c>
      <c r="H183" s="2">
        <v>156.13</v>
      </c>
      <c r="I183" t="s">
        <v>15</v>
      </c>
      <c r="J183" s="2">
        <v>1120</v>
      </c>
      <c r="K183" s="2">
        <v>5</v>
      </c>
    </row>
    <row r="184" spans="1:11" x14ac:dyDescent="0.25">
      <c r="A184" t="s">
        <v>230</v>
      </c>
      <c r="B184" t="s">
        <v>49</v>
      </c>
      <c r="C184" t="s">
        <v>36</v>
      </c>
      <c r="D184" t="s">
        <v>37</v>
      </c>
      <c r="E184" s="1">
        <v>44927</v>
      </c>
      <c r="F184" s="1">
        <v>44936</v>
      </c>
      <c r="G184" s="2">
        <v>22.8</v>
      </c>
      <c r="H184" s="2">
        <v>319.99</v>
      </c>
      <c r="I184" t="s">
        <v>15</v>
      </c>
      <c r="J184" s="2">
        <v>2327</v>
      </c>
      <c r="K184" s="2">
        <v>9</v>
      </c>
    </row>
    <row r="185" spans="1:11" x14ac:dyDescent="0.25">
      <c r="A185" t="s">
        <v>231</v>
      </c>
      <c r="B185" t="s">
        <v>39</v>
      </c>
      <c r="C185" t="s">
        <v>28</v>
      </c>
      <c r="D185" t="s">
        <v>37</v>
      </c>
      <c r="E185" s="1">
        <v>45193</v>
      </c>
      <c r="F185" s="1">
        <v>45205</v>
      </c>
      <c r="G185" s="2">
        <v>7.1</v>
      </c>
      <c r="I185" t="s">
        <v>47</v>
      </c>
      <c r="J185" s="2">
        <v>1376</v>
      </c>
      <c r="K185" s="2">
        <v>5</v>
      </c>
    </row>
    <row r="186" spans="1:11" x14ac:dyDescent="0.25">
      <c r="A186" t="s">
        <v>232</v>
      </c>
      <c r="B186" t="s">
        <v>27</v>
      </c>
      <c r="C186" t="s">
        <v>21</v>
      </c>
      <c r="D186" t="s">
        <v>37</v>
      </c>
      <c r="E186" s="1">
        <v>45255</v>
      </c>
      <c r="F186" s="1">
        <v>45260</v>
      </c>
      <c r="G186" s="2">
        <v>17.5</v>
      </c>
      <c r="H186" s="2">
        <v>347.71</v>
      </c>
      <c r="I186" t="s">
        <v>15</v>
      </c>
      <c r="J186" s="2">
        <v>2380</v>
      </c>
      <c r="K186" s="2">
        <v>5</v>
      </c>
    </row>
    <row r="187" spans="1:11" x14ac:dyDescent="0.25">
      <c r="A187" t="s">
        <v>233</v>
      </c>
      <c r="B187" t="s">
        <v>20</v>
      </c>
      <c r="C187" t="s">
        <v>57</v>
      </c>
      <c r="D187" t="s">
        <v>42</v>
      </c>
      <c r="E187" s="1">
        <v>45189</v>
      </c>
      <c r="F187" s="1">
        <v>45193</v>
      </c>
      <c r="G187" s="2">
        <v>25.6</v>
      </c>
      <c r="H187" s="2">
        <v>108.01</v>
      </c>
      <c r="I187" t="s">
        <v>15</v>
      </c>
      <c r="J187" s="2">
        <v>694</v>
      </c>
      <c r="K187" s="2">
        <v>4</v>
      </c>
    </row>
    <row r="188" spans="1:11" x14ac:dyDescent="0.25">
      <c r="A188" t="s">
        <v>234</v>
      </c>
      <c r="B188" t="s">
        <v>39</v>
      </c>
      <c r="C188" t="s">
        <v>31</v>
      </c>
      <c r="D188" t="s">
        <v>32</v>
      </c>
      <c r="E188" s="1">
        <v>45111</v>
      </c>
      <c r="F188" s="1">
        <v>45115</v>
      </c>
      <c r="G188" s="2">
        <v>19.600000000000001</v>
      </c>
      <c r="H188" s="2">
        <v>261.42</v>
      </c>
      <c r="I188" t="s">
        <v>15</v>
      </c>
      <c r="J188" s="2">
        <v>1791</v>
      </c>
      <c r="K188" s="2">
        <v>4</v>
      </c>
    </row>
    <row r="189" spans="1:11" x14ac:dyDescent="0.25">
      <c r="A189" t="s">
        <v>235</v>
      </c>
      <c r="B189" t="s">
        <v>20</v>
      </c>
      <c r="C189" t="s">
        <v>31</v>
      </c>
      <c r="D189" t="s">
        <v>25</v>
      </c>
      <c r="E189" s="1">
        <v>45046</v>
      </c>
      <c r="F189" s="1">
        <v>45048</v>
      </c>
      <c r="G189" s="2">
        <v>15.7</v>
      </c>
      <c r="H189" s="2">
        <v>67.25</v>
      </c>
      <c r="I189" t="s">
        <v>15</v>
      </c>
      <c r="J189" s="2">
        <v>411</v>
      </c>
      <c r="K189" s="2">
        <v>2</v>
      </c>
    </row>
    <row r="190" spans="1:11" x14ac:dyDescent="0.25">
      <c r="A190" t="s">
        <v>236</v>
      </c>
      <c r="B190" t="s">
        <v>49</v>
      </c>
      <c r="C190" t="s">
        <v>13</v>
      </c>
      <c r="D190" t="s">
        <v>25</v>
      </c>
      <c r="E190" s="1">
        <v>45280</v>
      </c>
      <c r="F190" s="1">
        <v>45286</v>
      </c>
      <c r="G190" s="2">
        <v>7.5</v>
      </c>
      <c r="H190" s="2">
        <v>158.02000000000001</v>
      </c>
      <c r="I190" t="s">
        <v>15</v>
      </c>
      <c r="J190" s="2">
        <v>1073</v>
      </c>
      <c r="K190" s="2">
        <v>6</v>
      </c>
    </row>
    <row r="191" spans="1:11" x14ac:dyDescent="0.25">
      <c r="A191" t="s">
        <v>237</v>
      </c>
      <c r="B191" t="s">
        <v>12</v>
      </c>
      <c r="C191" t="s">
        <v>57</v>
      </c>
      <c r="D191" t="s">
        <v>32</v>
      </c>
      <c r="E191" s="1">
        <v>45136</v>
      </c>
      <c r="F191" s="1">
        <v>45140</v>
      </c>
      <c r="G191" s="2">
        <v>23.5</v>
      </c>
      <c r="H191" s="2">
        <v>261.49</v>
      </c>
      <c r="I191" t="s">
        <v>15</v>
      </c>
      <c r="J191" s="2">
        <v>1634</v>
      </c>
      <c r="K191" s="2">
        <v>4</v>
      </c>
    </row>
    <row r="192" spans="1:11" x14ac:dyDescent="0.25">
      <c r="A192" t="s">
        <v>238</v>
      </c>
      <c r="B192" t="s">
        <v>23</v>
      </c>
      <c r="C192" t="s">
        <v>13</v>
      </c>
      <c r="D192" t="s">
        <v>59</v>
      </c>
      <c r="E192" s="1">
        <v>44976</v>
      </c>
      <c r="F192" s="1">
        <v>44982</v>
      </c>
      <c r="G192" s="2">
        <v>4.5</v>
      </c>
      <c r="H192" s="2">
        <v>277.56</v>
      </c>
      <c r="I192" t="s">
        <v>15</v>
      </c>
      <c r="J192" s="2">
        <v>2411</v>
      </c>
      <c r="K192" s="2">
        <v>6</v>
      </c>
    </row>
    <row r="193" spans="1:11" x14ac:dyDescent="0.25">
      <c r="A193" t="s">
        <v>239</v>
      </c>
      <c r="B193" t="s">
        <v>49</v>
      </c>
      <c r="C193" t="s">
        <v>40</v>
      </c>
      <c r="D193" t="s">
        <v>14</v>
      </c>
      <c r="E193" s="1">
        <v>44987</v>
      </c>
      <c r="F193" s="1">
        <v>44995</v>
      </c>
      <c r="G193" s="2">
        <v>11.9</v>
      </c>
      <c r="I193" t="s">
        <v>15</v>
      </c>
      <c r="J193" s="2">
        <v>2481</v>
      </c>
      <c r="K193" s="2">
        <v>8</v>
      </c>
    </row>
    <row r="194" spans="1:11" x14ac:dyDescent="0.25">
      <c r="A194" t="s">
        <v>240</v>
      </c>
      <c r="B194" t="s">
        <v>49</v>
      </c>
      <c r="C194" t="s">
        <v>40</v>
      </c>
      <c r="D194" t="s">
        <v>32</v>
      </c>
      <c r="E194" s="1">
        <v>45270</v>
      </c>
      <c r="F194" s="1">
        <v>45275</v>
      </c>
      <c r="G194" s="2">
        <v>26.5</v>
      </c>
      <c r="H194" s="2">
        <v>345.27</v>
      </c>
      <c r="I194" t="s">
        <v>15</v>
      </c>
      <c r="J194" s="2">
        <v>2052</v>
      </c>
      <c r="K194" s="2">
        <v>5</v>
      </c>
    </row>
    <row r="195" spans="1:11" x14ac:dyDescent="0.25">
      <c r="A195" t="s">
        <v>241</v>
      </c>
      <c r="B195" t="s">
        <v>51</v>
      </c>
      <c r="C195" t="s">
        <v>28</v>
      </c>
      <c r="D195" t="s">
        <v>42</v>
      </c>
      <c r="E195" s="1">
        <v>45236</v>
      </c>
      <c r="F195" s="1">
        <v>45244</v>
      </c>
      <c r="G195" s="2">
        <v>12.8</v>
      </c>
      <c r="H195" s="2">
        <v>378.16</v>
      </c>
      <c r="I195" t="s">
        <v>15</v>
      </c>
      <c r="J195" s="2">
        <v>2465</v>
      </c>
      <c r="K195" s="2">
        <v>8</v>
      </c>
    </row>
    <row r="196" spans="1:11" x14ac:dyDescent="0.25">
      <c r="A196" t="s">
        <v>242</v>
      </c>
      <c r="B196" t="s">
        <v>20</v>
      </c>
      <c r="C196" t="s">
        <v>44</v>
      </c>
      <c r="D196" t="s">
        <v>18</v>
      </c>
      <c r="E196" s="1">
        <v>44976</v>
      </c>
      <c r="F196" s="1">
        <v>44981</v>
      </c>
      <c r="G196" s="2">
        <v>29.3</v>
      </c>
      <c r="H196" s="2">
        <v>206.8</v>
      </c>
      <c r="I196" t="s">
        <v>15</v>
      </c>
      <c r="J196" s="2">
        <v>1213</v>
      </c>
      <c r="K196" s="2">
        <v>5</v>
      </c>
    </row>
    <row r="197" spans="1:11" x14ac:dyDescent="0.25">
      <c r="A197" t="s">
        <v>243</v>
      </c>
      <c r="B197" t="s">
        <v>20</v>
      </c>
      <c r="C197" t="s">
        <v>21</v>
      </c>
      <c r="D197" t="s">
        <v>42</v>
      </c>
      <c r="E197" s="1">
        <v>45060</v>
      </c>
      <c r="F197" s="1">
        <v>45064</v>
      </c>
      <c r="G197" s="2">
        <v>15.5</v>
      </c>
      <c r="H197" s="2">
        <v>174.55</v>
      </c>
      <c r="I197" t="s">
        <v>15</v>
      </c>
      <c r="J197" s="2">
        <v>1247</v>
      </c>
      <c r="K197" s="2">
        <v>4</v>
      </c>
    </row>
    <row r="198" spans="1:11" x14ac:dyDescent="0.25">
      <c r="A198" t="s">
        <v>244</v>
      </c>
      <c r="B198" t="s">
        <v>27</v>
      </c>
      <c r="C198" t="s">
        <v>31</v>
      </c>
      <c r="D198" t="s">
        <v>25</v>
      </c>
      <c r="E198" s="1">
        <v>45215</v>
      </c>
      <c r="F198" s="1">
        <v>45221</v>
      </c>
      <c r="G198" s="2">
        <v>19</v>
      </c>
      <c r="H198" s="2">
        <v>321.04000000000002</v>
      </c>
      <c r="I198" t="s">
        <v>60</v>
      </c>
      <c r="J198" s="2">
        <v>2278</v>
      </c>
      <c r="K198" s="2">
        <v>6</v>
      </c>
    </row>
    <row r="199" spans="1:11" x14ac:dyDescent="0.25">
      <c r="A199" t="s">
        <v>245</v>
      </c>
      <c r="B199" t="s">
        <v>23</v>
      </c>
      <c r="C199" t="s">
        <v>13</v>
      </c>
      <c r="D199" t="s">
        <v>59</v>
      </c>
      <c r="E199" s="1">
        <v>45076</v>
      </c>
      <c r="F199" s="1">
        <v>45084</v>
      </c>
      <c r="G199" s="2">
        <v>15.3</v>
      </c>
      <c r="H199" s="2">
        <v>300.44</v>
      </c>
      <c r="I199" t="s">
        <v>47</v>
      </c>
      <c r="J199" s="2">
        <v>2406</v>
      </c>
      <c r="K199" s="2">
        <v>7</v>
      </c>
    </row>
    <row r="200" spans="1:11" x14ac:dyDescent="0.25">
      <c r="A200" t="s">
        <v>246</v>
      </c>
      <c r="B200" t="s">
        <v>23</v>
      </c>
      <c r="C200" t="s">
        <v>81</v>
      </c>
      <c r="D200" t="s">
        <v>14</v>
      </c>
      <c r="E200" s="1">
        <v>45122</v>
      </c>
      <c r="F200" s="1">
        <v>45126</v>
      </c>
      <c r="G200" s="2">
        <v>4.2</v>
      </c>
      <c r="H200" s="2">
        <v>208.73</v>
      </c>
      <c r="I200" t="s">
        <v>15</v>
      </c>
      <c r="J200" s="2">
        <v>1596</v>
      </c>
      <c r="K200" s="2">
        <v>4</v>
      </c>
    </row>
    <row r="201" spans="1:11" x14ac:dyDescent="0.25">
      <c r="A201" t="s">
        <v>247</v>
      </c>
      <c r="B201" t="s">
        <v>39</v>
      </c>
      <c r="C201" t="s">
        <v>13</v>
      </c>
      <c r="D201" t="s">
        <v>25</v>
      </c>
      <c r="E201" s="1">
        <v>44957</v>
      </c>
      <c r="F201" s="1">
        <v>44960</v>
      </c>
      <c r="G201" s="2">
        <v>20.100000000000001</v>
      </c>
      <c r="H201" s="2">
        <v>169.98</v>
      </c>
      <c r="I201" t="s">
        <v>15</v>
      </c>
      <c r="J201" s="2">
        <v>1108</v>
      </c>
      <c r="K201" s="2">
        <v>3</v>
      </c>
    </row>
    <row r="202" spans="1:11" x14ac:dyDescent="0.25">
      <c r="A202" t="s">
        <v>248</v>
      </c>
      <c r="B202" t="s">
        <v>20</v>
      </c>
      <c r="C202" t="s">
        <v>36</v>
      </c>
      <c r="D202" t="s">
        <v>42</v>
      </c>
      <c r="E202" s="1">
        <v>45288</v>
      </c>
      <c r="F202" s="1">
        <v>45294</v>
      </c>
      <c r="G202" s="2">
        <v>9.6</v>
      </c>
      <c r="H202" s="2">
        <v>195.3</v>
      </c>
      <c r="I202" t="s">
        <v>15</v>
      </c>
      <c r="J202" s="2">
        <v>1380</v>
      </c>
      <c r="K202" s="2">
        <v>6</v>
      </c>
    </row>
    <row r="203" spans="1:11" x14ac:dyDescent="0.25">
      <c r="A203" t="s">
        <v>249</v>
      </c>
      <c r="B203" t="s">
        <v>56</v>
      </c>
      <c r="C203" t="s">
        <v>28</v>
      </c>
      <c r="D203" t="s">
        <v>14</v>
      </c>
      <c r="E203" s="1">
        <v>45013</v>
      </c>
      <c r="F203" s="1">
        <v>45018</v>
      </c>
      <c r="G203" s="2">
        <v>5.3</v>
      </c>
      <c r="H203" s="2">
        <v>197.9</v>
      </c>
      <c r="I203" t="s">
        <v>15</v>
      </c>
      <c r="J203" s="2">
        <v>1605</v>
      </c>
      <c r="K203" s="2">
        <v>5</v>
      </c>
    </row>
    <row r="204" spans="1:11" x14ac:dyDescent="0.25">
      <c r="A204" t="s">
        <v>250</v>
      </c>
      <c r="B204" t="s">
        <v>20</v>
      </c>
      <c r="C204" t="s">
        <v>17</v>
      </c>
      <c r="D204" t="s">
        <v>59</v>
      </c>
      <c r="E204" s="1">
        <v>45269</v>
      </c>
      <c r="F204" s="1">
        <v>45283</v>
      </c>
      <c r="G204" s="2">
        <v>10.8</v>
      </c>
      <c r="H204" s="2">
        <v>232.88</v>
      </c>
      <c r="I204" t="s">
        <v>47</v>
      </c>
      <c r="J204" s="2">
        <v>1504</v>
      </c>
      <c r="K204" s="2">
        <v>4</v>
      </c>
    </row>
    <row r="205" spans="1:11" x14ac:dyDescent="0.25">
      <c r="A205" t="s">
        <v>251</v>
      </c>
      <c r="B205" t="s">
        <v>27</v>
      </c>
      <c r="C205" t="s">
        <v>46</v>
      </c>
      <c r="D205" t="s">
        <v>18</v>
      </c>
      <c r="E205" s="1">
        <v>44957</v>
      </c>
      <c r="F205" s="1">
        <v>44962</v>
      </c>
      <c r="G205" s="2">
        <v>61.1</v>
      </c>
      <c r="H205" s="2">
        <v>350.67</v>
      </c>
      <c r="I205" t="s">
        <v>15</v>
      </c>
      <c r="J205" s="2">
        <v>2138</v>
      </c>
      <c r="K205" s="2">
        <v>5</v>
      </c>
    </row>
    <row r="206" spans="1:11" x14ac:dyDescent="0.25">
      <c r="A206" t="s">
        <v>252</v>
      </c>
      <c r="B206" t="s">
        <v>39</v>
      </c>
      <c r="C206" t="s">
        <v>31</v>
      </c>
      <c r="D206" t="s">
        <v>25</v>
      </c>
      <c r="E206" s="1">
        <v>45185</v>
      </c>
      <c r="F206" s="1">
        <v>45197</v>
      </c>
      <c r="G206" s="2">
        <v>20.100000000000001</v>
      </c>
      <c r="H206" s="2">
        <v>112.36</v>
      </c>
      <c r="I206" t="s">
        <v>47</v>
      </c>
      <c r="J206" s="2">
        <v>754</v>
      </c>
      <c r="K206" s="2">
        <v>3</v>
      </c>
    </row>
    <row r="207" spans="1:11" x14ac:dyDescent="0.25">
      <c r="A207" t="s">
        <v>253</v>
      </c>
      <c r="B207" t="s">
        <v>51</v>
      </c>
      <c r="C207" t="s">
        <v>70</v>
      </c>
      <c r="D207" t="s">
        <v>59</v>
      </c>
      <c r="E207" s="1">
        <v>45001</v>
      </c>
      <c r="G207" s="2">
        <v>27.9</v>
      </c>
      <c r="H207" s="2">
        <v>65.87</v>
      </c>
      <c r="I207" t="s">
        <v>15</v>
      </c>
      <c r="J207" s="2">
        <v>320</v>
      </c>
      <c r="K207" s="2">
        <v>2</v>
      </c>
    </row>
    <row r="208" spans="1:11" x14ac:dyDescent="0.25">
      <c r="A208" t="s">
        <v>254</v>
      </c>
      <c r="B208" t="s">
        <v>20</v>
      </c>
      <c r="C208" t="s">
        <v>21</v>
      </c>
      <c r="D208" t="s">
        <v>42</v>
      </c>
      <c r="E208" s="1">
        <v>45001</v>
      </c>
      <c r="F208" s="1">
        <v>45005</v>
      </c>
      <c r="G208" s="2">
        <v>22.8</v>
      </c>
      <c r="H208" s="2">
        <v>242.14</v>
      </c>
      <c r="I208" t="s">
        <v>15</v>
      </c>
      <c r="J208" s="2">
        <v>1657</v>
      </c>
      <c r="K208" s="2">
        <v>4</v>
      </c>
    </row>
    <row r="209" spans="1:11" x14ac:dyDescent="0.25">
      <c r="A209" t="s">
        <v>255</v>
      </c>
      <c r="B209" t="s">
        <v>12</v>
      </c>
      <c r="C209" t="s">
        <v>40</v>
      </c>
      <c r="D209" t="s">
        <v>18</v>
      </c>
      <c r="E209" s="1">
        <v>45233</v>
      </c>
      <c r="F209" s="1">
        <v>45237</v>
      </c>
      <c r="G209" s="2">
        <v>14.7</v>
      </c>
      <c r="H209" s="2">
        <v>285.58999999999997</v>
      </c>
      <c r="I209" t="s">
        <v>15</v>
      </c>
      <c r="J209" s="2">
        <v>1423</v>
      </c>
      <c r="K209" s="2">
        <v>4</v>
      </c>
    </row>
    <row r="210" spans="1:11" x14ac:dyDescent="0.25">
      <c r="A210" t="s">
        <v>256</v>
      </c>
      <c r="B210" t="s">
        <v>20</v>
      </c>
      <c r="C210" t="s">
        <v>24</v>
      </c>
      <c r="D210" t="s">
        <v>32</v>
      </c>
      <c r="E210" s="1">
        <v>45181</v>
      </c>
      <c r="F210" s="1">
        <v>45186</v>
      </c>
      <c r="G210" s="2">
        <v>32.1</v>
      </c>
      <c r="H210" s="2">
        <v>193.72</v>
      </c>
      <c r="I210" t="s">
        <v>15</v>
      </c>
      <c r="J210" s="2">
        <v>1135</v>
      </c>
      <c r="K210" s="2">
        <v>5</v>
      </c>
    </row>
    <row r="211" spans="1:11" x14ac:dyDescent="0.25">
      <c r="A211" t="s">
        <v>257</v>
      </c>
      <c r="B211" t="s">
        <v>23</v>
      </c>
      <c r="C211" t="s">
        <v>52</v>
      </c>
      <c r="D211" t="s">
        <v>18</v>
      </c>
      <c r="E211" s="1">
        <v>45064</v>
      </c>
      <c r="F211" s="1">
        <v>45081</v>
      </c>
      <c r="G211" s="2">
        <v>8.6999999999999993</v>
      </c>
      <c r="H211" s="2">
        <v>121.73</v>
      </c>
      <c r="I211" t="s">
        <v>47</v>
      </c>
      <c r="J211" s="2">
        <v>737</v>
      </c>
      <c r="K211" s="2">
        <v>4</v>
      </c>
    </row>
    <row r="212" spans="1:11" x14ac:dyDescent="0.25">
      <c r="A212" t="s">
        <v>258</v>
      </c>
      <c r="B212" t="s">
        <v>23</v>
      </c>
      <c r="C212" t="s">
        <v>40</v>
      </c>
      <c r="D212" t="s">
        <v>18</v>
      </c>
      <c r="E212" s="1">
        <v>45224</v>
      </c>
      <c r="F212" s="1">
        <v>45226</v>
      </c>
      <c r="G212" s="2">
        <v>33.700000000000003</v>
      </c>
      <c r="H212" s="2">
        <v>162.31</v>
      </c>
      <c r="I212" t="s">
        <v>15</v>
      </c>
      <c r="J212" s="2">
        <v>796</v>
      </c>
      <c r="K212" s="2">
        <v>2</v>
      </c>
    </row>
    <row r="213" spans="1:11" x14ac:dyDescent="0.25">
      <c r="A213" t="s">
        <v>259</v>
      </c>
      <c r="B213" t="s">
        <v>35</v>
      </c>
      <c r="C213" t="s">
        <v>44</v>
      </c>
      <c r="D213" t="s">
        <v>32</v>
      </c>
      <c r="E213" s="1">
        <v>45275</v>
      </c>
      <c r="F213" s="1">
        <v>45277</v>
      </c>
      <c r="G213" s="2">
        <v>28.8</v>
      </c>
      <c r="H213" s="2">
        <v>96.12</v>
      </c>
      <c r="I213" t="s">
        <v>15</v>
      </c>
      <c r="J213" s="2">
        <v>308</v>
      </c>
      <c r="K213" s="2">
        <v>2</v>
      </c>
    </row>
    <row r="214" spans="1:11" x14ac:dyDescent="0.25">
      <c r="A214" t="s">
        <v>260</v>
      </c>
      <c r="B214" t="s">
        <v>39</v>
      </c>
      <c r="C214" t="s">
        <v>13</v>
      </c>
      <c r="D214" t="s">
        <v>32</v>
      </c>
      <c r="E214" s="1">
        <v>45275</v>
      </c>
      <c r="F214" s="1">
        <v>45280</v>
      </c>
      <c r="G214" s="2">
        <v>9.1</v>
      </c>
      <c r="H214" s="2">
        <v>125.92</v>
      </c>
      <c r="I214" t="s">
        <v>67</v>
      </c>
      <c r="J214" s="2">
        <v>787</v>
      </c>
      <c r="K214" s="2">
        <v>5</v>
      </c>
    </row>
    <row r="215" spans="1:11" x14ac:dyDescent="0.25">
      <c r="A215" t="s">
        <v>261</v>
      </c>
      <c r="B215" t="s">
        <v>30</v>
      </c>
      <c r="C215" t="s">
        <v>81</v>
      </c>
      <c r="D215" t="s">
        <v>37</v>
      </c>
      <c r="E215" s="1">
        <v>45166</v>
      </c>
      <c r="F215" s="1">
        <v>45174</v>
      </c>
      <c r="G215" s="2">
        <v>28.5</v>
      </c>
      <c r="H215" s="2">
        <v>284.39999999999998</v>
      </c>
      <c r="I215" t="s">
        <v>15</v>
      </c>
      <c r="J215" s="2">
        <v>2074</v>
      </c>
      <c r="K215" s="2">
        <v>8</v>
      </c>
    </row>
    <row r="216" spans="1:11" x14ac:dyDescent="0.25">
      <c r="A216" t="s">
        <v>262</v>
      </c>
      <c r="B216" t="s">
        <v>39</v>
      </c>
      <c r="C216" t="s">
        <v>44</v>
      </c>
      <c r="D216" t="s">
        <v>18</v>
      </c>
      <c r="E216" s="1">
        <v>45191</v>
      </c>
      <c r="F216" s="1">
        <v>45196</v>
      </c>
      <c r="G216" s="2">
        <v>88</v>
      </c>
      <c r="H216" s="2">
        <v>297.27999999999997</v>
      </c>
      <c r="I216" t="s">
        <v>15</v>
      </c>
      <c r="J216" s="2">
        <v>1145</v>
      </c>
      <c r="K216" s="2">
        <v>5</v>
      </c>
    </row>
    <row r="217" spans="1:11" x14ac:dyDescent="0.25">
      <c r="A217" t="s">
        <v>263</v>
      </c>
      <c r="B217" t="s">
        <v>56</v>
      </c>
      <c r="C217" t="s">
        <v>57</v>
      </c>
      <c r="D217" t="s">
        <v>25</v>
      </c>
      <c r="E217" s="1">
        <v>45084</v>
      </c>
      <c r="F217" s="1">
        <v>45089</v>
      </c>
      <c r="G217" s="2">
        <v>21.9</v>
      </c>
      <c r="I217" t="s">
        <v>15</v>
      </c>
      <c r="J217" s="2">
        <v>1719</v>
      </c>
      <c r="K217" s="2">
        <v>5</v>
      </c>
    </row>
    <row r="218" spans="1:11" x14ac:dyDescent="0.25">
      <c r="A218" t="s">
        <v>264</v>
      </c>
      <c r="B218" t="s">
        <v>51</v>
      </c>
      <c r="C218" t="s">
        <v>70</v>
      </c>
      <c r="D218" t="s">
        <v>59</v>
      </c>
      <c r="E218" s="1">
        <v>45142</v>
      </c>
      <c r="F218" s="1">
        <v>45147</v>
      </c>
      <c r="G218" s="2">
        <v>24.1</v>
      </c>
      <c r="H218" s="2">
        <v>141.81</v>
      </c>
      <c r="I218" t="s">
        <v>15</v>
      </c>
      <c r="J218" s="2">
        <v>1082</v>
      </c>
      <c r="K218" s="2">
        <v>5</v>
      </c>
    </row>
    <row r="219" spans="1:11" x14ac:dyDescent="0.25">
      <c r="A219" t="s">
        <v>265</v>
      </c>
      <c r="B219" t="s">
        <v>30</v>
      </c>
      <c r="C219" t="s">
        <v>28</v>
      </c>
      <c r="D219" t="s">
        <v>32</v>
      </c>
      <c r="E219" s="1">
        <v>45283</v>
      </c>
      <c r="F219" s="1">
        <v>45286</v>
      </c>
      <c r="G219" s="2">
        <v>11.9</v>
      </c>
      <c r="H219" s="2">
        <v>192.63</v>
      </c>
      <c r="I219" t="s">
        <v>15</v>
      </c>
      <c r="J219" s="2">
        <v>1204</v>
      </c>
      <c r="K219" s="2">
        <v>3</v>
      </c>
    </row>
    <row r="220" spans="1:11" x14ac:dyDescent="0.25">
      <c r="A220" t="s">
        <v>266</v>
      </c>
      <c r="B220" t="s">
        <v>39</v>
      </c>
      <c r="C220" t="s">
        <v>81</v>
      </c>
      <c r="D220" t="s">
        <v>42</v>
      </c>
      <c r="E220" s="1">
        <v>45173</v>
      </c>
      <c r="F220" s="1">
        <v>45176</v>
      </c>
      <c r="G220" s="2">
        <v>17.899999999999999</v>
      </c>
      <c r="H220" s="2">
        <v>133.27000000000001</v>
      </c>
      <c r="I220" t="s">
        <v>15</v>
      </c>
      <c r="J220" s="2">
        <v>1030</v>
      </c>
      <c r="K220" s="2">
        <v>3</v>
      </c>
    </row>
    <row r="221" spans="1:11" x14ac:dyDescent="0.25">
      <c r="A221" t="s">
        <v>267</v>
      </c>
      <c r="B221" t="s">
        <v>23</v>
      </c>
      <c r="C221" t="s">
        <v>28</v>
      </c>
      <c r="D221" t="s">
        <v>37</v>
      </c>
      <c r="E221" s="1">
        <v>45064</v>
      </c>
      <c r="F221" s="1">
        <v>45066</v>
      </c>
      <c r="G221" s="2">
        <v>38.1</v>
      </c>
      <c r="H221" s="2">
        <v>120.04</v>
      </c>
      <c r="I221" t="s">
        <v>15</v>
      </c>
      <c r="J221" s="2">
        <v>603</v>
      </c>
      <c r="K221" s="2">
        <v>2</v>
      </c>
    </row>
    <row r="222" spans="1:11" x14ac:dyDescent="0.25">
      <c r="A222" t="s">
        <v>268</v>
      </c>
      <c r="B222" t="s">
        <v>30</v>
      </c>
      <c r="C222" t="s">
        <v>46</v>
      </c>
      <c r="D222" t="s">
        <v>14</v>
      </c>
      <c r="E222" s="1">
        <v>45121</v>
      </c>
      <c r="F222" s="1">
        <v>45126</v>
      </c>
      <c r="G222" s="2">
        <v>4.9000000000000004</v>
      </c>
      <c r="H222" s="2">
        <v>203.03</v>
      </c>
      <c r="I222" t="s">
        <v>15</v>
      </c>
      <c r="J222" s="2">
        <v>1660</v>
      </c>
      <c r="K222" s="2">
        <v>5</v>
      </c>
    </row>
    <row r="223" spans="1:11" x14ac:dyDescent="0.25">
      <c r="A223" t="s">
        <v>269</v>
      </c>
      <c r="B223" t="s">
        <v>35</v>
      </c>
      <c r="C223" t="s">
        <v>44</v>
      </c>
      <c r="D223" t="s">
        <v>32</v>
      </c>
      <c r="E223" s="1">
        <v>45175</v>
      </c>
      <c r="F223" s="1">
        <v>45178</v>
      </c>
      <c r="G223" s="2">
        <v>86.2</v>
      </c>
      <c r="H223" s="2">
        <v>210.89</v>
      </c>
      <c r="I223" t="s">
        <v>15</v>
      </c>
      <c r="J223" s="2">
        <v>862</v>
      </c>
      <c r="K223" s="2">
        <v>3</v>
      </c>
    </row>
    <row r="224" spans="1:11" x14ac:dyDescent="0.25">
      <c r="A224" t="s">
        <v>270</v>
      </c>
      <c r="B224" t="s">
        <v>35</v>
      </c>
      <c r="C224" t="s">
        <v>28</v>
      </c>
      <c r="D224" t="s">
        <v>14</v>
      </c>
      <c r="E224" s="1">
        <v>45105</v>
      </c>
      <c r="F224" s="1">
        <v>45110</v>
      </c>
      <c r="G224" s="2">
        <v>12.6</v>
      </c>
      <c r="H224" s="2">
        <v>176.77</v>
      </c>
      <c r="I224" t="s">
        <v>15</v>
      </c>
      <c r="J224" s="2">
        <v>1322</v>
      </c>
      <c r="K224" s="2">
        <v>5</v>
      </c>
    </row>
    <row r="225" spans="1:11" x14ac:dyDescent="0.25">
      <c r="A225" t="s">
        <v>271</v>
      </c>
      <c r="B225" t="s">
        <v>39</v>
      </c>
      <c r="C225" t="s">
        <v>81</v>
      </c>
      <c r="D225" t="s">
        <v>14</v>
      </c>
      <c r="E225" s="1">
        <v>45096</v>
      </c>
      <c r="F225" s="1">
        <v>45099</v>
      </c>
      <c r="G225" s="2">
        <v>33.799999999999997</v>
      </c>
      <c r="H225" s="2">
        <v>161.44999999999999</v>
      </c>
      <c r="I225" t="s">
        <v>15</v>
      </c>
      <c r="J225" s="2">
        <v>1030</v>
      </c>
      <c r="K225" s="2">
        <v>3</v>
      </c>
    </row>
    <row r="226" spans="1:11" x14ac:dyDescent="0.25">
      <c r="A226" t="s">
        <v>272</v>
      </c>
      <c r="B226" t="s">
        <v>12</v>
      </c>
      <c r="C226" t="s">
        <v>57</v>
      </c>
      <c r="D226" t="s">
        <v>32</v>
      </c>
      <c r="E226" s="1">
        <v>45044</v>
      </c>
      <c r="F226" s="1">
        <v>45053</v>
      </c>
      <c r="G226" s="2">
        <v>14.1</v>
      </c>
      <c r="H226" s="2">
        <v>87.12</v>
      </c>
      <c r="I226" t="s">
        <v>47</v>
      </c>
      <c r="J226" s="2">
        <v>573</v>
      </c>
      <c r="K226" s="2">
        <v>3</v>
      </c>
    </row>
    <row r="227" spans="1:11" x14ac:dyDescent="0.25">
      <c r="A227" t="s">
        <v>273</v>
      </c>
      <c r="B227" t="s">
        <v>23</v>
      </c>
      <c r="C227" t="s">
        <v>36</v>
      </c>
      <c r="D227" t="s">
        <v>37</v>
      </c>
      <c r="E227" s="1">
        <v>45182</v>
      </c>
      <c r="F227" s="1">
        <v>45187</v>
      </c>
      <c r="G227" s="2">
        <v>19.3</v>
      </c>
      <c r="H227" s="2">
        <v>98.54</v>
      </c>
      <c r="I227" t="s">
        <v>47</v>
      </c>
      <c r="J227" s="2">
        <v>585</v>
      </c>
      <c r="K227" s="2">
        <v>1</v>
      </c>
    </row>
    <row r="228" spans="1:11" x14ac:dyDescent="0.25">
      <c r="A228" t="s">
        <v>274</v>
      </c>
      <c r="B228" t="s">
        <v>39</v>
      </c>
      <c r="C228" t="s">
        <v>52</v>
      </c>
      <c r="D228" t="s">
        <v>59</v>
      </c>
      <c r="E228" s="1">
        <v>45270</v>
      </c>
      <c r="F228" s="1">
        <v>45273</v>
      </c>
      <c r="G228" s="2">
        <v>16.600000000000001</v>
      </c>
      <c r="H228" s="2">
        <v>219.37</v>
      </c>
      <c r="I228" t="s">
        <v>15</v>
      </c>
      <c r="J228" s="2">
        <v>1469</v>
      </c>
      <c r="K228" s="2">
        <v>3</v>
      </c>
    </row>
    <row r="229" spans="1:11" x14ac:dyDescent="0.25">
      <c r="A229" t="s">
        <v>275</v>
      </c>
      <c r="B229" t="s">
        <v>49</v>
      </c>
      <c r="C229" t="s">
        <v>31</v>
      </c>
      <c r="D229" t="s">
        <v>25</v>
      </c>
      <c r="E229" s="1">
        <v>45259</v>
      </c>
      <c r="F229" s="1">
        <v>45265</v>
      </c>
      <c r="G229" s="2">
        <v>16.100000000000001</v>
      </c>
      <c r="H229" s="2">
        <v>161.74</v>
      </c>
      <c r="I229" t="s">
        <v>15</v>
      </c>
      <c r="J229" s="2">
        <v>1053</v>
      </c>
      <c r="K229" s="2">
        <v>6</v>
      </c>
    </row>
    <row r="230" spans="1:11" x14ac:dyDescent="0.25">
      <c r="A230" t="s">
        <v>276</v>
      </c>
      <c r="B230" t="s">
        <v>49</v>
      </c>
      <c r="C230" t="s">
        <v>46</v>
      </c>
      <c r="D230" t="s">
        <v>18</v>
      </c>
      <c r="E230" s="1">
        <v>45057</v>
      </c>
      <c r="F230" s="1">
        <v>45060</v>
      </c>
      <c r="G230" s="2">
        <v>10.8</v>
      </c>
      <c r="H230" s="2">
        <v>188.69</v>
      </c>
      <c r="I230" t="s">
        <v>62</v>
      </c>
      <c r="J230" s="2">
        <v>1329</v>
      </c>
      <c r="K230" s="2">
        <v>3</v>
      </c>
    </row>
    <row r="231" spans="1:11" x14ac:dyDescent="0.25">
      <c r="A231" t="s">
        <v>277</v>
      </c>
      <c r="B231" t="s">
        <v>56</v>
      </c>
      <c r="C231" t="s">
        <v>36</v>
      </c>
      <c r="D231" t="s">
        <v>37</v>
      </c>
      <c r="E231" s="1">
        <v>44998</v>
      </c>
      <c r="F231" s="1">
        <v>44999</v>
      </c>
      <c r="G231" s="2">
        <v>8.8000000000000007</v>
      </c>
      <c r="H231" s="2">
        <v>27.23</v>
      </c>
      <c r="I231" t="s">
        <v>15</v>
      </c>
      <c r="J231" s="2">
        <v>156</v>
      </c>
      <c r="K231" s="2">
        <v>1</v>
      </c>
    </row>
    <row r="232" spans="1:11" x14ac:dyDescent="0.25">
      <c r="A232" t="s">
        <v>278</v>
      </c>
      <c r="B232" t="s">
        <v>23</v>
      </c>
      <c r="C232" t="s">
        <v>36</v>
      </c>
      <c r="D232" t="s">
        <v>37</v>
      </c>
      <c r="E232" s="1">
        <v>44986</v>
      </c>
      <c r="F232" s="1">
        <v>44991</v>
      </c>
      <c r="G232" s="2">
        <v>12.1</v>
      </c>
      <c r="H232" s="2">
        <v>247.5</v>
      </c>
      <c r="I232" t="s">
        <v>47</v>
      </c>
      <c r="J232" s="2">
        <v>1760</v>
      </c>
      <c r="K232" s="2">
        <v>4</v>
      </c>
    </row>
    <row r="233" spans="1:11" x14ac:dyDescent="0.25">
      <c r="A233" t="s">
        <v>279</v>
      </c>
      <c r="B233" t="s">
        <v>35</v>
      </c>
      <c r="C233" t="s">
        <v>40</v>
      </c>
      <c r="D233" t="s">
        <v>32</v>
      </c>
      <c r="E233" s="1">
        <v>45168</v>
      </c>
      <c r="F233" s="1">
        <v>45181</v>
      </c>
      <c r="G233" s="2">
        <v>19.8</v>
      </c>
      <c r="H233" s="2">
        <v>63.39</v>
      </c>
      <c r="I233" t="s">
        <v>47</v>
      </c>
      <c r="J233" s="2">
        <v>283</v>
      </c>
      <c r="K233" s="2">
        <v>2</v>
      </c>
    </row>
    <row r="234" spans="1:11" x14ac:dyDescent="0.25">
      <c r="A234" t="s">
        <v>280</v>
      </c>
      <c r="B234" t="s">
        <v>39</v>
      </c>
      <c r="C234" t="s">
        <v>21</v>
      </c>
      <c r="D234" t="s">
        <v>25</v>
      </c>
      <c r="E234" s="1">
        <v>45284</v>
      </c>
      <c r="F234" s="1">
        <v>45287</v>
      </c>
      <c r="G234" s="2">
        <v>22.2</v>
      </c>
      <c r="H234" s="2">
        <v>81.13</v>
      </c>
      <c r="I234" t="s">
        <v>15</v>
      </c>
      <c r="J234" s="2">
        <v>397</v>
      </c>
      <c r="K234" s="2">
        <v>3</v>
      </c>
    </row>
    <row r="235" spans="1:11" x14ac:dyDescent="0.25">
      <c r="A235" t="s">
        <v>281</v>
      </c>
      <c r="B235" t="s">
        <v>30</v>
      </c>
      <c r="C235" t="s">
        <v>70</v>
      </c>
      <c r="D235" t="s">
        <v>37</v>
      </c>
      <c r="E235" s="1">
        <v>45150</v>
      </c>
      <c r="F235" s="1">
        <v>45154</v>
      </c>
      <c r="G235" s="2">
        <v>18.5</v>
      </c>
      <c r="H235" s="2">
        <v>109.5</v>
      </c>
      <c r="I235" t="s">
        <v>15</v>
      </c>
      <c r="J235" s="2">
        <v>816</v>
      </c>
      <c r="K235" s="2">
        <v>4</v>
      </c>
    </row>
    <row r="236" spans="1:11" x14ac:dyDescent="0.25">
      <c r="A236" t="s">
        <v>282</v>
      </c>
      <c r="B236" t="s">
        <v>39</v>
      </c>
      <c r="C236" t="s">
        <v>70</v>
      </c>
      <c r="D236" t="s">
        <v>42</v>
      </c>
      <c r="E236" s="1">
        <v>45044</v>
      </c>
      <c r="F236" s="1">
        <v>45047</v>
      </c>
      <c r="G236" s="2">
        <v>10</v>
      </c>
      <c r="H236" s="2">
        <v>96.03</v>
      </c>
      <c r="I236" t="s">
        <v>67</v>
      </c>
      <c r="J236" s="2">
        <v>715</v>
      </c>
      <c r="K236" s="2">
        <v>3</v>
      </c>
    </row>
    <row r="237" spans="1:11" x14ac:dyDescent="0.25">
      <c r="A237" t="s">
        <v>283</v>
      </c>
      <c r="B237" t="s">
        <v>51</v>
      </c>
      <c r="C237" t="s">
        <v>52</v>
      </c>
      <c r="D237" t="s">
        <v>14</v>
      </c>
      <c r="E237" s="1">
        <v>45070</v>
      </c>
      <c r="F237" s="1">
        <v>45074</v>
      </c>
      <c r="G237" s="2">
        <v>25.9</v>
      </c>
      <c r="H237" s="2">
        <v>285.87</v>
      </c>
      <c r="I237" t="s">
        <v>15</v>
      </c>
      <c r="J237" s="2">
        <v>1956</v>
      </c>
      <c r="K237" s="2">
        <v>4</v>
      </c>
    </row>
    <row r="238" spans="1:11" x14ac:dyDescent="0.25">
      <c r="A238" t="s">
        <v>284</v>
      </c>
      <c r="B238" t="s">
        <v>23</v>
      </c>
      <c r="C238" t="s">
        <v>44</v>
      </c>
      <c r="D238" t="s">
        <v>37</v>
      </c>
      <c r="E238" s="1">
        <v>45137</v>
      </c>
      <c r="F238" s="1">
        <v>45142</v>
      </c>
      <c r="G238" s="2">
        <v>22.8</v>
      </c>
      <c r="H238" s="2">
        <v>277.89999999999998</v>
      </c>
      <c r="I238" t="s">
        <v>15</v>
      </c>
      <c r="J238" s="2">
        <v>2187</v>
      </c>
      <c r="K238" s="2">
        <v>5</v>
      </c>
    </row>
    <row r="239" spans="1:11" x14ac:dyDescent="0.25">
      <c r="A239" t="s">
        <v>285</v>
      </c>
      <c r="B239" t="s">
        <v>51</v>
      </c>
      <c r="C239" t="s">
        <v>24</v>
      </c>
      <c r="D239" t="s">
        <v>59</v>
      </c>
      <c r="E239" s="1">
        <v>45183</v>
      </c>
      <c r="F239" s="1">
        <v>45189</v>
      </c>
      <c r="G239" s="2">
        <v>85.5</v>
      </c>
      <c r="H239" s="2">
        <v>345.35</v>
      </c>
      <c r="I239" t="s">
        <v>15</v>
      </c>
      <c r="J239" s="2">
        <v>2172</v>
      </c>
      <c r="K239" s="2">
        <v>6</v>
      </c>
    </row>
    <row r="240" spans="1:11" x14ac:dyDescent="0.25">
      <c r="A240" t="s">
        <v>286</v>
      </c>
      <c r="B240" t="s">
        <v>12</v>
      </c>
      <c r="C240" t="s">
        <v>81</v>
      </c>
      <c r="D240" t="s">
        <v>25</v>
      </c>
      <c r="E240" s="1">
        <v>45163</v>
      </c>
      <c r="F240" s="1">
        <v>45166</v>
      </c>
      <c r="G240" s="2">
        <v>31.8</v>
      </c>
      <c r="H240" s="2">
        <v>125.07</v>
      </c>
      <c r="I240" t="s">
        <v>15</v>
      </c>
      <c r="J240" s="2">
        <v>816</v>
      </c>
      <c r="K240" s="2">
        <v>3</v>
      </c>
    </row>
    <row r="241" spans="1:11" x14ac:dyDescent="0.25">
      <c r="A241" t="s">
        <v>287</v>
      </c>
      <c r="B241" t="s">
        <v>20</v>
      </c>
      <c r="C241" t="s">
        <v>17</v>
      </c>
      <c r="D241" t="s">
        <v>18</v>
      </c>
      <c r="E241" s="1">
        <v>45107</v>
      </c>
      <c r="F241" s="1">
        <v>45114</v>
      </c>
      <c r="G241" s="2">
        <v>3.1</v>
      </c>
      <c r="H241" s="2">
        <v>185.13</v>
      </c>
      <c r="I241" t="s">
        <v>15</v>
      </c>
      <c r="J241" s="2">
        <v>1236</v>
      </c>
      <c r="K241" s="2">
        <v>7</v>
      </c>
    </row>
    <row r="242" spans="1:11" x14ac:dyDescent="0.25">
      <c r="A242" t="s">
        <v>288</v>
      </c>
      <c r="B242" t="s">
        <v>27</v>
      </c>
      <c r="C242" t="s">
        <v>31</v>
      </c>
      <c r="D242" t="s">
        <v>37</v>
      </c>
      <c r="E242" s="1">
        <v>45101</v>
      </c>
      <c r="F242" s="1">
        <v>45106</v>
      </c>
      <c r="G242" s="2">
        <v>54.9</v>
      </c>
      <c r="H242" s="2">
        <v>319.88</v>
      </c>
      <c r="I242" t="s">
        <v>15</v>
      </c>
      <c r="J242" s="2">
        <v>1902</v>
      </c>
      <c r="K242" s="2">
        <v>5</v>
      </c>
    </row>
    <row r="243" spans="1:11" x14ac:dyDescent="0.25">
      <c r="A243" t="s">
        <v>289</v>
      </c>
      <c r="B243" t="s">
        <v>49</v>
      </c>
      <c r="C243" t="s">
        <v>81</v>
      </c>
      <c r="D243" t="s">
        <v>18</v>
      </c>
      <c r="E243" s="1">
        <v>45210</v>
      </c>
      <c r="F243" s="1">
        <v>45214</v>
      </c>
      <c r="G243" s="2">
        <v>17.600000000000001</v>
      </c>
      <c r="H243" s="2">
        <v>167.63</v>
      </c>
      <c r="I243" t="s">
        <v>15</v>
      </c>
      <c r="J243" s="2">
        <v>1038</v>
      </c>
      <c r="K243" s="2">
        <v>4</v>
      </c>
    </row>
    <row r="244" spans="1:11" x14ac:dyDescent="0.25">
      <c r="A244" t="s">
        <v>290</v>
      </c>
      <c r="B244" t="s">
        <v>49</v>
      </c>
      <c r="C244" t="s">
        <v>21</v>
      </c>
      <c r="D244" t="s">
        <v>42</v>
      </c>
      <c r="E244" s="1">
        <v>45070</v>
      </c>
      <c r="F244" s="1">
        <v>45074</v>
      </c>
      <c r="G244" s="2">
        <v>8.6999999999999993</v>
      </c>
      <c r="H244" s="2">
        <v>188.16</v>
      </c>
      <c r="I244" t="s">
        <v>15</v>
      </c>
      <c r="J244" s="2">
        <v>1590</v>
      </c>
      <c r="K244" s="2">
        <v>4</v>
      </c>
    </row>
    <row r="245" spans="1:11" x14ac:dyDescent="0.25">
      <c r="A245" t="s">
        <v>291</v>
      </c>
      <c r="B245" t="s">
        <v>30</v>
      </c>
      <c r="C245" t="s">
        <v>44</v>
      </c>
      <c r="D245" t="s">
        <v>18</v>
      </c>
      <c r="E245" s="1">
        <v>45150</v>
      </c>
      <c r="F245" s="1">
        <v>45155</v>
      </c>
      <c r="G245" s="2">
        <v>11.8</v>
      </c>
      <c r="H245" s="2">
        <v>92.57</v>
      </c>
      <c r="I245" t="s">
        <v>62</v>
      </c>
      <c r="J245" s="2">
        <v>590</v>
      </c>
      <c r="K245" s="2">
        <v>5</v>
      </c>
    </row>
    <row r="246" spans="1:11" x14ac:dyDescent="0.25">
      <c r="A246" t="s">
        <v>292</v>
      </c>
      <c r="B246" t="s">
        <v>39</v>
      </c>
      <c r="C246" t="s">
        <v>21</v>
      </c>
      <c r="D246" t="s">
        <v>42</v>
      </c>
      <c r="E246" s="1">
        <v>45019</v>
      </c>
      <c r="F246" s="1">
        <v>45023</v>
      </c>
      <c r="G246" s="2">
        <v>44</v>
      </c>
      <c r="H246" s="2">
        <v>167.48</v>
      </c>
      <c r="I246" t="s">
        <v>15</v>
      </c>
      <c r="J246" s="2">
        <v>1105</v>
      </c>
      <c r="K246" s="2">
        <v>4</v>
      </c>
    </row>
    <row r="247" spans="1:11" x14ac:dyDescent="0.25">
      <c r="A247" t="s">
        <v>293</v>
      </c>
      <c r="B247" t="s">
        <v>12</v>
      </c>
      <c r="C247" t="s">
        <v>57</v>
      </c>
      <c r="D247" t="s">
        <v>59</v>
      </c>
      <c r="E247" s="1">
        <v>44974</v>
      </c>
      <c r="F247" s="1">
        <v>44977</v>
      </c>
      <c r="G247" s="2">
        <v>16.7</v>
      </c>
      <c r="H247" s="2">
        <v>152.32</v>
      </c>
      <c r="I247" t="s">
        <v>15</v>
      </c>
      <c r="J247" s="2">
        <v>1153</v>
      </c>
      <c r="K247" s="2">
        <v>3</v>
      </c>
    </row>
    <row r="248" spans="1:11" x14ac:dyDescent="0.25">
      <c r="A248" t="s">
        <v>294</v>
      </c>
      <c r="B248" t="s">
        <v>20</v>
      </c>
      <c r="C248" t="s">
        <v>57</v>
      </c>
      <c r="D248" t="s">
        <v>59</v>
      </c>
      <c r="E248" s="1">
        <v>45005</v>
      </c>
      <c r="F248" s="1">
        <v>45008</v>
      </c>
      <c r="G248" s="2">
        <v>21.9</v>
      </c>
      <c r="H248" s="2">
        <v>167.58</v>
      </c>
      <c r="I248" t="s">
        <v>15</v>
      </c>
      <c r="J248" s="2">
        <v>1124</v>
      </c>
      <c r="K248" s="2">
        <v>3</v>
      </c>
    </row>
    <row r="249" spans="1:11" x14ac:dyDescent="0.25">
      <c r="A249" t="s">
        <v>295</v>
      </c>
      <c r="B249" t="s">
        <v>20</v>
      </c>
      <c r="C249" t="s">
        <v>31</v>
      </c>
      <c r="D249" t="s">
        <v>42</v>
      </c>
      <c r="E249" s="1">
        <v>44985</v>
      </c>
      <c r="F249" s="1">
        <v>44990</v>
      </c>
      <c r="G249" s="2">
        <v>3.6</v>
      </c>
      <c r="H249" s="2">
        <v>230.21</v>
      </c>
      <c r="I249" t="s">
        <v>15</v>
      </c>
      <c r="J249" s="2">
        <v>2074</v>
      </c>
      <c r="K249" s="2">
        <v>5</v>
      </c>
    </row>
    <row r="250" spans="1:11" x14ac:dyDescent="0.25">
      <c r="A250" t="s">
        <v>296</v>
      </c>
      <c r="B250" t="s">
        <v>39</v>
      </c>
      <c r="C250" t="s">
        <v>24</v>
      </c>
      <c r="D250" t="s">
        <v>14</v>
      </c>
      <c r="E250" s="1">
        <v>45288</v>
      </c>
      <c r="F250" s="1">
        <v>45290</v>
      </c>
      <c r="G250" s="2">
        <v>32.700000000000003</v>
      </c>
      <c r="H250" s="2">
        <v>97.49</v>
      </c>
      <c r="I250" t="s">
        <v>15</v>
      </c>
      <c r="J250" s="2">
        <v>302</v>
      </c>
      <c r="K250" s="2">
        <v>2</v>
      </c>
    </row>
    <row r="251" spans="1:11" x14ac:dyDescent="0.25">
      <c r="A251" t="s">
        <v>297</v>
      </c>
      <c r="B251" t="s">
        <v>56</v>
      </c>
      <c r="C251" t="s">
        <v>44</v>
      </c>
      <c r="D251" t="s">
        <v>59</v>
      </c>
      <c r="E251" s="1">
        <v>45233</v>
      </c>
      <c r="F251" s="1">
        <v>45238</v>
      </c>
      <c r="G251" s="2">
        <v>13.6</v>
      </c>
      <c r="H251" s="2">
        <v>316.04000000000002</v>
      </c>
      <c r="I251" t="s">
        <v>15</v>
      </c>
      <c r="J251" s="2">
        <v>2073</v>
      </c>
      <c r="K251" s="2">
        <v>5</v>
      </c>
    </row>
    <row r="252" spans="1:11" x14ac:dyDescent="0.25">
      <c r="A252" t="s">
        <v>298</v>
      </c>
      <c r="B252" t="s">
        <v>51</v>
      </c>
      <c r="C252" t="s">
        <v>36</v>
      </c>
      <c r="D252" t="s">
        <v>37</v>
      </c>
      <c r="E252" s="1">
        <v>44983</v>
      </c>
      <c r="F252" s="1">
        <v>44953</v>
      </c>
      <c r="G252" s="2">
        <v>5.5</v>
      </c>
      <c r="H252" s="2">
        <v>259.45</v>
      </c>
      <c r="I252" t="s">
        <v>15</v>
      </c>
      <c r="J252" s="2">
        <v>2132</v>
      </c>
      <c r="K252" s="2">
        <v>7</v>
      </c>
    </row>
    <row r="253" spans="1:11" x14ac:dyDescent="0.25">
      <c r="A253" t="s">
        <v>299</v>
      </c>
      <c r="B253" t="s">
        <v>23</v>
      </c>
      <c r="C253" t="s">
        <v>44</v>
      </c>
      <c r="D253" t="s">
        <v>37</v>
      </c>
      <c r="E253" s="1">
        <v>44987</v>
      </c>
      <c r="F253" s="1">
        <v>44990</v>
      </c>
      <c r="G253" s="2">
        <v>27.5</v>
      </c>
      <c r="H253" s="2">
        <v>111.16</v>
      </c>
      <c r="I253" t="s">
        <v>15</v>
      </c>
      <c r="J253" s="2">
        <v>569</v>
      </c>
      <c r="K253" s="2">
        <v>3</v>
      </c>
    </row>
    <row r="254" spans="1:11" x14ac:dyDescent="0.25">
      <c r="A254" t="s">
        <v>300</v>
      </c>
      <c r="B254" t="s">
        <v>23</v>
      </c>
      <c r="C254" t="s">
        <v>70</v>
      </c>
      <c r="D254" t="s">
        <v>14</v>
      </c>
      <c r="E254" s="1">
        <v>45241</v>
      </c>
      <c r="F254" s="1">
        <v>45246</v>
      </c>
      <c r="G254" s="2">
        <v>21.5</v>
      </c>
      <c r="H254" s="2">
        <v>437.58</v>
      </c>
      <c r="I254" t="s">
        <v>15</v>
      </c>
      <c r="J254" s="2">
        <v>2433</v>
      </c>
      <c r="K254" s="2">
        <v>5</v>
      </c>
    </row>
    <row r="255" spans="1:11" x14ac:dyDescent="0.25">
      <c r="A255" t="s">
        <v>301</v>
      </c>
      <c r="B255" t="s">
        <v>30</v>
      </c>
      <c r="C255" t="s">
        <v>81</v>
      </c>
      <c r="D255" t="s">
        <v>42</v>
      </c>
      <c r="E255" s="1">
        <v>44941</v>
      </c>
      <c r="F255" s="1">
        <v>44943</v>
      </c>
      <c r="G255" s="2">
        <v>24.8</v>
      </c>
      <c r="H255" s="2">
        <v>110.65</v>
      </c>
      <c r="I255" t="s">
        <v>15</v>
      </c>
      <c r="J255" s="2">
        <v>677</v>
      </c>
      <c r="K255" s="2">
        <v>2</v>
      </c>
    </row>
    <row r="256" spans="1:11" x14ac:dyDescent="0.25">
      <c r="A256" t="s">
        <v>302</v>
      </c>
      <c r="B256" t="s">
        <v>23</v>
      </c>
      <c r="C256" t="s">
        <v>36</v>
      </c>
      <c r="D256" t="s">
        <v>42</v>
      </c>
      <c r="E256" s="1">
        <v>44984</v>
      </c>
      <c r="F256" s="1">
        <v>44990</v>
      </c>
      <c r="G256" s="2">
        <v>11.2</v>
      </c>
      <c r="H256" s="2">
        <v>324.52</v>
      </c>
      <c r="I256" t="s">
        <v>62</v>
      </c>
      <c r="J256" s="2">
        <v>2379</v>
      </c>
      <c r="K256" s="2">
        <v>6</v>
      </c>
    </row>
    <row r="257" spans="1:11" x14ac:dyDescent="0.25">
      <c r="A257" t="s">
        <v>303</v>
      </c>
      <c r="B257" t="s">
        <v>20</v>
      </c>
      <c r="C257" t="s">
        <v>81</v>
      </c>
      <c r="D257" t="s">
        <v>14</v>
      </c>
      <c r="E257" s="1">
        <v>45241</v>
      </c>
      <c r="F257" s="1">
        <v>45246</v>
      </c>
      <c r="G257" s="2">
        <v>17.899999999999999</v>
      </c>
      <c r="H257" s="2">
        <v>191.48</v>
      </c>
      <c r="I257" t="s">
        <v>15</v>
      </c>
      <c r="J257" s="2">
        <v>984</v>
      </c>
      <c r="K257" s="2">
        <v>5</v>
      </c>
    </row>
    <row r="258" spans="1:11" x14ac:dyDescent="0.25">
      <c r="A258" t="s">
        <v>304</v>
      </c>
      <c r="B258" t="s">
        <v>56</v>
      </c>
      <c r="C258" t="s">
        <v>54</v>
      </c>
      <c r="D258" t="s">
        <v>18</v>
      </c>
      <c r="E258" s="1">
        <v>45065</v>
      </c>
      <c r="F258" s="1">
        <v>45068</v>
      </c>
      <c r="G258" s="2">
        <v>34.9</v>
      </c>
      <c r="H258" s="2">
        <v>102.14</v>
      </c>
      <c r="I258" t="s">
        <v>15</v>
      </c>
      <c r="J258" s="2">
        <v>420</v>
      </c>
      <c r="K258" s="2">
        <v>3</v>
      </c>
    </row>
    <row r="259" spans="1:11" x14ac:dyDescent="0.25">
      <c r="A259" t="s">
        <v>305</v>
      </c>
      <c r="B259" t="s">
        <v>12</v>
      </c>
      <c r="C259" t="s">
        <v>28</v>
      </c>
      <c r="D259" t="s">
        <v>32</v>
      </c>
      <c r="E259" s="1">
        <v>44985</v>
      </c>
      <c r="F259" s="1">
        <v>44986</v>
      </c>
      <c r="G259" s="2">
        <v>27.1</v>
      </c>
      <c r="H259" s="2">
        <v>79.459999999999994</v>
      </c>
      <c r="I259" t="s">
        <v>15</v>
      </c>
      <c r="J259" s="2">
        <v>338</v>
      </c>
      <c r="K259" s="2">
        <v>1</v>
      </c>
    </row>
    <row r="260" spans="1:11" x14ac:dyDescent="0.25">
      <c r="A260" t="s">
        <v>306</v>
      </c>
      <c r="B260" t="s">
        <v>35</v>
      </c>
      <c r="C260" t="s">
        <v>70</v>
      </c>
      <c r="D260" t="s">
        <v>37</v>
      </c>
      <c r="E260" s="1">
        <v>45185</v>
      </c>
      <c r="F260" s="1">
        <v>45198</v>
      </c>
      <c r="G260" s="2">
        <v>46.8</v>
      </c>
      <c r="H260" s="2">
        <v>105.98</v>
      </c>
      <c r="I260" t="s">
        <v>47</v>
      </c>
      <c r="J260" s="2">
        <v>410</v>
      </c>
      <c r="K260" s="2">
        <v>2</v>
      </c>
    </row>
    <row r="261" spans="1:11" x14ac:dyDescent="0.25">
      <c r="A261" t="s">
        <v>307</v>
      </c>
      <c r="B261" t="s">
        <v>20</v>
      </c>
      <c r="C261" t="s">
        <v>57</v>
      </c>
      <c r="D261" t="s">
        <v>14</v>
      </c>
      <c r="E261" s="1">
        <v>45073</v>
      </c>
      <c r="F261" s="1">
        <v>45078</v>
      </c>
      <c r="G261" s="2">
        <v>10.4</v>
      </c>
      <c r="H261" s="2">
        <v>204.87</v>
      </c>
      <c r="I261" t="s">
        <v>15</v>
      </c>
      <c r="J261" s="2">
        <v>1486</v>
      </c>
      <c r="K261" s="2">
        <v>5</v>
      </c>
    </row>
    <row r="262" spans="1:11" x14ac:dyDescent="0.25">
      <c r="A262" t="s">
        <v>308</v>
      </c>
      <c r="B262" t="s">
        <v>12</v>
      </c>
      <c r="C262" t="s">
        <v>13</v>
      </c>
      <c r="D262" t="s">
        <v>14</v>
      </c>
      <c r="E262" s="1">
        <v>45112</v>
      </c>
      <c r="G262" s="2">
        <v>14.6</v>
      </c>
      <c r="H262" s="2">
        <v>358.31</v>
      </c>
      <c r="I262" t="s">
        <v>47</v>
      </c>
      <c r="J262" s="2">
        <v>2492</v>
      </c>
      <c r="K262" s="2">
        <v>6</v>
      </c>
    </row>
    <row r="263" spans="1:11" x14ac:dyDescent="0.25">
      <c r="A263" t="s">
        <v>309</v>
      </c>
      <c r="B263" t="s">
        <v>39</v>
      </c>
      <c r="C263" t="s">
        <v>40</v>
      </c>
      <c r="D263" t="s">
        <v>18</v>
      </c>
      <c r="E263" s="1">
        <v>45284</v>
      </c>
      <c r="F263" s="1">
        <v>45288</v>
      </c>
      <c r="G263" s="2">
        <v>39.200000000000003</v>
      </c>
      <c r="H263" s="2">
        <v>159.9</v>
      </c>
      <c r="I263" t="s">
        <v>15</v>
      </c>
      <c r="J263" s="2">
        <v>605</v>
      </c>
      <c r="K263" s="2">
        <v>4</v>
      </c>
    </row>
    <row r="264" spans="1:11" x14ac:dyDescent="0.25">
      <c r="A264" t="s">
        <v>310</v>
      </c>
      <c r="B264" t="s">
        <v>20</v>
      </c>
      <c r="C264" t="s">
        <v>52</v>
      </c>
      <c r="D264" t="s">
        <v>59</v>
      </c>
      <c r="E264" s="1">
        <v>44998</v>
      </c>
      <c r="F264" s="1">
        <v>45001</v>
      </c>
      <c r="G264" s="2">
        <v>10</v>
      </c>
      <c r="I264" t="s">
        <v>15</v>
      </c>
      <c r="J264" s="2">
        <v>373</v>
      </c>
      <c r="K264" s="2">
        <v>3</v>
      </c>
    </row>
    <row r="265" spans="1:11" x14ac:dyDescent="0.25">
      <c r="A265" t="s">
        <v>311</v>
      </c>
      <c r="B265" t="s">
        <v>56</v>
      </c>
      <c r="C265" t="s">
        <v>36</v>
      </c>
      <c r="D265" t="s">
        <v>32</v>
      </c>
      <c r="E265" s="1">
        <v>45169</v>
      </c>
      <c r="F265" s="1">
        <v>45170</v>
      </c>
      <c r="G265" s="2">
        <v>8.6</v>
      </c>
      <c r="H265" s="2">
        <v>34.32</v>
      </c>
      <c r="I265" t="s">
        <v>15</v>
      </c>
      <c r="J265" s="2">
        <v>165</v>
      </c>
      <c r="K265" s="2">
        <v>1</v>
      </c>
    </row>
    <row r="266" spans="1:11" x14ac:dyDescent="0.25">
      <c r="A266" t="s">
        <v>312</v>
      </c>
      <c r="B266" t="s">
        <v>20</v>
      </c>
      <c r="C266" t="s">
        <v>28</v>
      </c>
      <c r="D266" t="s">
        <v>14</v>
      </c>
      <c r="E266" s="1">
        <v>44937</v>
      </c>
      <c r="F266" s="1">
        <v>44941</v>
      </c>
      <c r="G266" s="2">
        <v>10.9</v>
      </c>
      <c r="H266" s="2">
        <v>191.54</v>
      </c>
      <c r="I266" t="s">
        <v>15</v>
      </c>
      <c r="J266" s="2">
        <v>1435</v>
      </c>
      <c r="K266" s="2">
        <v>4</v>
      </c>
    </row>
    <row r="267" spans="1:11" x14ac:dyDescent="0.25">
      <c r="A267" t="s">
        <v>313</v>
      </c>
      <c r="B267" t="s">
        <v>27</v>
      </c>
      <c r="C267" t="s">
        <v>40</v>
      </c>
      <c r="D267" t="s">
        <v>59</v>
      </c>
      <c r="E267" s="1">
        <v>44937</v>
      </c>
      <c r="F267" s="1">
        <v>44940</v>
      </c>
      <c r="G267" s="2">
        <v>35.299999999999997</v>
      </c>
      <c r="H267" s="2">
        <v>102.36</v>
      </c>
      <c r="I267" t="s">
        <v>15</v>
      </c>
      <c r="J267" s="2">
        <v>533</v>
      </c>
      <c r="K267" s="2">
        <v>3</v>
      </c>
    </row>
    <row r="268" spans="1:11" x14ac:dyDescent="0.25">
      <c r="A268" t="s">
        <v>314</v>
      </c>
      <c r="B268" t="s">
        <v>23</v>
      </c>
      <c r="C268" t="s">
        <v>52</v>
      </c>
      <c r="D268" t="s">
        <v>37</v>
      </c>
      <c r="E268" s="1">
        <v>45259</v>
      </c>
      <c r="F268" s="1">
        <v>45265</v>
      </c>
      <c r="G268" s="2">
        <v>40.9</v>
      </c>
      <c r="H268" s="2">
        <v>224.12</v>
      </c>
      <c r="I268" t="s">
        <v>15</v>
      </c>
      <c r="J268" s="2">
        <v>1122</v>
      </c>
      <c r="K268" s="2">
        <v>6</v>
      </c>
    </row>
    <row r="269" spans="1:11" x14ac:dyDescent="0.25">
      <c r="A269" t="s">
        <v>315</v>
      </c>
      <c r="B269" t="s">
        <v>30</v>
      </c>
      <c r="C269" t="s">
        <v>57</v>
      </c>
      <c r="D269" t="s">
        <v>18</v>
      </c>
      <c r="E269" s="1">
        <v>45129</v>
      </c>
      <c r="F269" s="1">
        <v>45130</v>
      </c>
      <c r="G269" s="2">
        <v>22.4</v>
      </c>
      <c r="H269" s="2">
        <v>70.430000000000007</v>
      </c>
      <c r="I269" t="s">
        <v>15</v>
      </c>
      <c r="J269" s="2">
        <v>263</v>
      </c>
      <c r="K269" s="2">
        <v>1</v>
      </c>
    </row>
    <row r="270" spans="1:11" x14ac:dyDescent="0.25">
      <c r="A270" t="s">
        <v>316</v>
      </c>
      <c r="B270" t="s">
        <v>56</v>
      </c>
      <c r="C270" t="s">
        <v>54</v>
      </c>
      <c r="D270" t="s">
        <v>37</v>
      </c>
      <c r="E270" s="1">
        <v>45244</v>
      </c>
      <c r="F270" s="1">
        <v>45249</v>
      </c>
      <c r="G270" s="2">
        <v>8.6999999999999993</v>
      </c>
      <c r="H270" s="2">
        <v>202.52</v>
      </c>
      <c r="I270" t="s">
        <v>15</v>
      </c>
      <c r="J270" s="2">
        <v>1348</v>
      </c>
      <c r="K270" s="2">
        <v>5</v>
      </c>
    </row>
    <row r="271" spans="1:11" x14ac:dyDescent="0.25">
      <c r="A271" t="s">
        <v>317</v>
      </c>
      <c r="B271" t="s">
        <v>27</v>
      </c>
      <c r="C271" t="s">
        <v>17</v>
      </c>
      <c r="D271" t="s">
        <v>59</v>
      </c>
      <c r="E271" s="1">
        <v>45258</v>
      </c>
      <c r="F271" s="1">
        <v>45261</v>
      </c>
      <c r="G271" s="2">
        <v>10.9</v>
      </c>
      <c r="H271" s="2">
        <v>55.96</v>
      </c>
      <c r="I271" t="s">
        <v>62</v>
      </c>
      <c r="J271" s="2">
        <v>340</v>
      </c>
      <c r="K271" s="2">
        <v>3</v>
      </c>
    </row>
    <row r="272" spans="1:11" x14ac:dyDescent="0.25">
      <c r="A272" t="s">
        <v>318</v>
      </c>
      <c r="B272" t="s">
        <v>56</v>
      </c>
      <c r="C272" t="s">
        <v>52</v>
      </c>
      <c r="D272" t="s">
        <v>32</v>
      </c>
      <c r="E272" s="1">
        <v>44944</v>
      </c>
      <c r="F272" s="1">
        <v>44947</v>
      </c>
      <c r="G272" s="2">
        <v>4.9000000000000004</v>
      </c>
      <c r="H272" s="2">
        <v>27.41</v>
      </c>
      <c r="I272" t="s">
        <v>15</v>
      </c>
      <c r="J272" s="2">
        <v>159</v>
      </c>
      <c r="K272" s="2">
        <v>3</v>
      </c>
    </row>
    <row r="273" spans="1:11" x14ac:dyDescent="0.25">
      <c r="A273" t="s">
        <v>319</v>
      </c>
      <c r="B273" t="s">
        <v>23</v>
      </c>
      <c r="C273" t="s">
        <v>44</v>
      </c>
      <c r="D273" t="s">
        <v>32</v>
      </c>
      <c r="E273" s="1">
        <v>44947</v>
      </c>
      <c r="F273" s="1">
        <v>44952</v>
      </c>
      <c r="G273" s="2">
        <v>45.1</v>
      </c>
      <c r="H273" s="2">
        <v>322.54000000000002</v>
      </c>
      <c r="I273" t="s">
        <v>15</v>
      </c>
      <c r="J273" s="2">
        <v>2054</v>
      </c>
      <c r="K273" s="2">
        <v>5</v>
      </c>
    </row>
    <row r="274" spans="1:11" x14ac:dyDescent="0.25">
      <c r="A274" t="s">
        <v>320</v>
      </c>
      <c r="B274" t="s">
        <v>49</v>
      </c>
      <c r="C274" t="s">
        <v>44</v>
      </c>
      <c r="D274" t="s">
        <v>37</v>
      </c>
      <c r="E274" s="1">
        <v>45012</v>
      </c>
      <c r="F274" s="1">
        <v>45013</v>
      </c>
      <c r="G274" s="2">
        <v>24.8</v>
      </c>
      <c r="H274" s="2">
        <v>66.900000000000006</v>
      </c>
      <c r="I274" t="s">
        <v>62</v>
      </c>
      <c r="J274" s="2">
        <v>274</v>
      </c>
      <c r="K274" s="2">
        <v>1</v>
      </c>
    </row>
    <row r="275" spans="1:11" x14ac:dyDescent="0.25">
      <c r="A275" t="s">
        <v>321</v>
      </c>
      <c r="B275" t="s">
        <v>35</v>
      </c>
      <c r="C275" t="s">
        <v>54</v>
      </c>
      <c r="D275" t="s">
        <v>42</v>
      </c>
      <c r="E275" s="1">
        <v>44930</v>
      </c>
      <c r="F275" s="1">
        <v>44934</v>
      </c>
      <c r="G275" s="2">
        <v>26.5</v>
      </c>
      <c r="I275" t="s">
        <v>15</v>
      </c>
      <c r="J275" s="2">
        <v>1350</v>
      </c>
      <c r="K275" s="2">
        <v>4</v>
      </c>
    </row>
    <row r="276" spans="1:11" x14ac:dyDescent="0.25">
      <c r="A276" t="s">
        <v>322</v>
      </c>
      <c r="B276" t="s">
        <v>20</v>
      </c>
      <c r="C276" t="s">
        <v>54</v>
      </c>
      <c r="D276" t="s">
        <v>42</v>
      </c>
      <c r="E276" s="1">
        <v>45000</v>
      </c>
      <c r="F276" s="1">
        <v>45005</v>
      </c>
      <c r="G276" s="2">
        <v>13.4</v>
      </c>
      <c r="I276" t="s">
        <v>15</v>
      </c>
      <c r="J276" s="2">
        <v>916</v>
      </c>
      <c r="K276" s="2">
        <v>5</v>
      </c>
    </row>
    <row r="277" spans="1:11" x14ac:dyDescent="0.25">
      <c r="A277" t="s">
        <v>323</v>
      </c>
      <c r="B277" t="s">
        <v>20</v>
      </c>
      <c r="C277" t="s">
        <v>31</v>
      </c>
      <c r="D277" t="s">
        <v>42</v>
      </c>
      <c r="E277" s="1">
        <v>45032</v>
      </c>
      <c r="F277" s="1">
        <v>45034</v>
      </c>
      <c r="G277" s="2">
        <v>25.3</v>
      </c>
      <c r="H277" s="2">
        <v>107.88</v>
      </c>
      <c r="I277" t="s">
        <v>62</v>
      </c>
      <c r="J277" s="2">
        <v>742</v>
      </c>
      <c r="K277" s="2">
        <v>2</v>
      </c>
    </row>
    <row r="278" spans="1:11" x14ac:dyDescent="0.25">
      <c r="A278" t="s">
        <v>324</v>
      </c>
      <c r="B278" t="s">
        <v>30</v>
      </c>
      <c r="C278" t="s">
        <v>28</v>
      </c>
      <c r="D278" t="s">
        <v>32</v>
      </c>
      <c r="E278" s="1">
        <v>45156</v>
      </c>
      <c r="F278" s="1">
        <v>45162</v>
      </c>
      <c r="G278" s="2">
        <v>18</v>
      </c>
      <c r="H278" s="2">
        <v>305.41000000000003</v>
      </c>
      <c r="I278" t="s">
        <v>15</v>
      </c>
      <c r="J278" s="2">
        <v>2218</v>
      </c>
      <c r="K278" s="2">
        <v>6</v>
      </c>
    </row>
    <row r="279" spans="1:11" x14ac:dyDescent="0.25">
      <c r="A279" t="s">
        <v>325</v>
      </c>
      <c r="B279" t="s">
        <v>56</v>
      </c>
      <c r="C279" t="s">
        <v>52</v>
      </c>
      <c r="D279" t="s">
        <v>25</v>
      </c>
      <c r="E279" s="1">
        <v>44997</v>
      </c>
      <c r="F279" s="1">
        <v>45002</v>
      </c>
      <c r="G279" s="2">
        <v>8.1999999999999993</v>
      </c>
      <c r="H279" s="2">
        <v>248.9</v>
      </c>
      <c r="I279" t="s">
        <v>15</v>
      </c>
      <c r="J279" s="2">
        <v>1857</v>
      </c>
      <c r="K279" s="2">
        <v>5</v>
      </c>
    </row>
    <row r="280" spans="1:11" x14ac:dyDescent="0.25">
      <c r="A280" t="s">
        <v>326</v>
      </c>
      <c r="B280" t="s">
        <v>20</v>
      </c>
      <c r="C280" t="s">
        <v>70</v>
      </c>
      <c r="D280" t="s">
        <v>25</v>
      </c>
      <c r="E280" s="1">
        <v>45171</v>
      </c>
      <c r="F280" s="1">
        <v>45177</v>
      </c>
      <c r="G280" s="2">
        <v>9.6</v>
      </c>
      <c r="H280" s="2">
        <v>242.9</v>
      </c>
      <c r="I280" t="s">
        <v>15</v>
      </c>
      <c r="J280" s="2">
        <v>2001</v>
      </c>
      <c r="K280" s="2">
        <v>6</v>
      </c>
    </row>
    <row r="281" spans="1:11" x14ac:dyDescent="0.25">
      <c r="A281" t="s">
        <v>327</v>
      </c>
      <c r="B281" t="s">
        <v>27</v>
      </c>
      <c r="C281" t="s">
        <v>57</v>
      </c>
      <c r="D281" t="s">
        <v>59</v>
      </c>
      <c r="E281" s="1">
        <v>45218</v>
      </c>
      <c r="F281" s="1">
        <v>45219</v>
      </c>
      <c r="G281" s="2">
        <v>37.700000000000003</v>
      </c>
      <c r="H281" s="2">
        <v>77.3</v>
      </c>
      <c r="I281" t="s">
        <v>15</v>
      </c>
      <c r="J281" s="2">
        <v>293</v>
      </c>
      <c r="K281" s="2">
        <v>1</v>
      </c>
    </row>
    <row r="282" spans="1:11" x14ac:dyDescent="0.25">
      <c r="A282" t="s">
        <v>328</v>
      </c>
      <c r="B282" t="s">
        <v>49</v>
      </c>
      <c r="C282" t="s">
        <v>28</v>
      </c>
      <c r="D282" t="s">
        <v>25</v>
      </c>
      <c r="E282" s="1">
        <v>45221</v>
      </c>
      <c r="F282" s="1">
        <v>45225</v>
      </c>
      <c r="G282" s="2">
        <v>20.100000000000001</v>
      </c>
      <c r="H282" s="2">
        <v>209.94</v>
      </c>
      <c r="I282" t="s">
        <v>15</v>
      </c>
      <c r="J282" s="2">
        <v>1401</v>
      </c>
      <c r="K282" s="2">
        <v>4</v>
      </c>
    </row>
    <row r="283" spans="1:11" x14ac:dyDescent="0.25">
      <c r="A283" t="s">
        <v>329</v>
      </c>
      <c r="B283" t="s">
        <v>39</v>
      </c>
      <c r="C283" t="s">
        <v>52</v>
      </c>
      <c r="D283" t="s">
        <v>25</v>
      </c>
      <c r="E283" s="1">
        <v>45007</v>
      </c>
      <c r="F283" s="1">
        <v>45019</v>
      </c>
      <c r="G283" s="2">
        <v>21.5</v>
      </c>
      <c r="H283" s="2">
        <v>136.58000000000001</v>
      </c>
      <c r="I283" t="s">
        <v>47</v>
      </c>
      <c r="J283" s="2">
        <v>916</v>
      </c>
      <c r="K283" s="2">
        <v>2</v>
      </c>
    </row>
    <row r="284" spans="1:11" x14ac:dyDescent="0.25">
      <c r="A284" t="s">
        <v>330</v>
      </c>
      <c r="B284" t="s">
        <v>56</v>
      </c>
      <c r="C284" t="s">
        <v>70</v>
      </c>
      <c r="D284" t="s">
        <v>37</v>
      </c>
      <c r="E284" s="1">
        <v>44991</v>
      </c>
      <c r="F284" s="1">
        <v>44995</v>
      </c>
      <c r="G284" s="2">
        <v>4.5999999999999996</v>
      </c>
      <c r="H284" s="2">
        <v>230.19</v>
      </c>
      <c r="I284" t="s">
        <v>15</v>
      </c>
      <c r="J284" s="2">
        <v>1778</v>
      </c>
      <c r="K284" s="2">
        <v>4</v>
      </c>
    </row>
    <row r="285" spans="1:11" x14ac:dyDescent="0.25">
      <c r="A285" t="s">
        <v>331</v>
      </c>
      <c r="B285" t="s">
        <v>35</v>
      </c>
      <c r="C285" t="s">
        <v>46</v>
      </c>
      <c r="D285" t="s">
        <v>32</v>
      </c>
      <c r="E285" s="1">
        <v>45236</v>
      </c>
      <c r="F285" s="1">
        <v>45242</v>
      </c>
      <c r="G285" s="2">
        <v>29.5</v>
      </c>
      <c r="H285" s="2">
        <v>194.07</v>
      </c>
      <c r="I285" t="s">
        <v>15</v>
      </c>
      <c r="J285" s="2">
        <v>1041</v>
      </c>
      <c r="K285" s="2">
        <v>6</v>
      </c>
    </row>
    <row r="286" spans="1:11" x14ac:dyDescent="0.25">
      <c r="A286" t="s">
        <v>332</v>
      </c>
      <c r="B286" t="s">
        <v>30</v>
      </c>
      <c r="C286" t="s">
        <v>70</v>
      </c>
      <c r="D286" t="s">
        <v>59</v>
      </c>
      <c r="E286" s="1">
        <v>45182</v>
      </c>
      <c r="F286" s="1">
        <v>45152</v>
      </c>
      <c r="G286" s="2">
        <v>8</v>
      </c>
      <c r="H286" s="2">
        <v>92.47</v>
      </c>
      <c r="I286" t="s">
        <v>15</v>
      </c>
      <c r="J286" s="2">
        <v>676</v>
      </c>
      <c r="K286" s="2">
        <v>5</v>
      </c>
    </row>
    <row r="287" spans="1:11" x14ac:dyDescent="0.25">
      <c r="A287" t="s">
        <v>333</v>
      </c>
      <c r="B287" t="s">
        <v>27</v>
      </c>
      <c r="C287" t="s">
        <v>54</v>
      </c>
      <c r="D287" t="s">
        <v>59</v>
      </c>
      <c r="E287" s="1">
        <v>45020</v>
      </c>
      <c r="F287" s="1">
        <v>45021</v>
      </c>
      <c r="G287" s="2">
        <v>9.9</v>
      </c>
      <c r="H287" s="2">
        <v>62.2</v>
      </c>
      <c r="I287" t="s">
        <v>15</v>
      </c>
      <c r="J287" s="2">
        <v>448</v>
      </c>
      <c r="K287" s="2">
        <v>1</v>
      </c>
    </row>
    <row r="288" spans="1:11" x14ac:dyDescent="0.25">
      <c r="A288" t="s">
        <v>334</v>
      </c>
      <c r="B288" t="s">
        <v>51</v>
      </c>
      <c r="C288" t="s">
        <v>31</v>
      </c>
      <c r="D288" t="s">
        <v>18</v>
      </c>
      <c r="E288" s="1">
        <v>44971</v>
      </c>
      <c r="F288" s="1">
        <v>44976</v>
      </c>
      <c r="G288" s="2">
        <v>27.2</v>
      </c>
      <c r="H288" s="2">
        <v>334.23</v>
      </c>
      <c r="I288" t="s">
        <v>15</v>
      </c>
      <c r="J288" s="2">
        <v>2033</v>
      </c>
      <c r="K288" s="2">
        <v>5</v>
      </c>
    </row>
    <row r="289" spans="1:11" x14ac:dyDescent="0.25">
      <c r="A289" t="s">
        <v>335</v>
      </c>
      <c r="B289" t="s">
        <v>56</v>
      </c>
      <c r="C289" t="s">
        <v>57</v>
      </c>
      <c r="D289" t="s">
        <v>18</v>
      </c>
      <c r="E289" s="1">
        <v>45188</v>
      </c>
      <c r="F289" s="1">
        <v>45192</v>
      </c>
      <c r="G289" s="2">
        <v>75.900000000000006</v>
      </c>
      <c r="H289" s="2">
        <v>251.01</v>
      </c>
      <c r="I289" t="s">
        <v>15</v>
      </c>
      <c r="J289" s="2">
        <v>939</v>
      </c>
      <c r="K289" s="2">
        <v>4</v>
      </c>
    </row>
    <row r="290" spans="1:11" x14ac:dyDescent="0.25">
      <c r="A290" t="s">
        <v>336</v>
      </c>
      <c r="B290" t="s">
        <v>56</v>
      </c>
      <c r="C290" t="s">
        <v>40</v>
      </c>
      <c r="D290" t="s">
        <v>14</v>
      </c>
      <c r="E290" s="1">
        <v>45091</v>
      </c>
      <c r="F290" s="1">
        <v>45093</v>
      </c>
      <c r="G290" s="2">
        <v>24.5</v>
      </c>
      <c r="H290" s="2">
        <v>142.72999999999999</v>
      </c>
      <c r="I290" t="s">
        <v>15</v>
      </c>
      <c r="J290" s="2">
        <v>926</v>
      </c>
      <c r="K290" s="2">
        <v>2</v>
      </c>
    </row>
    <row r="291" spans="1:11" x14ac:dyDescent="0.25">
      <c r="A291" t="s">
        <v>337</v>
      </c>
      <c r="B291" t="s">
        <v>39</v>
      </c>
      <c r="C291" t="s">
        <v>70</v>
      </c>
      <c r="D291" t="s">
        <v>25</v>
      </c>
      <c r="E291" s="1">
        <v>45126</v>
      </c>
      <c r="F291" s="1">
        <v>45132</v>
      </c>
      <c r="G291" s="2">
        <v>38.5</v>
      </c>
      <c r="H291" s="2">
        <v>330.97</v>
      </c>
      <c r="I291" t="s">
        <v>15</v>
      </c>
      <c r="J291" s="2">
        <v>2444</v>
      </c>
      <c r="K291" s="2">
        <v>6</v>
      </c>
    </row>
    <row r="292" spans="1:11" x14ac:dyDescent="0.25">
      <c r="A292" t="s">
        <v>338</v>
      </c>
      <c r="B292" t="s">
        <v>20</v>
      </c>
      <c r="C292" t="s">
        <v>28</v>
      </c>
      <c r="D292" t="s">
        <v>25</v>
      </c>
      <c r="E292" s="1">
        <v>45239</v>
      </c>
      <c r="F292" s="1">
        <v>45243</v>
      </c>
      <c r="G292" s="2">
        <v>10.6</v>
      </c>
      <c r="H292" s="2">
        <v>235.34</v>
      </c>
      <c r="I292" t="s">
        <v>15</v>
      </c>
      <c r="J292" s="2">
        <v>1435</v>
      </c>
      <c r="K292" s="2">
        <v>4</v>
      </c>
    </row>
    <row r="293" spans="1:11" x14ac:dyDescent="0.25">
      <c r="A293" t="s">
        <v>339</v>
      </c>
      <c r="B293" t="s">
        <v>39</v>
      </c>
      <c r="C293" t="s">
        <v>40</v>
      </c>
      <c r="D293" t="s">
        <v>37</v>
      </c>
      <c r="E293" s="1">
        <v>44992</v>
      </c>
      <c r="F293" s="1">
        <v>44997</v>
      </c>
      <c r="G293" s="2">
        <v>10.1</v>
      </c>
      <c r="H293" s="2">
        <v>231.81</v>
      </c>
      <c r="I293" t="s">
        <v>60</v>
      </c>
      <c r="J293" s="2">
        <v>1875</v>
      </c>
      <c r="K293" s="2">
        <v>5</v>
      </c>
    </row>
    <row r="294" spans="1:11" x14ac:dyDescent="0.25">
      <c r="A294" t="s">
        <v>340</v>
      </c>
      <c r="B294" t="s">
        <v>20</v>
      </c>
      <c r="C294" t="s">
        <v>31</v>
      </c>
      <c r="D294" t="s">
        <v>32</v>
      </c>
      <c r="E294" s="1">
        <v>45074</v>
      </c>
      <c r="F294" s="1">
        <v>45079</v>
      </c>
      <c r="G294" s="2">
        <v>18.399999999999999</v>
      </c>
      <c r="H294" s="2">
        <v>302.47000000000003</v>
      </c>
      <c r="I294" t="s">
        <v>15</v>
      </c>
      <c r="J294" s="2">
        <v>2280</v>
      </c>
      <c r="K294" s="2">
        <v>5</v>
      </c>
    </row>
    <row r="295" spans="1:11" x14ac:dyDescent="0.25">
      <c r="A295" t="s">
        <v>341</v>
      </c>
      <c r="B295" t="s">
        <v>12</v>
      </c>
      <c r="C295" t="s">
        <v>52</v>
      </c>
      <c r="D295" t="s">
        <v>18</v>
      </c>
      <c r="E295" s="1">
        <v>45246</v>
      </c>
      <c r="F295" s="1">
        <v>45250</v>
      </c>
      <c r="G295" s="2">
        <v>16.7</v>
      </c>
      <c r="H295" s="2">
        <v>341.36</v>
      </c>
      <c r="I295" t="s">
        <v>15</v>
      </c>
      <c r="J295" s="2">
        <v>1808</v>
      </c>
      <c r="K295" s="2">
        <v>4</v>
      </c>
    </row>
    <row r="296" spans="1:11" x14ac:dyDescent="0.25">
      <c r="A296" t="s">
        <v>342</v>
      </c>
      <c r="B296" t="s">
        <v>56</v>
      </c>
      <c r="C296" t="s">
        <v>17</v>
      </c>
      <c r="D296" t="s">
        <v>14</v>
      </c>
      <c r="E296" s="1">
        <v>45076</v>
      </c>
      <c r="F296" s="1">
        <v>45081</v>
      </c>
      <c r="G296" s="2">
        <v>4.0999999999999996</v>
      </c>
      <c r="H296" s="2">
        <v>237.12</v>
      </c>
      <c r="I296" t="s">
        <v>15</v>
      </c>
      <c r="J296" s="2">
        <v>1790</v>
      </c>
      <c r="K296" s="2">
        <v>5</v>
      </c>
    </row>
    <row r="297" spans="1:11" x14ac:dyDescent="0.25">
      <c r="A297" t="s">
        <v>343</v>
      </c>
      <c r="B297" t="s">
        <v>12</v>
      </c>
      <c r="C297" t="s">
        <v>31</v>
      </c>
      <c r="D297" t="s">
        <v>25</v>
      </c>
      <c r="E297" s="1">
        <v>45038</v>
      </c>
      <c r="F297" s="1">
        <v>45042</v>
      </c>
      <c r="G297" s="2">
        <v>5.2</v>
      </c>
      <c r="H297" s="2">
        <v>127.1</v>
      </c>
      <c r="I297" t="s">
        <v>15</v>
      </c>
      <c r="J297" s="2">
        <v>1049</v>
      </c>
      <c r="K297" s="2">
        <v>4</v>
      </c>
    </row>
    <row r="298" spans="1:11" x14ac:dyDescent="0.25">
      <c r="A298" t="s">
        <v>344</v>
      </c>
      <c r="B298" t="s">
        <v>49</v>
      </c>
      <c r="C298" t="s">
        <v>46</v>
      </c>
      <c r="D298" t="s">
        <v>42</v>
      </c>
      <c r="E298" s="1">
        <v>44990</v>
      </c>
      <c r="F298" s="1">
        <v>45003</v>
      </c>
      <c r="G298" s="2">
        <v>23.7</v>
      </c>
      <c r="H298" s="2">
        <v>82.89</v>
      </c>
      <c r="I298" t="s">
        <v>47</v>
      </c>
      <c r="J298" s="2">
        <v>461</v>
      </c>
      <c r="K298" s="2">
        <v>6</v>
      </c>
    </row>
    <row r="299" spans="1:11" x14ac:dyDescent="0.25">
      <c r="A299" t="s">
        <v>345</v>
      </c>
      <c r="B299" t="s">
        <v>39</v>
      </c>
      <c r="C299" t="s">
        <v>36</v>
      </c>
      <c r="D299" t="s">
        <v>32</v>
      </c>
      <c r="E299" s="1">
        <v>45135</v>
      </c>
      <c r="F299" s="1">
        <v>45140</v>
      </c>
      <c r="G299" s="2">
        <v>21.8</v>
      </c>
      <c r="H299" s="2">
        <v>204.43</v>
      </c>
      <c r="I299" t="s">
        <v>15</v>
      </c>
      <c r="J299" s="2">
        <v>1218</v>
      </c>
      <c r="K299" s="2">
        <v>5</v>
      </c>
    </row>
    <row r="300" spans="1:11" x14ac:dyDescent="0.25">
      <c r="A300" t="s">
        <v>346</v>
      </c>
      <c r="B300" t="s">
        <v>20</v>
      </c>
      <c r="C300" t="s">
        <v>70</v>
      </c>
      <c r="D300" t="s">
        <v>59</v>
      </c>
      <c r="E300" s="1">
        <v>45070</v>
      </c>
      <c r="F300" s="1">
        <v>45076</v>
      </c>
      <c r="G300" s="2">
        <v>20</v>
      </c>
      <c r="H300" s="2">
        <v>255.06</v>
      </c>
      <c r="I300" t="s">
        <v>15</v>
      </c>
      <c r="J300" s="2">
        <v>2144</v>
      </c>
      <c r="K300" s="2">
        <v>6</v>
      </c>
    </row>
    <row r="301" spans="1:11" x14ac:dyDescent="0.25">
      <c r="A301" t="s">
        <v>347</v>
      </c>
      <c r="B301" t="s">
        <v>49</v>
      </c>
      <c r="C301" t="s">
        <v>46</v>
      </c>
      <c r="D301" t="s">
        <v>42</v>
      </c>
      <c r="E301" s="1">
        <v>45250</v>
      </c>
      <c r="F301" s="1">
        <v>45254</v>
      </c>
      <c r="G301" s="2">
        <v>12.7</v>
      </c>
      <c r="H301" s="2">
        <v>261.22000000000003</v>
      </c>
      <c r="I301" t="s">
        <v>15</v>
      </c>
      <c r="J301" s="2">
        <v>1547</v>
      </c>
      <c r="K301" s="2">
        <v>4</v>
      </c>
    </row>
    <row r="302" spans="1:11" x14ac:dyDescent="0.25">
      <c r="A302" t="s">
        <v>348</v>
      </c>
      <c r="B302" t="s">
        <v>39</v>
      </c>
      <c r="C302" t="s">
        <v>28</v>
      </c>
      <c r="D302" t="s">
        <v>18</v>
      </c>
      <c r="E302" s="1">
        <v>45106</v>
      </c>
      <c r="F302" s="1">
        <v>45108</v>
      </c>
      <c r="G302" s="2">
        <v>22.8</v>
      </c>
      <c r="H302" s="2">
        <v>76.069999999999993</v>
      </c>
      <c r="I302" t="s">
        <v>15</v>
      </c>
      <c r="J302" s="2">
        <v>370</v>
      </c>
      <c r="K302" s="2">
        <v>2</v>
      </c>
    </row>
    <row r="303" spans="1:11" x14ac:dyDescent="0.25">
      <c r="A303" t="s">
        <v>349</v>
      </c>
      <c r="B303" t="s">
        <v>49</v>
      </c>
      <c r="C303" t="s">
        <v>46</v>
      </c>
      <c r="D303" t="s">
        <v>18</v>
      </c>
      <c r="E303" s="1">
        <v>45098</v>
      </c>
      <c r="F303" s="1">
        <v>45107</v>
      </c>
      <c r="G303" s="2">
        <v>12.6</v>
      </c>
      <c r="H303" s="2">
        <v>332.46</v>
      </c>
      <c r="I303" t="s">
        <v>15</v>
      </c>
      <c r="J303" s="2">
        <v>2400</v>
      </c>
      <c r="K303" s="2">
        <v>9</v>
      </c>
    </row>
    <row r="304" spans="1:11" x14ac:dyDescent="0.25">
      <c r="A304" t="s">
        <v>350</v>
      </c>
      <c r="B304" t="s">
        <v>49</v>
      </c>
      <c r="C304" t="s">
        <v>17</v>
      </c>
      <c r="D304" t="s">
        <v>14</v>
      </c>
      <c r="E304" s="1">
        <v>45185</v>
      </c>
      <c r="F304" s="1">
        <v>45189</v>
      </c>
      <c r="G304" s="2">
        <v>25</v>
      </c>
      <c r="H304" s="2">
        <v>203.15</v>
      </c>
      <c r="I304" t="s">
        <v>15</v>
      </c>
      <c r="J304" s="2">
        <v>1477</v>
      </c>
      <c r="K304" s="2">
        <v>4</v>
      </c>
    </row>
    <row r="305" spans="1:11" x14ac:dyDescent="0.25">
      <c r="A305" t="s">
        <v>351</v>
      </c>
      <c r="B305" t="s">
        <v>56</v>
      </c>
      <c r="C305" t="s">
        <v>46</v>
      </c>
      <c r="D305" t="s">
        <v>18</v>
      </c>
      <c r="E305" s="1">
        <v>45265</v>
      </c>
      <c r="F305" s="1">
        <v>45270</v>
      </c>
      <c r="G305" s="2">
        <v>30.5</v>
      </c>
      <c r="H305" s="2">
        <v>464.17</v>
      </c>
      <c r="I305" t="s">
        <v>15</v>
      </c>
      <c r="J305" s="2">
        <v>2363</v>
      </c>
      <c r="K305" s="2">
        <v>5</v>
      </c>
    </row>
    <row r="306" spans="1:11" x14ac:dyDescent="0.25">
      <c r="A306" t="s">
        <v>352</v>
      </c>
      <c r="B306" t="s">
        <v>27</v>
      </c>
      <c r="C306" t="s">
        <v>31</v>
      </c>
      <c r="D306" t="s">
        <v>37</v>
      </c>
      <c r="E306" s="1">
        <v>45266</v>
      </c>
      <c r="F306" s="1">
        <v>45271</v>
      </c>
      <c r="G306" s="2">
        <v>20.6</v>
      </c>
      <c r="H306" s="2">
        <v>246.74</v>
      </c>
      <c r="I306" t="s">
        <v>15</v>
      </c>
      <c r="J306" s="2">
        <v>1442</v>
      </c>
      <c r="K306" s="2">
        <v>5</v>
      </c>
    </row>
    <row r="307" spans="1:11" x14ac:dyDescent="0.25">
      <c r="A307" t="s">
        <v>353</v>
      </c>
      <c r="B307" t="s">
        <v>35</v>
      </c>
      <c r="C307" t="s">
        <v>81</v>
      </c>
      <c r="D307" t="s">
        <v>25</v>
      </c>
      <c r="E307" s="1">
        <v>45149</v>
      </c>
      <c r="F307" s="1">
        <v>45155</v>
      </c>
      <c r="G307" s="2">
        <v>46.9</v>
      </c>
      <c r="H307" s="2">
        <v>188.95</v>
      </c>
      <c r="I307" t="s">
        <v>47</v>
      </c>
      <c r="J307" s="2">
        <v>1000</v>
      </c>
      <c r="K307" s="2">
        <v>2</v>
      </c>
    </row>
    <row r="308" spans="1:11" x14ac:dyDescent="0.25">
      <c r="A308" t="s">
        <v>354</v>
      </c>
      <c r="B308" t="s">
        <v>35</v>
      </c>
      <c r="C308" t="s">
        <v>36</v>
      </c>
      <c r="D308" t="s">
        <v>42</v>
      </c>
      <c r="E308" s="1">
        <v>44984</v>
      </c>
      <c r="F308" s="1">
        <v>44985</v>
      </c>
      <c r="G308" s="2">
        <v>30.2</v>
      </c>
      <c r="H308" s="2">
        <v>71.67</v>
      </c>
      <c r="I308" t="s">
        <v>15</v>
      </c>
      <c r="J308" s="2">
        <v>290</v>
      </c>
      <c r="K308" s="2">
        <v>1</v>
      </c>
    </row>
    <row r="309" spans="1:11" x14ac:dyDescent="0.25">
      <c r="A309" t="s">
        <v>355</v>
      </c>
      <c r="B309" t="s">
        <v>56</v>
      </c>
      <c r="C309" t="s">
        <v>57</v>
      </c>
      <c r="D309" t="s">
        <v>42</v>
      </c>
      <c r="E309" s="1">
        <v>44978</v>
      </c>
      <c r="F309" s="1">
        <v>44982</v>
      </c>
      <c r="G309" s="2">
        <v>17.2</v>
      </c>
      <c r="H309" s="2">
        <v>133.74</v>
      </c>
      <c r="I309" t="s">
        <v>15</v>
      </c>
      <c r="J309" s="2">
        <v>888</v>
      </c>
      <c r="K309" s="2">
        <v>4</v>
      </c>
    </row>
    <row r="310" spans="1:11" x14ac:dyDescent="0.25">
      <c r="A310" t="s">
        <v>356</v>
      </c>
      <c r="B310" t="s">
        <v>39</v>
      </c>
      <c r="C310" t="s">
        <v>31</v>
      </c>
      <c r="D310" t="s">
        <v>18</v>
      </c>
      <c r="E310" s="1">
        <v>45000</v>
      </c>
      <c r="F310" s="1">
        <v>45006</v>
      </c>
      <c r="G310" s="2">
        <v>14.4</v>
      </c>
      <c r="H310" s="2">
        <v>391.92</v>
      </c>
      <c r="I310" t="s">
        <v>15</v>
      </c>
      <c r="J310" s="2">
        <v>2448</v>
      </c>
      <c r="K310" s="2">
        <v>6</v>
      </c>
    </row>
    <row r="311" spans="1:11" x14ac:dyDescent="0.25">
      <c r="A311" t="s">
        <v>357</v>
      </c>
      <c r="B311" t="s">
        <v>56</v>
      </c>
      <c r="C311" t="s">
        <v>52</v>
      </c>
      <c r="D311" t="s">
        <v>37</v>
      </c>
      <c r="E311" s="1">
        <v>45240</v>
      </c>
      <c r="F311" s="1">
        <v>45252</v>
      </c>
      <c r="G311" s="2">
        <v>36.5</v>
      </c>
      <c r="H311" s="2">
        <v>109.9</v>
      </c>
      <c r="I311" t="s">
        <v>47</v>
      </c>
      <c r="J311" s="2">
        <v>385</v>
      </c>
      <c r="K311" s="2">
        <v>2</v>
      </c>
    </row>
    <row r="312" spans="1:11" x14ac:dyDescent="0.25">
      <c r="A312" t="s">
        <v>358</v>
      </c>
      <c r="B312" t="s">
        <v>27</v>
      </c>
      <c r="C312" t="s">
        <v>46</v>
      </c>
      <c r="D312" t="s">
        <v>37</v>
      </c>
      <c r="E312" s="1">
        <v>45014</v>
      </c>
      <c r="F312" s="1">
        <v>45025</v>
      </c>
      <c r="G312" s="2">
        <v>17.5</v>
      </c>
      <c r="H312" s="2">
        <v>198</v>
      </c>
      <c r="I312" t="s">
        <v>47</v>
      </c>
      <c r="J312" s="2">
        <v>1539</v>
      </c>
      <c r="K312" s="2">
        <v>4</v>
      </c>
    </row>
    <row r="313" spans="1:11" x14ac:dyDescent="0.25">
      <c r="A313" t="s">
        <v>359</v>
      </c>
      <c r="B313" t="s">
        <v>20</v>
      </c>
      <c r="C313" t="s">
        <v>28</v>
      </c>
      <c r="D313" t="s">
        <v>42</v>
      </c>
      <c r="E313" s="1">
        <v>45128</v>
      </c>
      <c r="F313" s="1">
        <v>45134</v>
      </c>
      <c r="G313" s="2">
        <v>60.6</v>
      </c>
      <c r="H313" s="2">
        <v>242.49</v>
      </c>
      <c r="I313" t="s">
        <v>15</v>
      </c>
      <c r="J313" s="2">
        <v>1435</v>
      </c>
      <c r="K313" s="2">
        <v>6</v>
      </c>
    </row>
    <row r="314" spans="1:11" x14ac:dyDescent="0.25">
      <c r="A314" t="s">
        <v>360</v>
      </c>
      <c r="B314" t="s">
        <v>30</v>
      </c>
      <c r="C314" t="s">
        <v>57</v>
      </c>
      <c r="D314" t="s">
        <v>37</v>
      </c>
      <c r="E314" s="1">
        <v>45099</v>
      </c>
      <c r="F314" s="1">
        <v>45104</v>
      </c>
      <c r="G314" s="2">
        <v>8.3000000000000007</v>
      </c>
      <c r="H314" s="2">
        <v>208.92</v>
      </c>
      <c r="I314" t="s">
        <v>15</v>
      </c>
      <c r="J314" s="2">
        <v>1713</v>
      </c>
      <c r="K314" s="2">
        <v>5</v>
      </c>
    </row>
    <row r="315" spans="1:11" x14ac:dyDescent="0.25">
      <c r="A315" t="s">
        <v>361</v>
      </c>
      <c r="B315" t="s">
        <v>30</v>
      </c>
      <c r="C315" t="s">
        <v>24</v>
      </c>
      <c r="D315" t="s">
        <v>37</v>
      </c>
      <c r="E315" s="1">
        <v>45279</v>
      </c>
      <c r="F315" s="1">
        <v>45281</v>
      </c>
      <c r="G315" s="2">
        <v>20.399999999999999</v>
      </c>
      <c r="H315" s="2">
        <v>44.83</v>
      </c>
      <c r="I315" t="s">
        <v>60</v>
      </c>
      <c r="J315" s="2">
        <v>135</v>
      </c>
      <c r="K315" s="2">
        <v>2</v>
      </c>
    </row>
    <row r="316" spans="1:11" x14ac:dyDescent="0.25">
      <c r="A316" t="s">
        <v>362</v>
      </c>
      <c r="B316" t="s">
        <v>35</v>
      </c>
      <c r="C316" t="s">
        <v>36</v>
      </c>
      <c r="D316" t="s">
        <v>18</v>
      </c>
      <c r="E316" s="1">
        <v>45227</v>
      </c>
      <c r="F316" s="1">
        <v>45231</v>
      </c>
      <c r="G316" s="2">
        <v>37.9</v>
      </c>
      <c r="H316" s="2">
        <v>100.86</v>
      </c>
      <c r="I316" t="s">
        <v>15</v>
      </c>
      <c r="J316" s="2">
        <v>305</v>
      </c>
      <c r="K316" s="2">
        <v>4</v>
      </c>
    </row>
    <row r="317" spans="1:11" x14ac:dyDescent="0.25">
      <c r="A317" t="s">
        <v>363</v>
      </c>
      <c r="B317" t="s">
        <v>56</v>
      </c>
      <c r="C317" t="s">
        <v>31</v>
      </c>
      <c r="D317" t="s">
        <v>32</v>
      </c>
      <c r="E317" s="1">
        <v>45078</v>
      </c>
      <c r="F317" s="1">
        <v>45083</v>
      </c>
      <c r="G317" s="2">
        <v>16.2</v>
      </c>
      <c r="H317" s="2">
        <v>301.83999999999997</v>
      </c>
      <c r="I317" t="s">
        <v>62</v>
      </c>
      <c r="J317" s="2">
        <v>2209</v>
      </c>
      <c r="K317" s="2">
        <v>5</v>
      </c>
    </row>
    <row r="318" spans="1:11" x14ac:dyDescent="0.25">
      <c r="A318" t="s">
        <v>364</v>
      </c>
      <c r="B318" t="s">
        <v>35</v>
      </c>
      <c r="C318" t="s">
        <v>81</v>
      </c>
      <c r="D318" t="s">
        <v>59</v>
      </c>
      <c r="E318" s="1">
        <v>44927</v>
      </c>
      <c r="F318" s="1">
        <v>44933</v>
      </c>
      <c r="G318" s="2">
        <v>23.8</v>
      </c>
      <c r="H318" s="2">
        <v>128.01</v>
      </c>
      <c r="I318" t="s">
        <v>15</v>
      </c>
      <c r="J318" s="2">
        <v>1000</v>
      </c>
      <c r="K318" s="2">
        <v>6</v>
      </c>
    </row>
    <row r="319" spans="1:11" x14ac:dyDescent="0.25">
      <c r="A319" t="s">
        <v>365</v>
      </c>
      <c r="B319" t="s">
        <v>23</v>
      </c>
      <c r="C319" t="s">
        <v>46</v>
      </c>
      <c r="D319" t="s">
        <v>25</v>
      </c>
      <c r="E319" s="1">
        <v>45179</v>
      </c>
      <c r="F319" s="1">
        <v>45188</v>
      </c>
      <c r="G319" s="2">
        <v>15.9</v>
      </c>
      <c r="H319" s="2">
        <v>284.07</v>
      </c>
      <c r="I319" t="s">
        <v>15</v>
      </c>
      <c r="J319" s="2">
        <v>2374</v>
      </c>
      <c r="K319" s="2">
        <v>9</v>
      </c>
    </row>
    <row r="320" spans="1:11" x14ac:dyDescent="0.25">
      <c r="A320" t="s">
        <v>366</v>
      </c>
      <c r="B320" t="s">
        <v>39</v>
      </c>
      <c r="C320" t="s">
        <v>70</v>
      </c>
      <c r="D320" t="s">
        <v>25</v>
      </c>
      <c r="E320" s="1">
        <v>45256</v>
      </c>
      <c r="F320" s="1">
        <v>45276</v>
      </c>
      <c r="G320" s="2">
        <v>77.8</v>
      </c>
      <c r="H320" s="2">
        <v>413.72</v>
      </c>
      <c r="I320" t="s">
        <v>47</v>
      </c>
      <c r="J320" s="2">
        <v>2313</v>
      </c>
      <c r="K320" s="2">
        <v>10</v>
      </c>
    </row>
    <row r="321" spans="1:11" x14ac:dyDescent="0.25">
      <c r="A321" t="s">
        <v>367</v>
      </c>
      <c r="B321" t="s">
        <v>35</v>
      </c>
      <c r="C321" t="s">
        <v>40</v>
      </c>
      <c r="D321" t="s">
        <v>59</v>
      </c>
      <c r="E321" s="1">
        <v>45007</v>
      </c>
      <c r="F321" s="1">
        <v>45011</v>
      </c>
      <c r="G321" s="2">
        <v>8.1</v>
      </c>
      <c r="H321" s="2">
        <v>41.68</v>
      </c>
      <c r="I321" t="s">
        <v>15</v>
      </c>
      <c r="J321" s="2">
        <v>283</v>
      </c>
      <c r="K321" s="2">
        <v>4</v>
      </c>
    </row>
    <row r="322" spans="1:11" x14ac:dyDescent="0.25">
      <c r="A322" t="s">
        <v>368</v>
      </c>
      <c r="B322" t="s">
        <v>23</v>
      </c>
      <c r="C322" t="s">
        <v>57</v>
      </c>
      <c r="D322" t="s">
        <v>25</v>
      </c>
      <c r="E322" s="1">
        <v>45215</v>
      </c>
      <c r="F322" s="1">
        <v>45220</v>
      </c>
      <c r="G322" s="2">
        <v>52.1</v>
      </c>
      <c r="H322" s="2">
        <v>282.08</v>
      </c>
      <c r="I322" t="s">
        <v>15</v>
      </c>
      <c r="J322" s="2">
        <v>1861</v>
      </c>
      <c r="K322" s="2">
        <v>5</v>
      </c>
    </row>
    <row r="323" spans="1:11" x14ac:dyDescent="0.25">
      <c r="A323" t="s">
        <v>369</v>
      </c>
      <c r="B323" t="s">
        <v>56</v>
      </c>
      <c r="C323" t="s">
        <v>21</v>
      </c>
      <c r="D323" t="s">
        <v>42</v>
      </c>
      <c r="E323" s="1">
        <v>45196</v>
      </c>
      <c r="G323" s="2">
        <v>6.9</v>
      </c>
      <c r="H323" s="2">
        <v>53.22</v>
      </c>
      <c r="I323" t="s">
        <v>15</v>
      </c>
      <c r="J323" s="2">
        <v>424</v>
      </c>
      <c r="K323" s="2">
        <v>2</v>
      </c>
    </row>
    <row r="324" spans="1:11" x14ac:dyDescent="0.25">
      <c r="A324" t="s">
        <v>370</v>
      </c>
      <c r="B324" t="s">
        <v>20</v>
      </c>
      <c r="C324" t="s">
        <v>52</v>
      </c>
      <c r="D324" t="s">
        <v>37</v>
      </c>
      <c r="E324" s="1">
        <v>44937</v>
      </c>
      <c r="F324" s="1">
        <v>44943</v>
      </c>
      <c r="G324" s="2">
        <v>22.6</v>
      </c>
      <c r="H324" s="2">
        <v>76.63</v>
      </c>
      <c r="I324" t="s">
        <v>47</v>
      </c>
      <c r="J324" s="2">
        <v>373</v>
      </c>
      <c r="K324" s="2">
        <v>5</v>
      </c>
    </row>
    <row r="325" spans="1:11" x14ac:dyDescent="0.25">
      <c r="A325" t="s">
        <v>371</v>
      </c>
      <c r="B325" t="s">
        <v>30</v>
      </c>
      <c r="C325" t="s">
        <v>52</v>
      </c>
      <c r="D325" t="s">
        <v>59</v>
      </c>
      <c r="E325" s="1">
        <v>45187</v>
      </c>
      <c r="F325" s="1">
        <v>45192</v>
      </c>
      <c r="G325" s="2">
        <v>31.9</v>
      </c>
      <c r="H325" s="2">
        <v>207.32</v>
      </c>
      <c r="I325" t="s">
        <v>15</v>
      </c>
      <c r="J325" s="2">
        <v>1520</v>
      </c>
      <c r="K325" s="2">
        <v>5</v>
      </c>
    </row>
    <row r="326" spans="1:11" x14ac:dyDescent="0.25">
      <c r="A326" t="s">
        <v>372</v>
      </c>
      <c r="B326" t="s">
        <v>23</v>
      </c>
      <c r="C326" t="s">
        <v>54</v>
      </c>
      <c r="D326" t="s">
        <v>32</v>
      </c>
      <c r="E326" s="1">
        <v>45222</v>
      </c>
      <c r="F326" s="1">
        <v>45226</v>
      </c>
      <c r="G326" s="2">
        <v>45.9</v>
      </c>
      <c r="H326" s="2">
        <v>89.19</v>
      </c>
      <c r="I326" t="s">
        <v>15</v>
      </c>
      <c r="J326" s="2">
        <v>247</v>
      </c>
      <c r="K326" s="2">
        <v>4</v>
      </c>
    </row>
    <row r="327" spans="1:11" x14ac:dyDescent="0.25">
      <c r="A327" t="s">
        <v>373</v>
      </c>
      <c r="B327" t="s">
        <v>30</v>
      </c>
      <c r="C327" t="s">
        <v>21</v>
      </c>
      <c r="D327" t="s">
        <v>32</v>
      </c>
      <c r="E327" s="1">
        <v>45133</v>
      </c>
      <c r="F327" s="1">
        <v>45137</v>
      </c>
      <c r="G327" s="2">
        <v>14.9</v>
      </c>
      <c r="H327" s="2">
        <v>112.48</v>
      </c>
      <c r="I327" t="s">
        <v>15</v>
      </c>
      <c r="J327" s="2">
        <v>789</v>
      </c>
      <c r="K327" s="2">
        <v>4</v>
      </c>
    </row>
    <row r="328" spans="1:11" x14ac:dyDescent="0.25">
      <c r="A328" t="s">
        <v>374</v>
      </c>
      <c r="B328" t="s">
        <v>35</v>
      </c>
      <c r="C328" t="s">
        <v>81</v>
      </c>
      <c r="D328" t="s">
        <v>37</v>
      </c>
      <c r="E328" s="1">
        <v>44962</v>
      </c>
      <c r="F328" s="1">
        <v>44966</v>
      </c>
      <c r="G328" s="2">
        <v>27.6</v>
      </c>
      <c r="H328" s="2">
        <v>165.2</v>
      </c>
      <c r="I328" t="s">
        <v>15</v>
      </c>
      <c r="J328" s="2">
        <v>1000</v>
      </c>
      <c r="K328" s="2">
        <v>4</v>
      </c>
    </row>
    <row r="329" spans="1:11" x14ac:dyDescent="0.25">
      <c r="A329" t="s">
        <v>375</v>
      </c>
      <c r="B329" t="s">
        <v>39</v>
      </c>
      <c r="C329" t="s">
        <v>17</v>
      </c>
      <c r="D329" t="s">
        <v>18</v>
      </c>
      <c r="E329" s="1">
        <v>45010</v>
      </c>
      <c r="F329" s="1">
        <v>45012</v>
      </c>
      <c r="G329" s="2">
        <v>8.3000000000000007</v>
      </c>
      <c r="H329" s="2">
        <v>128.12</v>
      </c>
      <c r="I329" t="s">
        <v>15</v>
      </c>
      <c r="J329" s="2">
        <v>800</v>
      </c>
      <c r="K329" s="2">
        <v>2</v>
      </c>
    </row>
    <row r="330" spans="1:11" x14ac:dyDescent="0.25">
      <c r="A330" t="s">
        <v>376</v>
      </c>
      <c r="B330" t="s">
        <v>30</v>
      </c>
      <c r="C330" t="s">
        <v>44</v>
      </c>
      <c r="D330" t="s">
        <v>18</v>
      </c>
      <c r="E330" s="1">
        <v>45226</v>
      </c>
      <c r="F330" s="1">
        <v>45231</v>
      </c>
      <c r="G330" s="2">
        <v>41.8</v>
      </c>
      <c r="H330" s="2">
        <v>174.68</v>
      </c>
      <c r="I330" t="s">
        <v>15</v>
      </c>
      <c r="J330" s="2">
        <v>773</v>
      </c>
      <c r="K330" s="2">
        <v>5</v>
      </c>
    </row>
    <row r="331" spans="1:11" x14ac:dyDescent="0.25">
      <c r="A331" t="s">
        <v>377</v>
      </c>
      <c r="B331" t="s">
        <v>56</v>
      </c>
      <c r="C331" t="s">
        <v>24</v>
      </c>
      <c r="D331" t="s">
        <v>37</v>
      </c>
      <c r="E331" s="1">
        <v>45111</v>
      </c>
      <c r="F331" s="1">
        <v>45116</v>
      </c>
      <c r="G331" s="2">
        <v>10.7</v>
      </c>
      <c r="H331" s="2">
        <v>219.9</v>
      </c>
      <c r="I331" t="s">
        <v>60</v>
      </c>
      <c r="J331" s="2">
        <v>1857</v>
      </c>
      <c r="K331" s="2">
        <v>5</v>
      </c>
    </row>
    <row r="332" spans="1:11" x14ac:dyDescent="0.25">
      <c r="A332" t="s">
        <v>378</v>
      </c>
      <c r="B332" t="s">
        <v>12</v>
      </c>
      <c r="C332" t="s">
        <v>40</v>
      </c>
      <c r="D332" t="s">
        <v>37</v>
      </c>
      <c r="E332" s="1">
        <v>45117</v>
      </c>
      <c r="F332" s="1">
        <v>45120</v>
      </c>
      <c r="G332" s="2">
        <v>8.3000000000000007</v>
      </c>
      <c r="H332" s="2">
        <v>154.62</v>
      </c>
      <c r="I332" t="s">
        <v>15</v>
      </c>
      <c r="J332" s="2">
        <v>1155</v>
      </c>
      <c r="K332" s="2">
        <v>3</v>
      </c>
    </row>
    <row r="333" spans="1:11" x14ac:dyDescent="0.25">
      <c r="A333" t="s">
        <v>379</v>
      </c>
      <c r="B333" t="s">
        <v>51</v>
      </c>
      <c r="C333" t="s">
        <v>21</v>
      </c>
      <c r="D333" t="s">
        <v>14</v>
      </c>
      <c r="E333" s="1">
        <v>45080</v>
      </c>
      <c r="F333" s="1">
        <v>45084</v>
      </c>
      <c r="G333" s="2">
        <v>67.900000000000006</v>
      </c>
      <c r="H333" s="2">
        <v>253.84</v>
      </c>
      <c r="I333" t="s">
        <v>15</v>
      </c>
      <c r="J333" s="2">
        <v>1154</v>
      </c>
      <c r="K333" s="2">
        <v>4</v>
      </c>
    </row>
    <row r="334" spans="1:11" x14ac:dyDescent="0.25">
      <c r="A334" t="s">
        <v>380</v>
      </c>
      <c r="B334" t="s">
        <v>12</v>
      </c>
      <c r="C334" t="s">
        <v>81</v>
      </c>
      <c r="D334" t="s">
        <v>14</v>
      </c>
      <c r="E334" s="1">
        <v>45237</v>
      </c>
      <c r="F334" s="1">
        <v>45241</v>
      </c>
      <c r="G334" s="2">
        <v>10.3</v>
      </c>
      <c r="H334" s="2">
        <v>233.37</v>
      </c>
      <c r="I334" t="s">
        <v>15</v>
      </c>
      <c r="J334" s="2">
        <v>1477</v>
      </c>
      <c r="K334" s="2">
        <v>4</v>
      </c>
    </row>
    <row r="335" spans="1:11" x14ac:dyDescent="0.25">
      <c r="A335" t="s">
        <v>381</v>
      </c>
      <c r="B335" t="s">
        <v>51</v>
      </c>
      <c r="C335" t="s">
        <v>21</v>
      </c>
      <c r="D335" t="s">
        <v>25</v>
      </c>
      <c r="E335" s="1">
        <v>44956</v>
      </c>
      <c r="F335" s="1">
        <v>44960</v>
      </c>
      <c r="G335" s="2">
        <v>22.7</v>
      </c>
      <c r="H335" s="2">
        <v>218.75</v>
      </c>
      <c r="I335" t="s">
        <v>15</v>
      </c>
      <c r="J335" s="2">
        <v>1541</v>
      </c>
      <c r="K335" s="2">
        <v>4</v>
      </c>
    </row>
    <row r="336" spans="1:11" x14ac:dyDescent="0.25">
      <c r="A336" t="s">
        <v>382</v>
      </c>
      <c r="B336" t="s">
        <v>20</v>
      </c>
      <c r="C336" t="s">
        <v>54</v>
      </c>
      <c r="D336" t="s">
        <v>18</v>
      </c>
      <c r="E336" s="1">
        <v>45237</v>
      </c>
      <c r="F336" s="1">
        <v>45240</v>
      </c>
      <c r="G336" s="2">
        <v>19</v>
      </c>
      <c r="H336" s="2">
        <v>127.07</v>
      </c>
      <c r="I336" t="s">
        <v>15</v>
      </c>
      <c r="J336" s="2">
        <v>622</v>
      </c>
      <c r="K336" s="2">
        <v>3</v>
      </c>
    </row>
    <row r="337" spans="1:11" x14ac:dyDescent="0.25">
      <c r="A337" t="s">
        <v>383</v>
      </c>
      <c r="B337" t="s">
        <v>23</v>
      </c>
      <c r="C337" t="s">
        <v>57</v>
      </c>
      <c r="D337" t="s">
        <v>37</v>
      </c>
      <c r="E337" s="1">
        <v>45040</v>
      </c>
      <c r="F337" s="1">
        <v>45042</v>
      </c>
      <c r="G337" s="2">
        <v>43.4</v>
      </c>
      <c r="I337" t="s">
        <v>15</v>
      </c>
      <c r="J337" s="2">
        <v>844</v>
      </c>
      <c r="K337" s="2">
        <v>2</v>
      </c>
    </row>
    <row r="338" spans="1:11" x14ac:dyDescent="0.25">
      <c r="A338" t="s">
        <v>384</v>
      </c>
      <c r="B338" t="s">
        <v>49</v>
      </c>
      <c r="C338" t="s">
        <v>52</v>
      </c>
      <c r="D338" t="s">
        <v>37</v>
      </c>
      <c r="E338" s="1">
        <v>45043</v>
      </c>
      <c r="F338" s="1">
        <v>45046</v>
      </c>
      <c r="G338" s="2">
        <v>12.7</v>
      </c>
      <c r="H338" s="2">
        <v>192.88</v>
      </c>
      <c r="I338" t="s">
        <v>15</v>
      </c>
      <c r="J338" s="2">
        <v>1608</v>
      </c>
      <c r="K338" s="2">
        <v>3</v>
      </c>
    </row>
    <row r="339" spans="1:11" x14ac:dyDescent="0.25">
      <c r="A339" t="s">
        <v>385</v>
      </c>
      <c r="B339" t="s">
        <v>49</v>
      </c>
      <c r="C339" t="s">
        <v>17</v>
      </c>
      <c r="D339" t="s">
        <v>14</v>
      </c>
      <c r="E339" s="1">
        <v>44936</v>
      </c>
      <c r="F339" s="1">
        <v>44940</v>
      </c>
      <c r="G339" s="2">
        <v>45.3</v>
      </c>
      <c r="H339" s="2">
        <v>240.32</v>
      </c>
      <c r="I339" t="s">
        <v>15</v>
      </c>
      <c r="J339" s="2">
        <v>1324</v>
      </c>
      <c r="K339" s="2">
        <v>4</v>
      </c>
    </row>
    <row r="340" spans="1:11" x14ac:dyDescent="0.25">
      <c r="A340" t="s">
        <v>386</v>
      </c>
      <c r="B340" t="s">
        <v>35</v>
      </c>
      <c r="C340" t="s">
        <v>36</v>
      </c>
      <c r="D340" t="s">
        <v>14</v>
      </c>
      <c r="E340" s="1">
        <v>45155</v>
      </c>
      <c r="F340" s="1">
        <v>45160</v>
      </c>
      <c r="G340" s="2">
        <v>12.3</v>
      </c>
      <c r="H340" s="2">
        <v>310.02</v>
      </c>
      <c r="I340" t="s">
        <v>15</v>
      </c>
      <c r="J340" s="2">
        <v>2328</v>
      </c>
      <c r="K340" s="2">
        <v>5</v>
      </c>
    </row>
    <row r="341" spans="1:11" x14ac:dyDescent="0.25">
      <c r="A341" t="s">
        <v>387</v>
      </c>
      <c r="B341" t="s">
        <v>27</v>
      </c>
      <c r="C341" t="s">
        <v>40</v>
      </c>
      <c r="D341" t="s">
        <v>59</v>
      </c>
      <c r="E341" s="1">
        <v>45209</v>
      </c>
      <c r="F341" s="1">
        <v>45214</v>
      </c>
      <c r="G341" s="2">
        <v>52.2</v>
      </c>
      <c r="H341" s="2">
        <v>253.33</v>
      </c>
      <c r="I341" t="s">
        <v>47</v>
      </c>
      <c r="J341" s="2">
        <v>1608</v>
      </c>
      <c r="K341" s="2">
        <v>4</v>
      </c>
    </row>
    <row r="342" spans="1:11" x14ac:dyDescent="0.25">
      <c r="A342" t="s">
        <v>388</v>
      </c>
      <c r="B342" t="s">
        <v>30</v>
      </c>
      <c r="C342" t="s">
        <v>52</v>
      </c>
      <c r="D342" t="s">
        <v>14</v>
      </c>
      <c r="E342" s="1">
        <v>44938</v>
      </c>
      <c r="F342" s="1">
        <v>44947</v>
      </c>
      <c r="G342" s="2">
        <v>8.4</v>
      </c>
      <c r="H342" s="2">
        <v>280.39</v>
      </c>
      <c r="I342" t="s">
        <v>15</v>
      </c>
      <c r="J342" s="2">
        <v>2388</v>
      </c>
      <c r="K342" s="2">
        <v>9</v>
      </c>
    </row>
    <row r="343" spans="1:11" x14ac:dyDescent="0.25">
      <c r="A343" t="s">
        <v>389</v>
      </c>
      <c r="B343" t="s">
        <v>39</v>
      </c>
      <c r="C343" t="s">
        <v>44</v>
      </c>
      <c r="D343" t="s">
        <v>37</v>
      </c>
      <c r="E343" s="1">
        <v>45119</v>
      </c>
      <c r="F343" s="1">
        <v>45122</v>
      </c>
      <c r="G343" s="2">
        <v>13.9</v>
      </c>
      <c r="H343" s="2">
        <v>136.58000000000001</v>
      </c>
      <c r="I343" t="s">
        <v>15</v>
      </c>
      <c r="J343" s="2">
        <v>1028</v>
      </c>
      <c r="K343" s="2">
        <v>3</v>
      </c>
    </row>
    <row r="344" spans="1:11" x14ac:dyDescent="0.25">
      <c r="A344" t="s">
        <v>390</v>
      </c>
      <c r="B344" t="s">
        <v>20</v>
      </c>
      <c r="C344" t="s">
        <v>17</v>
      </c>
      <c r="D344" t="s">
        <v>42</v>
      </c>
      <c r="E344" s="1">
        <v>44946</v>
      </c>
      <c r="F344" s="1">
        <v>44955</v>
      </c>
      <c r="G344" s="2">
        <v>41</v>
      </c>
      <c r="H344" s="2">
        <v>278.39</v>
      </c>
      <c r="I344" t="s">
        <v>47</v>
      </c>
      <c r="J344" s="2">
        <v>2061</v>
      </c>
      <c r="K344" s="2">
        <v>5</v>
      </c>
    </row>
    <row r="345" spans="1:11" x14ac:dyDescent="0.25">
      <c r="A345" t="s">
        <v>391</v>
      </c>
      <c r="B345" t="s">
        <v>20</v>
      </c>
      <c r="C345" t="s">
        <v>44</v>
      </c>
      <c r="D345" t="s">
        <v>59</v>
      </c>
      <c r="E345" s="1">
        <v>45213</v>
      </c>
      <c r="F345" s="1">
        <v>45218</v>
      </c>
      <c r="G345" s="2">
        <v>26.1</v>
      </c>
      <c r="H345" s="2">
        <v>232.56</v>
      </c>
      <c r="I345" t="s">
        <v>15</v>
      </c>
      <c r="J345" s="2">
        <v>1772</v>
      </c>
      <c r="K345" s="2">
        <v>5</v>
      </c>
    </row>
    <row r="346" spans="1:11" x14ac:dyDescent="0.25">
      <c r="A346" t="s">
        <v>392</v>
      </c>
      <c r="B346" t="s">
        <v>20</v>
      </c>
      <c r="C346" t="s">
        <v>44</v>
      </c>
      <c r="D346" t="s">
        <v>59</v>
      </c>
      <c r="E346" s="1">
        <v>45219</v>
      </c>
      <c r="F346" s="1">
        <v>45223</v>
      </c>
      <c r="G346" s="2">
        <v>26.2</v>
      </c>
      <c r="H346" s="2">
        <v>210.07</v>
      </c>
      <c r="I346" t="s">
        <v>15</v>
      </c>
      <c r="J346" s="2">
        <v>1707</v>
      </c>
      <c r="K346" s="2">
        <v>4</v>
      </c>
    </row>
    <row r="347" spans="1:11" x14ac:dyDescent="0.25">
      <c r="A347" t="s">
        <v>393</v>
      </c>
      <c r="B347" t="s">
        <v>49</v>
      </c>
      <c r="C347" t="s">
        <v>40</v>
      </c>
      <c r="D347" t="s">
        <v>59</v>
      </c>
      <c r="E347" s="1">
        <v>44971</v>
      </c>
      <c r="F347" s="1">
        <v>44941</v>
      </c>
      <c r="G347" s="2">
        <v>47.6</v>
      </c>
      <c r="H347" s="2">
        <v>135.78</v>
      </c>
      <c r="I347" t="s">
        <v>47</v>
      </c>
      <c r="J347" s="2">
        <v>636</v>
      </c>
      <c r="K347" s="2">
        <v>1</v>
      </c>
    </row>
    <row r="348" spans="1:11" x14ac:dyDescent="0.25">
      <c r="A348" t="s">
        <v>394</v>
      </c>
      <c r="B348" t="s">
        <v>27</v>
      </c>
      <c r="C348" t="s">
        <v>21</v>
      </c>
      <c r="D348" t="s">
        <v>32</v>
      </c>
      <c r="E348" s="1">
        <v>45236</v>
      </c>
      <c r="F348" s="1">
        <v>45246</v>
      </c>
      <c r="G348" s="2">
        <v>10.8</v>
      </c>
      <c r="H348" s="2">
        <v>349.56</v>
      </c>
      <c r="I348" t="s">
        <v>62</v>
      </c>
      <c r="J348" s="2">
        <v>1953</v>
      </c>
      <c r="K348" s="2">
        <v>10</v>
      </c>
    </row>
    <row r="349" spans="1:11" x14ac:dyDescent="0.25">
      <c r="A349" t="s">
        <v>395</v>
      </c>
      <c r="B349" t="s">
        <v>51</v>
      </c>
      <c r="C349" t="s">
        <v>40</v>
      </c>
      <c r="D349" t="s">
        <v>59</v>
      </c>
      <c r="E349" s="1">
        <v>45227</v>
      </c>
      <c r="F349" s="1">
        <v>45232</v>
      </c>
      <c r="G349" s="2">
        <v>42.4</v>
      </c>
      <c r="H349" s="2">
        <v>192.86</v>
      </c>
      <c r="I349" t="s">
        <v>15</v>
      </c>
      <c r="J349" s="2">
        <v>1319</v>
      </c>
      <c r="K349" s="2">
        <v>5</v>
      </c>
    </row>
    <row r="350" spans="1:11" x14ac:dyDescent="0.25">
      <c r="A350" t="s">
        <v>396</v>
      </c>
      <c r="B350" t="s">
        <v>56</v>
      </c>
      <c r="C350" t="s">
        <v>46</v>
      </c>
      <c r="D350" t="s">
        <v>25</v>
      </c>
      <c r="E350" s="1">
        <v>45277</v>
      </c>
      <c r="G350" s="2">
        <v>8.1999999999999993</v>
      </c>
      <c r="H350" s="2">
        <v>69.790000000000006</v>
      </c>
      <c r="I350" t="s">
        <v>15</v>
      </c>
      <c r="J350" s="2">
        <v>383</v>
      </c>
      <c r="K350" s="2">
        <v>2</v>
      </c>
    </row>
    <row r="351" spans="1:11" x14ac:dyDescent="0.25">
      <c r="A351" t="s">
        <v>397</v>
      </c>
      <c r="B351" t="s">
        <v>49</v>
      </c>
      <c r="C351" t="s">
        <v>21</v>
      </c>
      <c r="D351" t="s">
        <v>14</v>
      </c>
      <c r="E351" s="1">
        <v>45170</v>
      </c>
      <c r="F351" s="1">
        <v>45173</v>
      </c>
      <c r="G351" s="2">
        <v>26.1</v>
      </c>
      <c r="H351" s="2">
        <v>75.760000000000005</v>
      </c>
      <c r="I351" t="s">
        <v>15</v>
      </c>
      <c r="J351" s="2">
        <v>325</v>
      </c>
      <c r="K351" s="2">
        <v>3</v>
      </c>
    </row>
    <row r="352" spans="1:11" x14ac:dyDescent="0.25">
      <c r="A352" t="s">
        <v>398</v>
      </c>
      <c r="B352" t="s">
        <v>27</v>
      </c>
      <c r="C352" t="s">
        <v>36</v>
      </c>
      <c r="D352" t="s">
        <v>14</v>
      </c>
      <c r="E352" s="1">
        <v>45019</v>
      </c>
      <c r="F352" s="1">
        <v>45021</v>
      </c>
      <c r="G352" s="2">
        <v>21.1</v>
      </c>
      <c r="H352" s="2">
        <v>73.7</v>
      </c>
      <c r="I352" t="s">
        <v>15</v>
      </c>
      <c r="J352" s="2">
        <v>347</v>
      </c>
      <c r="K352" s="2">
        <v>2</v>
      </c>
    </row>
    <row r="353" spans="1:11" x14ac:dyDescent="0.25">
      <c r="A353" t="s">
        <v>399</v>
      </c>
      <c r="B353" t="s">
        <v>27</v>
      </c>
      <c r="C353" t="s">
        <v>36</v>
      </c>
      <c r="D353" t="s">
        <v>37</v>
      </c>
      <c r="E353" s="1">
        <v>45100</v>
      </c>
      <c r="F353" s="1">
        <v>45102</v>
      </c>
      <c r="G353" s="2">
        <v>15.7</v>
      </c>
      <c r="H353" s="2">
        <v>87.18</v>
      </c>
      <c r="I353" t="s">
        <v>15</v>
      </c>
      <c r="J353" s="2">
        <v>509</v>
      </c>
      <c r="K353" s="2">
        <v>2</v>
      </c>
    </row>
    <row r="354" spans="1:11" x14ac:dyDescent="0.25">
      <c r="A354" t="s">
        <v>400</v>
      </c>
      <c r="B354" t="s">
        <v>49</v>
      </c>
      <c r="C354" t="s">
        <v>57</v>
      </c>
      <c r="D354" t="s">
        <v>25</v>
      </c>
      <c r="E354" s="1">
        <v>45276</v>
      </c>
      <c r="F354" s="1">
        <v>45278</v>
      </c>
      <c r="G354" s="2">
        <v>14.3</v>
      </c>
      <c r="H354" s="2">
        <v>88.22</v>
      </c>
      <c r="I354" t="s">
        <v>15</v>
      </c>
      <c r="J354" s="2">
        <v>421</v>
      </c>
      <c r="K354" s="2">
        <v>2</v>
      </c>
    </row>
    <row r="355" spans="1:11" x14ac:dyDescent="0.25">
      <c r="A355" t="s">
        <v>401</v>
      </c>
      <c r="B355" t="s">
        <v>39</v>
      </c>
      <c r="C355" t="s">
        <v>57</v>
      </c>
      <c r="D355" t="s">
        <v>25</v>
      </c>
      <c r="E355" s="1">
        <v>45166</v>
      </c>
      <c r="F355" s="1">
        <v>45171</v>
      </c>
      <c r="G355" s="2">
        <v>34.299999999999997</v>
      </c>
      <c r="H355" s="2">
        <v>287.66000000000003</v>
      </c>
      <c r="I355" t="s">
        <v>15</v>
      </c>
      <c r="J355" s="2">
        <v>2065</v>
      </c>
      <c r="K355" s="2">
        <v>5</v>
      </c>
    </row>
    <row r="356" spans="1:11" x14ac:dyDescent="0.25">
      <c r="A356" t="s">
        <v>402</v>
      </c>
      <c r="B356" t="s">
        <v>35</v>
      </c>
      <c r="C356" t="s">
        <v>70</v>
      </c>
      <c r="D356" t="s">
        <v>14</v>
      </c>
      <c r="E356" s="1">
        <v>45059</v>
      </c>
      <c r="F356" s="1">
        <v>45066</v>
      </c>
      <c r="G356" s="2">
        <v>13.7</v>
      </c>
      <c r="H356" s="2">
        <v>341.16</v>
      </c>
      <c r="I356" t="s">
        <v>15</v>
      </c>
      <c r="J356" s="2">
        <v>2361</v>
      </c>
      <c r="K356" s="2">
        <v>7</v>
      </c>
    </row>
    <row r="357" spans="1:11" x14ac:dyDescent="0.25">
      <c r="A357" t="s">
        <v>403</v>
      </c>
      <c r="B357" t="s">
        <v>12</v>
      </c>
      <c r="C357" t="s">
        <v>13</v>
      </c>
      <c r="D357" t="s">
        <v>18</v>
      </c>
      <c r="E357" s="1">
        <v>45288</v>
      </c>
      <c r="F357" s="1">
        <v>45292</v>
      </c>
      <c r="G357" s="2">
        <v>31.2</v>
      </c>
      <c r="H357" s="2">
        <v>274.73</v>
      </c>
      <c r="I357" t="s">
        <v>15</v>
      </c>
      <c r="J357" s="2">
        <v>1415</v>
      </c>
      <c r="K357" s="2">
        <v>4</v>
      </c>
    </row>
    <row r="358" spans="1:11" x14ac:dyDescent="0.25">
      <c r="A358" t="s">
        <v>404</v>
      </c>
      <c r="B358" t="s">
        <v>27</v>
      </c>
      <c r="C358" t="s">
        <v>40</v>
      </c>
      <c r="D358" t="s">
        <v>42</v>
      </c>
      <c r="E358" s="1">
        <v>45249</v>
      </c>
      <c r="F358" s="1">
        <v>45254</v>
      </c>
      <c r="G358" s="2">
        <v>18.7</v>
      </c>
      <c r="H358" s="2">
        <v>270.75</v>
      </c>
      <c r="I358" t="s">
        <v>15</v>
      </c>
      <c r="J358" s="2">
        <v>1679</v>
      </c>
      <c r="K358" s="2">
        <v>5</v>
      </c>
    </row>
    <row r="359" spans="1:11" x14ac:dyDescent="0.25">
      <c r="A359" t="s">
        <v>405</v>
      </c>
      <c r="B359" t="s">
        <v>27</v>
      </c>
      <c r="C359" t="s">
        <v>46</v>
      </c>
      <c r="D359" t="s">
        <v>18</v>
      </c>
      <c r="E359" s="1">
        <v>45174</v>
      </c>
      <c r="F359" s="1">
        <v>45177</v>
      </c>
      <c r="G359" s="2">
        <v>30</v>
      </c>
      <c r="H359" s="2">
        <v>187.33</v>
      </c>
      <c r="I359" t="s">
        <v>15</v>
      </c>
      <c r="J359" s="2">
        <v>1180</v>
      </c>
      <c r="K359" s="2">
        <v>3</v>
      </c>
    </row>
    <row r="360" spans="1:11" x14ac:dyDescent="0.25">
      <c r="A360" t="s">
        <v>406</v>
      </c>
      <c r="B360" t="s">
        <v>49</v>
      </c>
      <c r="C360" t="s">
        <v>28</v>
      </c>
      <c r="D360" t="s">
        <v>59</v>
      </c>
      <c r="E360" s="1">
        <v>44967</v>
      </c>
      <c r="F360" s="1">
        <v>44970</v>
      </c>
      <c r="G360" s="2">
        <v>20.7</v>
      </c>
      <c r="H360" s="2">
        <v>201.34</v>
      </c>
      <c r="I360" t="s">
        <v>15</v>
      </c>
      <c r="J360" s="2">
        <v>1515</v>
      </c>
      <c r="K360" s="2">
        <v>3</v>
      </c>
    </row>
    <row r="361" spans="1:11" x14ac:dyDescent="0.25">
      <c r="A361" t="s">
        <v>407</v>
      </c>
      <c r="B361" t="s">
        <v>35</v>
      </c>
      <c r="C361" t="s">
        <v>40</v>
      </c>
      <c r="D361" t="s">
        <v>37</v>
      </c>
      <c r="E361" s="1">
        <v>45240</v>
      </c>
      <c r="F361" s="1">
        <v>45242</v>
      </c>
      <c r="G361" s="2">
        <v>27.2</v>
      </c>
      <c r="H361" s="2">
        <v>87.22</v>
      </c>
      <c r="I361" t="s">
        <v>15</v>
      </c>
      <c r="J361" s="2">
        <v>283</v>
      </c>
      <c r="K361" s="2">
        <v>2</v>
      </c>
    </row>
    <row r="362" spans="1:11" x14ac:dyDescent="0.25">
      <c r="A362" t="s">
        <v>408</v>
      </c>
      <c r="B362" t="s">
        <v>12</v>
      </c>
      <c r="C362" t="s">
        <v>52</v>
      </c>
      <c r="D362" t="s">
        <v>14</v>
      </c>
      <c r="E362" s="1">
        <v>44981</v>
      </c>
      <c r="F362" s="1">
        <v>44989</v>
      </c>
      <c r="G362" s="2">
        <v>10.6</v>
      </c>
      <c r="H362" s="2">
        <v>78.78</v>
      </c>
      <c r="I362" t="s">
        <v>47</v>
      </c>
      <c r="J362" s="2">
        <v>517</v>
      </c>
      <c r="K362" s="2">
        <v>2</v>
      </c>
    </row>
    <row r="363" spans="1:11" x14ac:dyDescent="0.25">
      <c r="A363" t="s">
        <v>409</v>
      </c>
      <c r="B363" t="s">
        <v>56</v>
      </c>
      <c r="C363" t="s">
        <v>57</v>
      </c>
      <c r="D363" t="s">
        <v>37</v>
      </c>
      <c r="E363" s="1">
        <v>45006</v>
      </c>
      <c r="F363" s="1">
        <v>45009</v>
      </c>
      <c r="G363" s="2">
        <v>6.9</v>
      </c>
      <c r="H363" s="2">
        <v>23.19</v>
      </c>
      <c r="I363" t="s">
        <v>15</v>
      </c>
      <c r="J363" s="2">
        <v>140</v>
      </c>
      <c r="K363" s="2">
        <v>3</v>
      </c>
    </row>
    <row r="364" spans="1:11" x14ac:dyDescent="0.25">
      <c r="A364" t="s">
        <v>410</v>
      </c>
      <c r="B364" t="s">
        <v>49</v>
      </c>
      <c r="C364" t="s">
        <v>70</v>
      </c>
      <c r="D364" t="s">
        <v>32</v>
      </c>
      <c r="E364" s="1">
        <v>45192</v>
      </c>
      <c r="F364" s="1">
        <v>45198</v>
      </c>
      <c r="G364" s="2">
        <v>17.100000000000001</v>
      </c>
      <c r="H364" s="2">
        <v>309.74</v>
      </c>
      <c r="I364" t="s">
        <v>15</v>
      </c>
      <c r="J364" s="2">
        <v>2081</v>
      </c>
      <c r="K364" s="2">
        <v>6</v>
      </c>
    </row>
    <row r="365" spans="1:11" x14ac:dyDescent="0.25">
      <c r="A365" t="s">
        <v>411</v>
      </c>
      <c r="B365" t="s">
        <v>56</v>
      </c>
      <c r="C365" t="s">
        <v>70</v>
      </c>
      <c r="D365" t="s">
        <v>14</v>
      </c>
      <c r="E365" s="1">
        <v>45086</v>
      </c>
      <c r="F365" s="1">
        <v>45092</v>
      </c>
      <c r="G365" s="2">
        <v>33.1</v>
      </c>
      <c r="H365" s="2">
        <v>283.18</v>
      </c>
      <c r="I365" t="s">
        <v>15</v>
      </c>
      <c r="J365" s="2">
        <v>1885</v>
      </c>
      <c r="K365" s="2">
        <v>6</v>
      </c>
    </row>
    <row r="366" spans="1:11" x14ac:dyDescent="0.25">
      <c r="A366" t="s">
        <v>412</v>
      </c>
      <c r="B366" t="s">
        <v>27</v>
      </c>
      <c r="C366" t="s">
        <v>36</v>
      </c>
      <c r="D366" t="s">
        <v>25</v>
      </c>
      <c r="E366" s="1">
        <v>45163</v>
      </c>
      <c r="F366" s="1">
        <v>45165</v>
      </c>
      <c r="G366" s="2">
        <v>18.7</v>
      </c>
      <c r="H366" s="2">
        <v>90.94</v>
      </c>
      <c r="I366" t="s">
        <v>15</v>
      </c>
      <c r="J366" s="2">
        <v>604</v>
      </c>
      <c r="K366" s="2">
        <v>2</v>
      </c>
    </row>
    <row r="367" spans="1:11" x14ac:dyDescent="0.25">
      <c r="A367" t="s">
        <v>413</v>
      </c>
      <c r="B367" t="s">
        <v>27</v>
      </c>
      <c r="C367" t="s">
        <v>36</v>
      </c>
      <c r="D367" t="s">
        <v>18</v>
      </c>
      <c r="E367" s="1">
        <v>45083</v>
      </c>
      <c r="F367" s="1">
        <v>45087</v>
      </c>
      <c r="G367" s="2">
        <v>21.1</v>
      </c>
      <c r="H367" s="2">
        <v>141.97999999999999</v>
      </c>
      <c r="I367" t="s">
        <v>15</v>
      </c>
      <c r="J367" s="2">
        <v>847</v>
      </c>
      <c r="K367" s="2">
        <v>4</v>
      </c>
    </row>
    <row r="368" spans="1:11" x14ac:dyDescent="0.25">
      <c r="A368" t="s">
        <v>414</v>
      </c>
      <c r="B368" t="s">
        <v>23</v>
      </c>
      <c r="C368" t="s">
        <v>46</v>
      </c>
      <c r="D368" t="s">
        <v>32</v>
      </c>
      <c r="E368" s="1">
        <v>45272</v>
      </c>
      <c r="F368" s="1">
        <v>45283</v>
      </c>
      <c r="G368" s="2">
        <v>55.1</v>
      </c>
      <c r="H368" s="2">
        <v>474.36</v>
      </c>
      <c r="I368" t="s">
        <v>47</v>
      </c>
      <c r="J368" s="2">
        <v>2247</v>
      </c>
      <c r="K368" s="2">
        <v>6</v>
      </c>
    </row>
    <row r="369" spans="1:11" x14ac:dyDescent="0.25">
      <c r="A369" t="s">
        <v>415</v>
      </c>
      <c r="B369" t="s">
        <v>27</v>
      </c>
      <c r="C369" t="s">
        <v>44</v>
      </c>
      <c r="D369" t="s">
        <v>25</v>
      </c>
      <c r="E369" s="1">
        <v>45041</v>
      </c>
      <c r="F369" s="1">
        <v>45047</v>
      </c>
      <c r="G369" s="2">
        <v>14.6</v>
      </c>
      <c r="H369" s="2">
        <v>293.83</v>
      </c>
      <c r="I369" t="s">
        <v>15</v>
      </c>
      <c r="J369" s="2">
        <v>2420</v>
      </c>
      <c r="K369" s="2">
        <v>6</v>
      </c>
    </row>
    <row r="370" spans="1:11" x14ac:dyDescent="0.25">
      <c r="A370" t="s">
        <v>416</v>
      </c>
      <c r="B370" t="s">
        <v>12</v>
      </c>
      <c r="C370" t="s">
        <v>81</v>
      </c>
      <c r="D370" t="s">
        <v>32</v>
      </c>
      <c r="E370" s="1">
        <v>45005</v>
      </c>
      <c r="F370" s="1">
        <v>45011</v>
      </c>
      <c r="G370" s="2">
        <v>20.5</v>
      </c>
      <c r="H370" s="2">
        <v>315.45999999999998</v>
      </c>
      <c r="I370" t="s">
        <v>15</v>
      </c>
      <c r="J370" s="2">
        <v>2294</v>
      </c>
      <c r="K370" s="2">
        <v>6</v>
      </c>
    </row>
    <row r="371" spans="1:11" x14ac:dyDescent="0.25">
      <c r="A371" t="s">
        <v>417</v>
      </c>
      <c r="B371" t="s">
        <v>49</v>
      </c>
      <c r="C371" t="s">
        <v>17</v>
      </c>
      <c r="D371" t="s">
        <v>18</v>
      </c>
      <c r="E371" s="1">
        <v>45030</v>
      </c>
      <c r="F371" s="1">
        <v>45035</v>
      </c>
      <c r="G371" s="2">
        <v>16.8</v>
      </c>
      <c r="H371" s="2">
        <v>303.11</v>
      </c>
      <c r="I371" t="s">
        <v>15</v>
      </c>
      <c r="J371" s="2">
        <v>2091</v>
      </c>
      <c r="K371" s="2">
        <v>5</v>
      </c>
    </row>
    <row r="372" spans="1:11" x14ac:dyDescent="0.25">
      <c r="A372" t="s">
        <v>418</v>
      </c>
      <c r="B372" t="s">
        <v>23</v>
      </c>
      <c r="C372" t="s">
        <v>70</v>
      </c>
      <c r="D372" t="s">
        <v>25</v>
      </c>
      <c r="E372" s="1">
        <v>45004</v>
      </c>
      <c r="F372" s="1">
        <v>45008</v>
      </c>
      <c r="G372" s="2">
        <v>31.2</v>
      </c>
      <c r="H372" s="2">
        <v>206.1</v>
      </c>
      <c r="I372" t="s">
        <v>15</v>
      </c>
      <c r="J372" s="2">
        <v>1358</v>
      </c>
      <c r="K372" s="2">
        <v>4</v>
      </c>
    </row>
    <row r="373" spans="1:11" x14ac:dyDescent="0.25">
      <c r="A373" t="s">
        <v>419</v>
      </c>
      <c r="B373" t="s">
        <v>27</v>
      </c>
      <c r="C373" t="s">
        <v>70</v>
      </c>
      <c r="D373" t="s">
        <v>32</v>
      </c>
      <c r="E373" s="1">
        <v>45196</v>
      </c>
      <c r="F373" s="1">
        <v>45198</v>
      </c>
      <c r="G373" s="2">
        <v>16</v>
      </c>
      <c r="H373" s="2">
        <v>87.01</v>
      </c>
      <c r="I373" t="s">
        <v>67</v>
      </c>
      <c r="J373" s="2">
        <v>484</v>
      </c>
      <c r="K373" s="2">
        <v>2</v>
      </c>
    </row>
    <row r="374" spans="1:11" x14ac:dyDescent="0.25">
      <c r="A374" t="s">
        <v>420</v>
      </c>
      <c r="B374" t="s">
        <v>12</v>
      </c>
      <c r="C374" t="s">
        <v>54</v>
      </c>
      <c r="D374" t="s">
        <v>32</v>
      </c>
      <c r="E374" s="1">
        <v>45246</v>
      </c>
      <c r="F374" s="1">
        <v>45247</v>
      </c>
      <c r="G374" s="2">
        <v>11</v>
      </c>
      <c r="H374" s="2">
        <v>122.5</v>
      </c>
      <c r="I374" t="s">
        <v>15</v>
      </c>
      <c r="J374" s="2">
        <v>675</v>
      </c>
      <c r="K374" s="2">
        <v>1</v>
      </c>
    </row>
    <row r="375" spans="1:11" x14ac:dyDescent="0.25">
      <c r="A375" t="s">
        <v>421</v>
      </c>
      <c r="B375" t="s">
        <v>30</v>
      </c>
      <c r="C375" t="s">
        <v>40</v>
      </c>
      <c r="D375" t="s">
        <v>59</v>
      </c>
      <c r="E375" s="1">
        <v>45086</v>
      </c>
      <c r="F375" s="1">
        <v>45092</v>
      </c>
      <c r="G375" s="2">
        <v>37.9</v>
      </c>
      <c r="H375" s="2">
        <v>236.61</v>
      </c>
      <c r="I375" t="s">
        <v>15</v>
      </c>
      <c r="J375" s="2">
        <v>1884</v>
      </c>
      <c r="K375" s="2">
        <v>6</v>
      </c>
    </row>
    <row r="376" spans="1:11" x14ac:dyDescent="0.25">
      <c r="A376" t="s">
        <v>422</v>
      </c>
      <c r="B376" t="s">
        <v>12</v>
      </c>
      <c r="C376" t="s">
        <v>44</v>
      </c>
      <c r="D376" t="s">
        <v>32</v>
      </c>
      <c r="E376" s="1">
        <v>45150</v>
      </c>
      <c r="F376" s="1">
        <v>45155</v>
      </c>
      <c r="G376" s="2">
        <v>21.8</v>
      </c>
      <c r="H376" s="2">
        <v>299.39999999999998</v>
      </c>
      <c r="I376" t="s">
        <v>15</v>
      </c>
      <c r="J376" s="2">
        <v>2196</v>
      </c>
      <c r="K376" s="2">
        <v>5</v>
      </c>
    </row>
    <row r="377" spans="1:11" x14ac:dyDescent="0.25">
      <c r="A377" t="s">
        <v>423</v>
      </c>
      <c r="B377" t="s">
        <v>35</v>
      </c>
      <c r="C377" t="s">
        <v>17</v>
      </c>
      <c r="D377" t="s">
        <v>59</v>
      </c>
      <c r="E377" s="1">
        <v>45042</v>
      </c>
      <c r="F377" s="1">
        <v>45048</v>
      </c>
      <c r="G377" s="2">
        <v>6</v>
      </c>
      <c r="H377" s="2">
        <v>253.02</v>
      </c>
      <c r="I377" t="s">
        <v>15</v>
      </c>
      <c r="J377" s="2">
        <v>2325</v>
      </c>
      <c r="K377" s="2">
        <v>6</v>
      </c>
    </row>
    <row r="378" spans="1:11" x14ac:dyDescent="0.25">
      <c r="A378" t="s">
        <v>424</v>
      </c>
      <c r="B378" t="s">
        <v>20</v>
      </c>
      <c r="C378" t="s">
        <v>46</v>
      </c>
      <c r="D378" t="s">
        <v>59</v>
      </c>
      <c r="E378" s="1">
        <v>45116</v>
      </c>
      <c r="F378" s="1">
        <v>45119</v>
      </c>
      <c r="G378" s="2">
        <v>37.9</v>
      </c>
      <c r="H378" s="2">
        <v>171.78</v>
      </c>
      <c r="I378" t="s">
        <v>62</v>
      </c>
      <c r="J378" s="2">
        <v>1014</v>
      </c>
      <c r="K378" s="2">
        <v>3</v>
      </c>
    </row>
    <row r="379" spans="1:11" x14ac:dyDescent="0.25">
      <c r="A379" t="s">
        <v>425</v>
      </c>
      <c r="B379" t="s">
        <v>23</v>
      </c>
      <c r="C379" t="s">
        <v>28</v>
      </c>
      <c r="D379" t="s">
        <v>14</v>
      </c>
      <c r="E379" s="1">
        <v>44967</v>
      </c>
      <c r="F379" s="1">
        <v>44972</v>
      </c>
      <c r="G379" s="2">
        <v>14.8</v>
      </c>
      <c r="H379" s="2">
        <v>286.7</v>
      </c>
      <c r="I379" t="s">
        <v>15</v>
      </c>
      <c r="J379" s="2">
        <v>2050</v>
      </c>
      <c r="K379" s="2">
        <v>5</v>
      </c>
    </row>
    <row r="380" spans="1:11" x14ac:dyDescent="0.25">
      <c r="A380" t="s">
        <v>426</v>
      </c>
      <c r="B380" t="s">
        <v>56</v>
      </c>
      <c r="C380" t="s">
        <v>28</v>
      </c>
      <c r="D380" t="s">
        <v>14</v>
      </c>
      <c r="E380" s="1">
        <v>45135</v>
      </c>
      <c r="F380" s="1">
        <v>45141</v>
      </c>
      <c r="G380" s="2">
        <v>9.1</v>
      </c>
      <c r="H380" s="2">
        <v>75.28</v>
      </c>
      <c r="I380" t="s">
        <v>47</v>
      </c>
      <c r="J380" s="2">
        <v>474</v>
      </c>
      <c r="K380" s="2">
        <v>5</v>
      </c>
    </row>
    <row r="381" spans="1:11" x14ac:dyDescent="0.25">
      <c r="A381" t="s">
        <v>427</v>
      </c>
      <c r="B381" t="s">
        <v>30</v>
      </c>
      <c r="C381" t="s">
        <v>70</v>
      </c>
      <c r="D381" t="s">
        <v>25</v>
      </c>
      <c r="E381" s="1">
        <v>45195</v>
      </c>
      <c r="F381" s="1">
        <v>45196</v>
      </c>
      <c r="G381" s="2">
        <v>9.5</v>
      </c>
      <c r="H381" s="2">
        <v>77.13</v>
      </c>
      <c r="I381" t="s">
        <v>15</v>
      </c>
      <c r="J381" s="2">
        <v>498</v>
      </c>
      <c r="K381" s="2">
        <v>1</v>
      </c>
    </row>
    <row r="382" spans="1:11" x14ac:dyDescent="0.25">
      <c r="A382" t="s">
        <v>428</v>
      </c>
      <c r="B382" t="s">
        <v>23</v>
      </c>
      <c r="C382" t="s">
        <v>36</v>
      </c>
      <c r="D382" t="s">
        <v>25</v>
      </c>
      <c r="E382" s="1">
        <v>45249</v>
      </c>
      <c r="F382" s="1">
        <v>45253</v>
      </c>
      <c r="G382" s="2">
        <v>33.6</v>
      </c>
      <c r="H382" s="2">
        <v>291.85000000000002</v>
      </c>
      <c r="I382" t="s">
        <v>15</v>
      </c>
      <c r="J382" s="2">
        <v>1512</v>
      </c>
      <c r="K382" s="2">
        <v>4</v>
      </c>
    </row>
    <row r="383" spans="1:11" x14ac:dyDescent="0.25">
      <c r="A383" t="s">
        <v>429</v>
      </c>
      <c r="B383" t="s">
        <v>12</v>
      </c>
      <c r="C383" t="s">
        <v>17</v>
      </c>
      <c r="D383" t="s">
        <v>59</v>
      </c>
      <c r="E383" s="1">
        <v>45237</v>
      </c>
      <c r="F383" s="1">
        <v>45242</v>
      </c>
      <c r="G383" s="2">
        <v>40.299999999999997</v>
      </c>
      <c r="H383" s="2">
        <v>206.28</v>
      </c>
      <c r="I383" t="s">
        <v>15</v>
      </c>
      <c r="J383" s="2">
        <v>1076</v>
      </c>
      <c r="K383" s="2">
        <v>5</v>
      </c>
    </row>
    <row r="384" spans="1:11" x14ac:dyDescent="0.25">
      <c r="A384" t="s">
        <v>430</v>
      </c>
      <c r="B384" t="s">
        <v>51</v>
      </c>
      <c r="C384" t="s">
        <v>36</v>
      </c>
      <c r="D384" t="s">
        <v>25</v>
      </c>
      <c r="E384" s="1">
        <v>45009</v>
      </c>
      <c r="F384" s="1">
        <v>45012</v>
      </c>
      <c r="G384" s="2">
        <v>15</v>
      </c>
      <c r="H384" s="2">
        <v>141.6</v>
      </c>
      <c r="I384" t="s">
        <v>15</v>
      </c>
      <c r="J384" s="2">
        <v>1115</v>
      </c>
      <c r="K384" s="2">
        <v>3</v>
      </c>
    </row>
    <row r="385" spans="1:11" x14ac:dyDescent="0.25">
      <c r="A385" t="s">
        <v>431</v>
      </c>
      <c r="B385" t="s">
        <v>27</v>
      </c>
      <c r="C385" t="s">
        <v>44</v>
      </c>
      <c r="D385" t="s">
        <v>42</v>
      </c>
      <c r="E385" s="1">
        <v>45183</v>
      </c>
      <c r="F385" s="1">
        <v>45185</v>
      </c>
      <c r="G385" s="2">
        <v>75.400000000000006</v>
      </c>
      <c r="H385" s="2">
        <v>109.7</v>
      </c>
      <c r="I385" t="s">
        <v>15</v>
      </c>
      <c r="J385" s="2">
        <v>242</v>
      </c>
      <c r="K385" s="2">
        <v>2</v>
      </c>
    </row>
    <row r="386" spans="1:11" x14ac:dyDescent="0.25">
      <c r="A386" t="s">
        <v>432</v>
      </c>
      <c r="B386" t="s">
        <v>20</v>
      </c>
      <c r="C386" t="s">
        <v>40</v>
      </c>
      <c r="D386" t="s">
        <v>59</v>
      </c>
      <c r="E386" s="1">
        <v>45283</v>
      </c>
      <c r="F386" s="1">
        <v>45284</v>
      </c>
      <c r="G386" s="2">
        <v>6.4</v>
      </c>
      <c r="H386" s="2">
        <v>78.84</v>
      </c>
      <c r="I386" t="s">
        <v>15</v>
      </c>
      <c r="J386" s="2">
        <v>534</v>
      </c>
      <c r="K386" s="2">
        <v>1</v>
      </c>
    </row>
    <row r="387" spans="1:11" x14ac:dyDescent="0.25">
      <c r="A387" t="s">
        <v>433</v>
      </c>
      <c r="B387" t="s">
        <v>35</v>
      </c>
      <c r="C387" t="s">
        <v>13</v>
      </c>
      <c r="D387" t="s">
        <v>25</v>
      </c>
      <c r="E387" s="1">
        <v>45154</v>
      </c>
      <c r="F387" s="1">
        <v>45160</v>
      </c>
      <c r="G387" s="2">
        <v>44.4</v>
      </c>
      <c r="H387" s="2">
        <v>179.93</v>
      </c>
      <c r="I387" t="s">
        <v>15</v>
      </c>
      <c r="J387" s="2">
        <v>1059</v>
      </c>
      <c r="K387" s="2">
        <v>6</v>
      </c>
    </row>
    <row r="388" spans="1:11" x14ac:dyDescent="0.25">
      <c r="A388" t="s">
        <v>434</v>
      </c>
      <c r="B388" t="s">
        <v>27</v>
      </c>
      <c r="C388" t="s">
        <v>57</v>
      </c>
      <c r="D388" t="s">
        <v>37</v>
      </c>
      <c r="E388" s="1">
        <v>45104</v>
      </c>
      <c r="F388" s="1">
        <v>45109</v>
      </c>
      <c r="G388" s="2">
        <v>11.7</v>
      </c>
      <c r="H388" s="2">
        <v>140.32</v>
      </c>
      <c r="I388" t="s">
        <v>15</v>
      </c>
      <c r="J388" s="2">
        <v>1060</v>
      </c>
      <c r="K388" s="2">
        <v>5</v>
      </c>
    </row>
    <row r="389" spans="1:11" x14ac:dyDescent="0.25">
      <c r="A389" t="s">
        <v>435</v>
      </c>
      <c r="B389" t="s">
        <v>39</v>
      </c>
      <c r="C389" t="s">
        <v>70</v>
      </c>
      <c r="D389" t="s">
        <v>14</v>
      </c>
      <c r="E389" s="1">
        <v>44988</v>
      </c>
      <c r="F389" s="1">
        <v>44993</v>
      </c>
      <c r="G389" s="2">
        <v>24.4</v>
      </c>
      <c r="H389" s="2">
        <v>326.92</v>
      </c>
      <c r="I389" t="s">
        <v>15</v>
      </c>
      <c r="J389" s="2">
        <v>2330</v>
      </c>
      <c r="K389" s="2">
        <v>5</v>
      </c>
    </row>
    <row r="390" spans="1:11" x14ac:dyDescent="0.25">
      <c r="A390" t="s">
        <v>436</v>
      </c>
      <c r="B390" t="s">
        <v>56</v>
      </c>
      <c r="C390" t="s">
        <v>44</v>
      </c>
      <c r="D390" t="s">
        <v>32</v>
      </c>
      <c r="E390" s="1">
        <v>45190</v>
      </c>
      <c r="F390" s="1">
        <v>45195</v>
      </c>
      <c r="G390" s="2">
        <v>20.9</v>
      </c>
      <c r="H390" s="2">
        <v>268.01</v>
      </c>
      <c r="I390" t="s">
        <v>15</v>
      </c>
      <c r="J390" s="2">
        <v>1867</v>
      </c>
      <c r="K390" s="2">
        <v>5</v>
      </c>
    </row>
    <row r="391" spans="1:11" x14ac:dyDescent="0.25">
      <c r="A391" t="s">
        <v>437</v>
      </c>
      <c r="B391" t="s">
        <v>12</v>
      </c>
      <c r="C391" t="s">
        <v>46</v>
      </c>
      <c r="D391" t="s">
        <v>25</v>
      </c>
      <c r="E391" s="1">
        <v>45172</v>
      </c>
      <c r="F391" s="1">
        <v>45180</v>
      </c>
      <c r="G391" s="2">
        <v>17.7</v>
      </c>
      <c r="I391" t="s">
        <v>15</v>
      </c>
      <c r="J391" s="2">
        <v>2465</v>
      </c>
      <c r="K391" s="2">
        <v>8</v>
      </c>
    </row>
    <row r="392" spans="1:11" x14ac:dyDescent="0.25">
      <c r="A392" t="s">
        <v>438</v>
      </c>
      <c r="B392" t="s">
        <v>49</v>
      </c>
      <c r="C392" t="s">
        <v>28</v>
      </c>
      <c r="D392" t="s">
        <v>14</v>
      </c>
      <c r="E392" s="1">
        <v>45092</v>
      </c>
      <c r="F392" s="1">
        <v>45098</v>
      </c>
      <c r="G392" s="2">
        <v>9.1999999999999993</v>
      </c>
      <c r="H392" s="2">
        <v>286.14999999999998</v>
      </c>
      <c r="I392" t="s">
        <v>15</v>
      </c>
      <c r="J392" s="2">
        <v>2096</v>
      </c>
      <c r="K392" s="2">
        <v>6</v>
      </c>
    </row>
    <row r="393" spans="1:11" x14ac:dyDescent="0.25">
      <c r="A393" t="s">
        <v>439</v>
      </c>
      <c r="B393" t="s">
        <v>20</v>
      </c>
      <c r="C393" t="s">
        <v>13</v>
      </c>
      <c r="D393" t="s">
        <v>37</v>
      </c>
      <c r="E393" s="1">
        <v>45150</v>
      </c>
      <c r="F393" s="1">
        <v>45157</v>
      </c>
      <c r="G393" s="2">
        <v>32.4</v>
      </c>
      <c r="H393" s="2">
        <v>332.08</v>
      </c>
      <c r="I393" t="s">
        <v>15</v>
      </c>
      <c r="J393" s="2">
        <v>2409</v>
      </c>
      <c r="K393" s="2">
        <v>7</v>
      </c>
    </row>
    <row r="394" spans="1:11" x14ac:dyDescent="0.25">
      <c r="A394" t="s">
        <v>440</v>
      </c>
      <c r="B394" t="s">
        <v>27</v>
      </c>
      <c r="C394" t="s">
        <v>46</v>
      </c>
      <c r="D394" t="s">
        <v>32</v>
      </c>
      <c r="E394" s="1">
        <v>44953</v>
      </c>
      <c r="F394" s="1">
        <v>44956</v>
      </c>
      <c r="G394" s="2">
        <v>110.9</v>
      </c>
      <c r="H394" s="2">
        <v>283.94</v>
      </c>
      <c r="I394" t="s">
        <v>15</v>
      </c>
      <c r="J394" s="2">
        <v>1032</v>
      </c>
      <c r="K394" s="2">
        <v>3</v>
      </c>
    </row>
    <row r="395" spans="1:11" x14ac:dyDescent="0.25">
      <c r="A395" t="s">
        <v>441</v>
      </c>
      <c r="B395" t="s">
        <v>51</v>
      </c>
      <c r="C395" t="s">
        <v>17</v>
      </c>
      <c r="D395" t="s">
        <v>32</v>
      </c>
      <c r="E395" s="1">
        <v>45145</v>
      </c>
      <c r="F395" s="1">
        <v>45147</v>
      </c>
      <c r="G395" s="2">
        <v>50.4</v>
      </c>
      <c r="H395" s="2">
        <v>175.48</v>
      </c>
      <c r="I395" t="s">
        <v>15</v>
      </c>
      <c r="J395" s="2">
        <v>870</v>
      </c>
      <c r="K395" s="2">
        <v>2</v>
      </c>
    </row>
    <row r="396" spans="1:11" x14ac:dyDescent="0.25">
      <c r="A396" t="s">
        <v>442</v>
      </c>
      <c r="B396" t="s">
        <v>20</v>
      </c>
      <c r="C396" t="s">
        <v>36</v>
      </c>
      <c r="D396" t="s">
        <v>32</v>
      </c>
      <c r="E396" s="1">
        <v>45078</v>
      </c>
      <c r="F396" s="1">
        <v>45084</v>
      </c>
      <c r="G396" s="2">
        <v>54.4</v>
      </c>
      <c r="H396" s="2">
        <v>284.26</v>
      </c>
      <c r="I396" t="s">
        <v>15</v>
      </c>
      <c r="J396" s="2">
        <v>1616</v>
      </c>
      <c r="K396" s="2">
        <v>6</v>
      </c>
    </row>
    <row r="397" spans="1:11" x14ac:dyDescent="0.25">
      <c r="A397" t="s">
        <v>443</v>
      </c>
      <c r="B397" t="s">
        <v>49</v>
      </c>
      <c r="C397" t="s">
        <v>28</v>
      </c>
      <c r="D397" t="s">
        <v>18</v>
      </c>
      <c r="E397" s="1">
        <v>44990</v>
      </c>
      <c r="F397" s="1">
        <v>45002</v>
      </c>
      <c r="G397" s="2">
        <v>34.5</v>
      </c>
      <c r="H397" s="2">
        <v>233.71</v>
      </c>
      <c r="I397" t="s">
        <v>47</v>
      </c>
      <c r="J397" s="2">
        <v>1366</v>
      </c>
      <c r="K397" s="2">
        <v>4</v>
      </c>
    </row>
    <row r="398" spans="1:11" x14ac:dyDescent="0.25">
      <c r="A398" t="s">
        <v>444</v>
      </c>
      <c r="B398" t="s">
        <v>20</v>
      </c>
      <c r="C398" t="s">
        <v>81</v>
      </c>
      <c r="D398" t="s">
        <v>14</v>
      </c>
      <c r="E398" s="1">
        <v>45025</v>
      </c>
      <c r="F398" s="1">
        <v>45031</v>
      </c>
      <c r="G398" s="2">
        <v>9.5</v>
      </c>
      <c r="H398" s="2">
        <v>228.41</v>
      </c>
      <c r="I398" t="s">
        <v>15</v>
      </c>
      <c r="J398" s="2">
        <v>1802</v>
      </c>
      <c r="K398" s="2">
        <v>6</v>
      </c>
    </row>
    <row r="399" spans="1:11" x14ac:dyDescent="0.25">
      <c r="A399" t="s">
        <v>445</v>
      </c>
      <c r="B399" t="s">
        <v>30</v>
      </c>
      <c r="C399" t="s">
        <v>40</v>
      </c>
      <c r="D399" t="s">
        <v>37</v>
      </c>
      <c r="E399" s="1">
        <v>45091</v>
      </c>
      <c r="F399" s="1">
        <v>45061</v>
      </c>
      <c r="G399" s="2">
        <v>58</v>
      </c>
      <c r="H399" s="2">
        <v>90.41</v>
      </c>
      <c r="I399" t="s">
        <v>15</v>
      </c>
      <c r="J399" s="2">
        <v>196</v>
      </c>
      <c r="K399" s="2">
        <v>2</v>
      </c>
    </row>
    <row r="400" spans="1:11" x14ac:dyDescent="0.25">
      <c r="A400" t="s">
        <v>446</v>
      </c>
      <c r="B400" t="s">
        <v>23</v>
      </c>
      <c r="C400" t="s">
        <v>17</v>
      </c>
      <c r="D400" t="s">
        <v>25</v>
      </c>
      <c r="E400" s="1">
        <v>45278</v>
      </c>
      <c r="F400" s="1">
        <v>45285</v>
      </c>
      <c r="G400" s="2">
        <v>10.8</v>
      </c>
      <c r="H400" s="2">
        <v>400.75</v>
      </c>
      <c r="I400" t="s">
        <v>15</v>
      </c>
      <c r="J400" s="2">
        <v>2425</v>
      </c>
      <c r="K400" s="2">
        <v>7</v>
      </c>
    </row>
    <row r="401" spans="1:11" x14ac:dyDescent="0.25">
      <c r="A401" t="s">
        <v>447</v>
      </c>
      <c r="B401" t="s">
        <v>49</v>
      </c>
      <c r="C401" t="s">
        <v>17</v>
      </c>
      <c r="D401" t="s">
        <v>25</v>
      </c>
      <c r="E401" s="1">
        <v>44995</v>
      </c>
      <c r="F401" s="1">
        <v>44999</v>
      </c>
      <c r="G401" s="2">
        <v>26</v>
      </c>
      <c r="H401" s="2">
        <v>222.33</v>
      </c>
      <c r="I401" t="s">
        <v>15</v>
      </c>
      <c r="J401" s="2">
        <v>1641</v>
      </c>
      <c r="K401" s="2">
        <v>4</v>
      </c>
    </row>
    <row r="402" spans="1:11" x14ac:dyDescent="0.25">
      <c r="A402" t="s">
        <v>448</v>
      </c>
      <c r="B402" t="s">
        <v>30</v>
      </c>
      <c r="C402" t="s">
        <v>13</v>
      </c>
      <c r="D402" t="s">
        <v>37</v>
      </c>
      <c r="E402" s="1">
        <v>45261</v>
      </c>
      <c r="F402" s="1">
        <v>45266</v>
      </c>
      <c r="G402" s="2">
        <v>6.5</v>
      </c>
      <c r="H402" s="2">
        <v>28.34</v>
      </c>
      <c r="I402" t="s">
        <v>60</v>
      </c>
      <c r="J402" s="2">
        <v>129</v>
      </c>
      <c r="K402" s="2">
        <v>2</v>
      </c>
    </row>
    <row r="403" spans="1:11" x14ac:dyDescent="0.25">
      <c r="A403" t="s">
        <v>449</v>
      </c>
      <c r="B403" t="s">
        <v>30</v>
      </c>
      <c r="C403" t="s">
        <v>36</v>
      </c>
      <c r="D403" t="s">
        <v>42</v>
      </c>
      <c r="E403" s="1">
        <v>45227</v>
      </c>
      <c r="F403" s="1">
        <v>45231</v>
      </c>
      <c r="G403" s="2">
        <v>6.9</v>
      </c>
      <c r="H403" s="2">
        <v>194.18</v>
      </c>
      <c r="I403" t="s">
        <v>15</v>
      </c>
      <c r="J403" s="2">
        <v>1649</v>
      </c>
      <c r="K403" s="2">
        <v>4</v>
      </c>
    </row>
    <row r="404" spans="1:11" x14ac:dyDescent="0.25">
      <c r="A404" t="s">
        <v>450</v>
      </c>
      <c r="B404" t="s">
        <v>12</v>
      </c>
      <c r="C404" t="s">
        <v>46</v>
      </c>
      <c r="D404" t="s">
        <v>18</v>
      </c>
      <c r="E404" s="1">
        <v>44969</v>
      </c>
      <c r="F404" s="1">
        <v>44989</v>
      </c>
      <c r="G404" s="2">
        <v>29.5</v>
      </c>
      <c r="H404" s="2">
        <v>224.76</v>
      </c>
      <c r="I404" t="s">
        <v>47</v>
      </c>
      <c r="J404" s="2">
        <v>1289</v>
      </c>
      <c r="K404" s="2">
        <v>8</v>
      </c>
    </row>
    <row r="405" spans="1:11" x14ac:dyDescent="0.25">
      <c r="A405" t="s">
        <v>451</v>
      </c>
      <c r="B405" t="s">
        <v>51</v>
      </c>
      <c r="C405" t="s">
        <v>28</v>
      </c>
      <c r="D405" t="s">
        <v>42</v>
      </c>
      <c r="E405" s="1">
        <v>45277</v>
      </c>
      <c r="F405" s="1">
        <v>45278</v>
      </c>
      <c r="G405" s="2">
        <v>12.7</v>
      </c>
      <c r="H405" s="2">
        <v>56.43</v>
      </c>
      <c r="I405" t="s">
        <v>15</v>
      </c>
      <c r="J405" s="2">
        <v>273</v>
      </c>
      <c r="K405" s="2">
        <v>1</v>
      </c>
    </row>
    <row r="406" spans="1:11" x14ac:dyDescent="0.25">
      <c r="A406" t="s">
        <v>452</v>
      </c>
      <c r="B406" t="s">
        <v>39</v>
      </c>
      <c r="C406" t="s">
        <v>54</v>
      </c>
      <c r="D406" t="s">
        <v>14</v>
      </c>
      <c r="E406" s="1">
        <v>45118</v>
      </c>
      <c r="F406" s="1">
        <v>45121</v>
      </c>
      <c r="G406" s="2">
        <v>29.1</v>
      </c>
      <c r="H406" s="2">
        <v>160.13999999999999</v>
      </c>
      <c r="I406" t="s">
        <v>15</v>
      </c>
      <c r="J406" s="2">
        <v>940</v>
      </c>
      <c r="K406" s="2">
        <v>3</v>
      </c>
    </row>
    <row r="407" spans="1:11" x14ac:dyDescent="0.25">
      <c r="A407" t="s">
        <v>453</v>
      </c>
      <c r="B407" t="s">
        <v>30</v>
      </c>
      <c r="C407" t="s">
        <v>40</v>
      </c>
      <c r="D407" t="s">
        <v>59</v>
      </c>
      <c r="E407" s="1">
        <v>45254</v>
      </c>
      <c r="F407" s="1">
        <v>45258</v>
      </c>
      <c r="G407" s="2">
        <v>34.700000000000003</v>
      </c>
      <c r="H407" s="2">
        <v>329.19</v>
      </c>
      <c r="I407" t="s">
        <v>15</v>
      </c>
      <c r="J407" s="2">
        <v>1913</v>
      </c>
      <c r="K407" s="2">
        <v>4</v>
      </c>
    </row>
    <row r="408" spans="1:11" x14ac:dyDescent="0.25">
      <c r="A408" t="s">
        <v>454</v>
      </c>
      <c r="B408" t="s">
        <v>20</v>
      </c>
      <c r="C408" t="s">
        <v>13</v>
      </c>
      <c r="D408" t="s">
        <v>42</v>
      </c>
      <c r="E408" s="1">
        <v>45104</v>
      </c>
      <c r="F408" s="1">
        <v>45105</v>
      </c>
      <c r="G408" s="2">
        <v>13.3</v>
      </c>
      <c r="H408" s="2">
        <v>42.44</v>
      </c>
      <c r="I408" t="s">
        <v>15</v>
      </c>
      <c r="J408" s="2">
        <v>252</v>
      </c>
      <c r="K408" s="2">
        <v>1</v>
      </c>
    </row>
    <row r="409" spans="1:11" x14ac:dyDescent="0.25">
      <c r="A409" t="s">
        <v>455</v>
      </c>
      <c r="B409" t="s">
        <v>12</v>
      </c>
      <c r="C409" t="s">
        <v>52</v>
      </c>
      <c r="D409" t="s">
        <v>25</v>
      </c>
      <c r="E409" s="1">
        <v>45124</v>
      </c>
      <c r="F409" s="1">
        <v>45127</v>
      </c>
      <c r="G409" s="2">
        <v>29.3</v>
      </c>
      <c r="H409" s="2">
        <v>136.26</v>
      </c>
      <c r="I409" t="s">
        <v>62</v>
      </c>
      <c r="J409" s="2">
        <v>919</v>
      </c>
      <c r="K409" s="2">
        <v>3</v>
      </c>
    </row>
    <row r="410" spans="1:11" x14ac:dyDescent="0.25">
      <c r="A410" t="s">
        <v>456</v>
      </c>
      <c r="B410" t="s">
        <v>35</v>
      </c>
      <c r="C410" t="s">
        <v>17</v>
      </c>
      <c r="D410" t="s">
        <v>25</v>
      </c>
      <c r="E410" s="1">
        <v>45262</v>
      </c>
      <c r="F410" s="1">
        <v>45267</v>
      </c>
      <c r="G410" s="2">
        <v>9.6</v>
      </c>
      <c r="H410" s="2">
        <v>154.66</v>
      </c>
      <c r="I410" t="s">
        <v>15</v>
      </c>
      <c r="J410" s="2">
        <v>1040</v>
      </c>
      <c r="K410" s="2">
        <v>5</v>
      </c>
    </row>
    <row r="411" spans="1:11" x14ac:dyDescent="0.25">
      <c r="A411" t="s">
        <v>457</v>
      </c>
      <c r="B411" t="s">
        <v>23</v>
      </c>
      <c r="C411" t="s">
        <v>31</v>
      </c>
      <c r="D411" t="s">
        <v>32</v>
      </c>
      <c r="E411" s="1">
        <v>45051</v>
      </c>
      <c r="F411" s="1">
        <v>45057</v>
      </c>
      <c r="G411" s="2">
        <v>6.3</v>
      </c>
      <c r="H411" s="2">
        <v>267.55</v>
      </c>
      <c r="I411" t="s">
        <v>15</v>
      </c>
      <c r="J411" s="2">
        <v>2108</v>
      </c>
      <c r="K411" s="2">
        <v>6</v>
      </c>
    </row>
    <row r="412" spans="1:11" x14ac:dyDescent="0.25">
      <c r="A412" t="s">
        <v>458</v>
      </c>
      <c r="B412" t="s">
        <v>27</v>
      </c>
      <c r="C412" t="s">
        <v>52</v>
      </c>
      <c r="D412" t="s">
        <v>42</v>
      </c>
      <c r="E412" s="1">
        <v>45202</v>
      </c>
      <c r="F412" s="1">
        <v>45206</v>
      </c>
      <c r="G412" s="2">
        <v>15.6</v>
      </c>
      <c r="H412" s="2">
        <v>95.5</v>
      </c>
      <c r="I412" t="s">
        <v>15</v>
      </c>
      <c r="J412" s="2">
        <v>627</v>
      </c>
      <c r="K412" s="2">
        <v>4</v>
      </c>
    </row>
    <row r="413" spans="1:11" x14ac:dyDescent="0.25">
      <c r="A413" t="s">
        <v>459</v>
      </c>
      <c r="B413" t="s">
        <v>49</v>
      </c>
      <c r="C413" t="s">
        <v>21</v>
      </c>
      <c r="D413" t="s">
        <v>32</v>
      </c>
      <c r="E413" s="1">
        <v>45037</v>
      </c>
      <c r="F413" s="1">
        <v>45038</v>
      </c>
      <c r="G413" s="2">
        <v>8.6</v>
      </c>
      <c r="H413" s="2">
        <v>33.61</v>
      </c>
      <c r="I413" t="s">
        <v>60</v>
      </c>
      <c r="J413" s="2">
        <v>178</v>
      </c>
      <c r="K413" s="2">
        <v>1</v>
      </c>
    </row>
    <row r="414" spans="1:11" x14ac:dyDescent="0.25">
      <c r="A414" t="s">
        <v>460</v>
      </c>
      <c r="B414" t="s">
        <v>12</v>
      </c>
      <c r="C414" t="s">
        <v>81</v>
      </c>
      <c r="D414" t="s">
        <v>59</v>
      </c>
      <c r="E414" s="1">
        <v>45169</v>
      </c>
      <c r="F414" s="1">
        <v>45171</v>
      </c>
      <c r="G414" s="2">
        <v>34.1</v>
      </c>
      <c r="H414" s="2">
        <v>114.04</v>
      </c>
      <c r="I414" t="s">
        <v>15</v>
      </c>
      <c r="J414" s="2">
        <v>616</v>
      </c>
      <c r="K414" s="2">
        <v>2</v>
      </c>
    </row>
    <row r="415" spans="1:11" x14ac:dyDescent="0.25">
      <c r="A415" t="s">
        <v>461</v>
      </c>
      <c r="B415" t="s">
        <v>39</v>
      </c>
      <c r="C415" t="s">
        <v>17</v>
      </c>
      <c r="D415" t="s">
        <v>25</v>
      </c>
      <c r="E415" s="1">
        <v>44975</v>
      </c>
      <c r="F415" s="1">
        <v>44977</v>
      </c>
      <c r="G415" s="2">
        <v>21.1</v>
      </c>
      <c r="H415" s="2">
        <v>109.65</v>
      </c>
      <c r="I415" t="s">
        <v>15</v>
      </c>
      <c r="J415" s="2">
        <v>800</v>
      </c>
      <c r="K415" s="2">
        <v>2</v>
      </c>
    </row>
    <row r="416" spans="1:11" x14ac:dyDescent="0.25">
      <c r="A416" t="s">
        <v>462</v>
      </c>
      <c r="B416" t="s">
        <v>20</v>
      </c>
      <c r="C416" t="s">
        <v>28</v>
      </c>
      <c r="D416" t="s">
        <v>37</v>
      </c>
      <c r="E416" s="1">
        <v>45091</v>
      </c>
      <c r="F416" s="1">
        <v>45095</v>
      </c>
      <c r="G416" s="2">
        <v>33.799999999999997</v>
      </c>
      <c r="H416" s="2">
        <v>204.1</v>
      </c>
      <c r="I416" t="s">
        <v>15</v>
      </c>
      <c r="J416" s="2">
        <v>1435</v>
      </c>
      <c r="K416" s="2">
        <v>4</v>
      </c>
    </row>
    <row r="417" spans="1:11" x14ac:dyDescent="0.25">
      <c r="A417" t="s">
        <v>463</v>
      </c>
      <c r="B417" t="s">
        <v>30</v>
      </c>
      <c r="C417" t="s">
        <v>57</v>
      </c>
      <c r="D417" t="s">
        <v>37</v>
      </c>
      <c r="E417" s="1">
        <v>45041</v>
      </c>
      <c r="F417" s="1">
        <v>45047</v>
      </c>
      <c r="G417" s="2">
        <v>331.7</v>
      </c>
      <c r="H417" s="2">
        <v>242.34</v>
      </c>
      <c r="I417" t="s">
        <v>15</v>
      </c>
      <c r="J417" s="2">
        <v>1727</v>
      </c>
      <c r="K417" s="2">
        <v>6</v>
      </c>
    </row>
    <row r="418" spans="1:11" x14ac:dyDescent="0.25">
      <c r="A418" t="s">
        <v>464</v>
      </c>
      <c r="B418" t="s">
        <v>39</v>
      </c>
      <c r="C418" t="s">
        <v>44</v>
      </c>
      <c r="D418" t="s">
        <v>18</v>
      </c>
      <c r="E418" s="1">
        <v>45191</v>
      </c>
      <c r="F418" s="1">
        <v>45195</v>
      </c>
      <c r="G418" s="2">
        <v>9.5</v>
      </c>
      <c r="H418" s="2">
        <v>271.58999999999997</v>
      </c>
      <c r="I418" t="s">
        <v>15</v>
      </c>
      <c r="J418" s="2">
        <v>2007</v>
      </c>
      <c r="K418" s="2">
        <v>4</v>
      </c>
    </row>
    <row r="419" spans="1:11" x14ac:dyDescent="0.25">
      <c r="A419" t="s">
        <v>465</v>
      </c>
      <c r="B419" t="s">
        <v>51</v>
      </c>
      <c r="C419" t="s">
        <v>28</v>
      </c>
      <c r="D419" t="s">
        <v>42</v>
      </c>
      <c r="E419" s="1">
        <v>45083</v>
      </c>
      <c r="F419" s="1">
        <v>45091</v>
      </c>
      <c r="G419" s="2">
        <v>21.6</v>
      </c>
      <c r="H419" s="2">
        <v>221.42</v>
      </c>
      <c r="I419" t="s">
        <v>47</v>
      </c>
      <c r="J419" s="2">
        <v>1619</v>
      </c>
      <c r="K419" s="2">
        <v>4</v>
      </c>
    </row>
    <row r="420" spans="1:11" x14ac:dyDescent="0.25">
      <c r="A420" t="s">
        <v>466</v>
      </c>
      <c r="B420" t="s">
        <v>30</v>
      </c>
      <c r="C420" t="s">
        <v>44</v>
      </c>
      <c r="D420" t="s">
        <v>18</v>
      </c>
      <c r="E420" s="1">
        <v>44944</v>
      </c>
      <c r="F420" s="1">
        <v>44951</v>
      </c>
      <c r="G420" s="2">
        <v>10</v>
      </c>
      <c r="H420" s="2">
        <v>360.44</v>
      </c>
      <c r="I420" t="s">
        <v>15</v>
      </c>
      <c r="J420" s="2">
        <v>2344</v>
      </c>
      <c r="K420" s="2">
        <v>7</v>
      </c>
    </row>
    <row r="421" spans="1:11" x14ac:dyDescent="0.25">
      <c r="A421" t="s">
        <v>467</v>
      </c>
      <c r="B421" t="s">
        <v>12</v>
      </c>
      <c r="C421" t="s">
        <v>28</v>
      </c>
      <c r="D421" t="s">
        <v>25</v>
      </c>
      <c r="E421" s="1">
        <v>45264</v>
      </c>
      <c r="F421" s="1">
        <v>45234</v>
      </c>
      <c r="G421" s="2">
        <v>7.8</v>
      </c>
      <c r="H421" s="2">
        <v>330.04</v>
      </c>
      <c r="I421" t="s">
        <v>15</v>
      </c>
      <c r="J421" s="2">
        <v>2242</v>
      </c>
      <c r="K421" s="2">
        <v>5</v>
      </c>
    </row>
    <row r="422" spans="1:11" x14ac:dyDescent="0.25">
      <c r="A422" t="s">
        <v>468</v>
      </c>
      <c r="B422" t="s">
        <v>12</v>
      </c>
      <c r="C422" t="s">
        <v>21</v>
      </c>
      <c r="D422" t="s">
        <v>25</v>
      </c>
      <c r="E422" s="1">
        <v>45166</v>
      </c>
      <c r="F422" s="1">
        <v>45170</v>
      </c>
      <c r="G422" s="2">
        <v>26.8</v>
      </c>
      <c r="H422" s="2">
        <v>190.03</v>
      </c>
      <c r="I422" t="s">
        <v>62</v>
      </c>
      <c r="J422" s="2">
        <v>1346</v>
      </c>
      <c r="K422" s="2">
        <v>4</v>
      </c>
    </row>
    <row r="423" spans="1:11" x14ac:dyDescent="0.25">
      <c r="A423" t="s">
        <v>469</v>
      </c>
      <c r="B423" t="s">
        <v>51</v>
      </c>
      <c r="C423" t="s">
        <v>54</v>
      </c>
      <c r="D423" t="s">
        <v>14</v>
      </c>
      <c r="E423" s="1">
        <v>45002</v>
      </c>
      <c r="F423" s="1">
        <v>45003</v>
      </c>
      <c r="G423" s="2">
        <v>36.299999999999997</v>
      </c>
      <c r="H423" s="2">
        <v>77.48</v>
      </c>
      <c r="I423" t="s">
        <v>15</v>
      </c>
      <c r="J423" s="2">
        <v>283</v>
      </c>
      <c r="K423" s="2">
        <v>1</v>
      </c>
    </row>
    <row r="424" spans="1:11" x14ac:dyDescent="0.25">
      <c r="A424" t="s">
        <v>470</v>
      </c>
      <c r="B424" t="s">
        <v>56</v>
      </c>
      <c r="C424" t="s">
        <v>70</v>
      </c>
      <c r="D424" t="s">
        <v>42</v>
      </c>
      <c r="E424" s="1">
        <v>45066</v>
      </c>
      <c r="F424" s="1">
        <v>45070</v>
      </c>
      <c r="G424" s="2">
        <v>7.1</v>
      </c>
      <c r="H424" s="2">
        <v>26.87</v>
      </c>
      <c r="I424" t="s">
        <v>62</v>
      </c>
      <c r="J424" s="2">
        <v>164</v>
      </c>
      <c r="K424" s="2">
        <v>4</v>
      </c>
    </row>
    <row r="425" spans="1:11" x14ac:dyDescent="0.25">
      <c r="A425" t="s">
        <v>471</v>
      </c>
      <c r="B425" t="s">
        <v>27</v>
      </c>
      <c r="C425" t="s">
        <v>46</v>
      </c>
      <c r="D425" t="s">
        <v>37</v>
      </c>
      <c r="E425" s="1">
        <v>44930</v>
      </c>
      <c r="F425" s="1">
        <v>44937</v>
      </c>
      <c r="G425" s="2">
        <v>14.6</v>
      </c>
      <c r="H425" s="2">
        <v>188.17</v>
      </c>
      <c r="I425" t="s">
        <v>15</v>
      </c>
      <c r="J425" s="2">
        <v>1324</v>
      </c>
      <c r="K425" s="2">
        <v>7</v>
      </c>
    </row>
    <row r="426" spans="1:11" x14ac:dyDescent="0.25">
      <c r="A426" t="s">
        <v>472</v>
      </c>
      <c r="B426" t="s">
        <v>12</v>
      </c>
      <c r="C426" t="s">
        <v>57</v>
      </c>
      <c r="D426" t="s">
        <v>32</v>
      </c>
      <c r="E426" s="1">
        <v>45269</v>
      </c>
      <c r="F426" s="1">
        <v>45274</v>
      </c>
      <c r="G426" s="2">
        <v>8.8000000000000007</v>
      </c>
      <c r="H426" s="2">
        <v>157.81</v>
      </c>
      <c r="I426" t="s">
        <v>47</v>
      </c>
      <c r="J426" s="2">
        <v>849</v>
      </c>
      <c r="K426" s="2">
        <v>2</v>
      </c>
    </row>
    <row r="427" spans="1:11" x14ac:dyDescent="0.25">
      <c r="A427" t="s">
        <v>473</v>
      </c>
      <c r="B427" t="s">
        <v>30</v>
      </c>
      <c r="C427" t="s">
        <v>81</v>
      </c>
      <c r="D427" t="s">
        <v>42</v>
      </c>
      <c r="E427" s="1">
        <v>45142</v>
      </c>
      <c r="F427" s="1">
        <v>45143</v>
      </c>
      <c r="G427" s="2">
        <v>5.9</v>
      </c>
      <c r="H427" s="2">
        <v>30.32</v>
      </c>
      <c r="I427" t="s">
        <v>15</v>
      </c>
      <c r="J427" s="2">
        <v>212</v>
      </c>
      <c r="K427" s="2">
        <v>1</v>
      </c>
    </row>
    <row r="428" spans="1:11" x14ac:dyDescent="0.25">
      <c r="A428" t="s">
        <v>474</v>
      </c>
      <c r="B428" t="s">
        <v>49</v>
      </c>
      <c r="C428" t="s">
        <v>81</v>
      </c>
      <c r="D428" t="s">
        <v>32</v>
      </c>
      <c r="E428" s="1">
        <v>44978</v>
      </c>
      <c r="F428" s="1">
        <v>44984</v>
      </c>
      <c r="G428" s="2">
        <v>11.1</v>
      </c>
      <c r="H428" s="2">
        <v>139.41999999999999</v>
      </c>
      <c r="I428" t="s">
        <v>15</v>
      </c>
      <c r="J428" s="2">
        <v>1035</v>
      </c>
      <c r="K428" s="2">
        <v>6</v>
      </c>
    </row>
    <row r="429" spans="1:11" x14ac:dyDescent="0.25">
      <c r="A429" t="s">
        <v>475</v>
      </c>
      <c r="B429" t="s">
        <v>20</v>
      </c>
      <c r="C429" t="s">
        <v>52</v>
      </c>
      <c r="D429" t="s">
        <v>59</v>
      </c>
      <c r="E429" s="1">
        <v>45090</v>
      </c>
      <c r="F429" s="1">
        <v>45091</v>
      </c>
      <c r="G429" s="2">
        <v>1062.2</v>
      </c>
      <c r="H429" s="2">
        <v>51.54</v>
      </c>
      <c r="I429" t="s">
        <v>15</v>
      </c>
      <c r="J429" s="2">
        <v>373</v>
      </c>
      <c r="K429" s="2">
        <v>1</v>
      </c>
    </row>
    <row r="430" spans="1:11" x14ac:dyDescent="0.25">
      <c r="A430" t="s">
        <v>476</v>
      </c>
      <c r="B430" t="s">
        <v>30</v>
      </c>
      <c r="C430" t="s">
        <v>17</v>
      </c>
      <c r="D430" t="s">
        <v>59</v>
      </c>
      <c r="E430" s="1">
        <v>45185</v>
      </c>
      <c r="F430" s="1">
        <v>45188</v>
      </c>
      <c r="G430" s="2">
        <v>58.9</v>
      </c>
      <c r="H430" s="2">
        <v>136.22</v>
      </c>
      <c r="I430" t="s">
        <v>15</v>
      </c>
      <c r="J430" s="2">
        <v>569</v>
      </c>
      <c r="K430" s="2">
        <v>3</v>
      </c>
    </row>
    <row r="431" spans="1:11" x14ac:dyDescent="0.25">
      <c r="A431" t="s">
        <v>477</v>
      </c>
      <c r="B431" t="s">
        <v>51</v>
      </c>
      <c r="C431" t="s">
        <v>40</v>
      </c>
      <c r="D431" t="s">
        <v>25</v>
      </c>
      <c r="E431" s="1">
        <v>45159</v>
      </c>
      <c r="F431" s="1">
        <v>45168</v>
      </c>
      <c r="G431" s="2">
        <v>36.6</v>
      </c>
      <c r="H431" s="2">
        <v>311.83999999999997</v>
      </c>
      <c r="I431" t="s">
        <v>62</v>
      </c>
      <c r="J431" s="2">
        <v>2250</v>
      </c>
      <c r="K431" s="2">
        <v>9</v>
      </c>
    </row>
    <row r="432" spans="1:11" x14ac:dyDescent="0.25">
      <c r="A432" t="s">
        <v>478</v>
      </c>
      <c r="B432" t="s">
        <v>56</v>
      </c>
      <c r="C432" t="s">
        <v>24</v>
      </c>
      <c r="D432" t="s">
        <v>25</v>
      </c>
      <c r="E432" s="1">
        <v>45039</v>
      </c>
      <c r="F432" s="1">
        <v>45044</v>
      </c>
      <c r="G432" s="2">
        <v>23</v>
      </c>
      <c r="H432" s="2">
        <v>166.87</v>
      </c>
      <c r="I432" t="s">
        <v>15</v>
      </c>
      <c r="J432" s="2">
        <v>1171</v>
      </c>
      <c r="K432" s="2">
        <v>5</v>
      </c>
    </row>
    <row r="433" spans="1:11" x14ac:dyDescent="0.25">
      <c r="A433" t="s">
        <v>479</v>
      </c>
      <c r="B433" t="s">
        <v>39</v>
      </c>
      <c r="C433" t="s">
        <v>31</v>
      </c>
      <c r="D433" t="s">
        <v>18</v>
      </c>
      <c r="E433" s="1">
        <v>44966</v>
      </c>
      <c r="F433" s="1">
        <v>44969</v>
      </c>
      <c r="G433" s="2">
        <v>23</v>
      </c>
      <c r="H433" s="2">
        <v>94.01</v>
      </c>
      <c r="I433" t="s">
        <v>15</v>
      </c>
      <c r="J433" s="2">
        <v>462</v>
      </c>
      <c r="K433" s="2">
        <v>3</v>
      </c>
    </row>
    <row r="434" spans="1:11" x14ac:dyDescent="0.25">
      <c r="A434" t="s">
        <v>480</v>
      </c>
      <c r="B434" t="s">
        <v>39</v>
      </c>
      <c r="C434" t="s">
        <v>13</v>
      </c>
      <c r="D434" t="s">
        <v>32</v>
      </c>
      <c r="E434" s="1">
        <v>45054</v>
      </c>
      <c r="F434" s="1">
        <v>45058</v>
      </c>
      <c r="G434" s="2">
        <v>18.5</v>
      </c>
      <c r="H434" s="2">
        <v>232.87</v>
      </c>
      <c r="I434" t="s">
        <v>15</v>
      </c>
      <c r="J434" s="2">
        <v>1761</v>
      </c>
      <c r="K434" s="2">
        <v>4</v>
      </c>
    </row>
    <row r="435" spans="1:11" x14ac:dyDescent="0.25">
      <c r="A435" t="s">
        <v>481</v>
      </c>
      <c r="B435" t="s">
        <v>39</v>
      </c>
      <c r="C435" t="s">
        <v>57</v>
      </c>
      <c r="D435" t="s">
        <v>18</v>
      </c>
      <c r="E435" s="1">
        <v>44957</v>
      </c>
      <c r="F435" s="1">
        <v>44959</v>
      </c>
      <c r="G435" s="2">
        <v>16.8</v>
      </c>
      <c r="H435" s="2">
        <v>118.63</v>
      </c>
      <c r="I435" t="s">
        <v>15</v>
      </c>
      <c r="J435" s="2">
        <v>658</v>
      </c>
      <c r="K435" s="2">
        <v>2</v>
      </c>
    </row>
    <row r="436" spans="1:11" x14ac:dyDescent="0.25">
      <c r="A436" t="s">
        <v>482</v>
      </c>
      <c r="B436" t="s">
        <v>39</v>
      </c>
      <c r="C436" t="s">
        <v>52</v>
      </c>
      <c r="D436" t="s">
        <v>18</v>
      </c>
      <c r="E436" s="1">
        <v>45219</v>
      </c>
      <c r="F436" s="1">
        <v>45222</v>
      </c>
      <c r="G436" s="2">
        <v>14.2</v>
      </c>
      <c r="H436" s="2">
        <v>161.26</v>
      </c>
      <c r="I436" t="s">
        <v>15</v>
      </c>
      <c r="J436" s="2">
        <v>978</v>
      </c>
      <c r="K436" s="2">
        <v>3</v>
      </c>
    </row>
    <row r="437" spans="1:11" x14ac:dyDescent="0.25">
      <c r="A437" t="s">
        <v>483</v>
      </c>
      <c r="B437" t="s">
        <v>35</v>
      </c>
      <c r="C437" t="s">
        <v>52</v>
      </c>
      <c r="D437" t="s">
        <v>18</v>
      </c>
      <c r="E437" s="1">
        <v>44948</v>
      </c>
      <c r="F437" s="1">
        <v>44951</v>
      </c>
      <c r="G437" s="2">
        <v>45.1</v>
      </c>
      <c r="H437" s="2">
        <v>238.38</v>
      </c>
      <c r="I437" t="s">
        <v>15</v>
      </c>
      <c r="J437" s="2">
        <v>1349</v>
      </c>
      <c r="K437" s="2">
        <v>3</v>
      </c>
    </row>
    <row r="438" spans="1:11" x14ac:dyDescent="0.25">
      <c r="A438" t="s">
        <v>484</v>
      </c>
      <c r="B438" t="s">
        <v>30</v>
      </c>
      <c r="C438" t="s">
        <v>21</v>
      </c>
      <c r="D438" t="s">
        <v>37</v>
      </c>
      <c r="E438" s="1">
        <v>45014</v>
      </c>
      <c r="F438" s="1">
        <v>45015</v>
      </c>
      <c r="G438" s="2">
        <v>19</v>
      </c>
      <c r="H438" s="2">
        <v>77.14</v>
      </c>
      <c r="I438" t="s">
        <v>15</v>
      </c>
      <c r="J438" s="2">
        <v>483</v>
      </c>
      <c r="K438" s="2">
        <v>1</v>
      </c>
    </row>
    <row r="439" spans="1:11" x14ac:dyDescent="0.25">
      <c r="A439" t="s">
        <v>485</v>
      </c>
      <c r="B439" t="s">
        <v>56</v>
      </c>
      <c r="C439" t="s">
        <v>21</v>
      </c>
      <c r="D439" t="s">
        <v>32</v>
      </c>
      <c r="E439" s="1">
        <v>45030</v>
      </c>
      <c r="F439" s="1">
        <v>45037</v>
      </c>
      <c r="G439" s="2">
        <v>9.9</v>
      </c>
      <c r="H439" s="2">
        <v>256.92</v>
      </c>
      <c r="I439" t="s">
        <v>15</v>
      </c>
      <c r="J439" s="2">
        <v>1707</v>
      </c>
      <c r="K439" s="2">
        <v>7</v>
      </c>
    </row>
    <row r="440" spans="1:11" x14ac:dyDescent="0.25">
      <c r="A440" t="s">
        <v>486</v>
      </c>
      <c r="B440" t="s">
        <v>30</v>
      </c>
      <c r="C440" t="s">
        <v>28</v>
      </c>
      <c r="D440" t="s">
        <v>59</v>
      </c>
      <c r="E440" s="1">
        <v>45194</v>
      </c>
      <c r="F440" s="1">
        <v>45199</v>
      </c>
      <c r="G440" s="2">
        <v>46.2</v>
      </c>
      <c r="H440" s="2">
        <v>329.57</v>
      </c>
      <c r="I440" t="s">
        <v>15</v>
      </c>
      <c r="J440" s="2">
        <v>2333</v>
      </c>
      <c r="K440" s="2">
        <v>5</v>
      </c>
    </row>
    <row r="441" spans="1:11" x14ac:dyDescent="0.25">
      <c r="A441" t="s">
        <v>487</v>
      </c>
      <c r="B441" t="s">
        <v>51</v>
      </c>
      <c r="C441" t="s">
        <v>44</v>
      </c>
      <c r="D441" t="s">
        <v>42</v>
      </c>
      <c r="E441" s="1">
        <v>45264</v>
      </c>
      <c r="F441" s="1">
        <v>45266</v>
      </c>
      <c r="G441" s="2">
        <v>10.199999999999999</v>
      </c>
      <c r="H441" s="2">
        <v>120.04</v>
      </c>
      <c r="I441" t="s">
        <v>15</v>
      </c>
      <c r="J441" s="2">
        <v>790</v>
      </c>
      <c r="K441" s="2">
        <v>2</v>
      </c>
    </row>
    <row r="442" spans="1:11" x14ac:dyDescent="0.25">
      <c r="A442" t="s">
        <v>488</v>
      </c>
      <c r="B442" t="s">
        <v>35</v>
      </c>
      <c r="C442" t="s">
        <v>13</v>
      </c>
      <c r="D442" t="s">
        <v>18</v>
      </c>
      <c r="E442" s="1">
        <v>45019</v>
      </c>
      <c r="F442" s="1">
        <v>45027</v>
      </c>
      <c r="G442" s="2">
        <v>5.2</v>
      </c>
      <c r="H442" s="2">
        <v>216.66</v>
      </c>
      <c r="I442" t="s">
        <v>15</v>
      </c>
      <c r="J442" s="2">
        <v>1605</v>
      </c>
      <c r="K442" s="2">
        <v>8</v>
      </c>
    </row>
    <row r="443" spans="1:11" x14ac:dyDescent="0.25">
      <c r="A443" t="s">
        <v>489</v>
      </c>
      <c r="B443" t="s">
        <v>27</v>
      </c>
      <c r="C443" t="s">
        <v>24</v>
      </c>
      <c r="D443" t="s">
        <v>14</v>
      </c>
      <c r="E443" s="1">
        <v>45231</v>
      </c>
      <c r="F443" s="1">
        <v>45235</v>
      </c>
      <c r="G443" s="2">
        <v>26</v>
      </c>
      <c r="H443" s="2">
        <v>183.17</v>
      </c>
      <c r="I443" t="s">
        <v>15</v>
      </c>
      <c r="J443" s="2">
        <v>1019</v>
      </c>
      <c r="K443" s="2">
        <v>4</v>
      </c>
    </row>
    <row r="444" spans="1:11" x14ac:dyDescent="0.25">
      <c r="A444" t="s">
        <v>490</v>
      </c>
      <c r="B444" t="s">
        <v>51</v>
      </c>
      <c r="C444" t="s">
        <v>13</v>
      </c>
      <c r="D444" t="s">
        <v>59</v>
      </c>
      <c r="E444" s="1">
        <v>45185</v>
      </c>
      <c r="F444" s="1">
        <v>45189</v>
      </c>
      <c r="G444" s="2">
        <v>13.2</v>
      </c>
      <c r="H444" s="2">
        <v>256.52999999999997</v>
      </c>
      <c r="I444" t="s">
        <v>15</v>
      </c>
      <c r="J444" s="2">
        <v>1945</v>
      </c>
      <c r="K444" s="2">
        <v>4</v>
      </c>
    </row>
    <row r="445" spans="1:11" x14ac:dyDescent="0.25">
      <c r="A445" t="s">
        <v>491</v>
      </c>
      <c r="B445" t="s">
        <v>39</v>
      </c>
      <c r="C445" t="s">
        <v>52</v>
      </c>
      <c r="D445" t="s">
        <v>37</v>
      </c>
      <c r="E445" s="1">
        <v>45017</v>
      </c>
      <c r="F445" s="1">
        <v>45019</v>
      </c>
      <c r="G445" s="2">
        <v>55.5</v>
      </c>
      <c r="H445" s="2">
        <v>169.22</v>
      </c>
      <c r="I445" t="s">
        <v>15</v>
      </c>
      <c r="J445" s="2">
        <v>804</v>
      </c>
      <c r="K445" s="2">
        <v>2</v>
      </c>
    </row>
    <row r="446" spans="1:11" x14ac:dyDescent="0.25">
      <c r="A446" t="s">
        <v>492</v>
      </c>
      <c r="B446" t="s">
        <v>20</v>
      </c>
      <c r="C446" t="s">
        <v>28</v>
      </c>
      <c r="D446" t="s">
        <v>37</v>
      </c>
      <c r="E446" s="1">
        <v>45186</v>
      </c>
      <c r="F446" s="1">
        <v>45192</v>
      </c>
      <c r="G446" s="2">
        <v>23.9</v>
      </c>
      <c r="H446" s="2">
        <v>188.32</v>
      </c>
      <c r="I446" t="s">
        <v>15</v>
      </c>
      <c r="J446" s="2">
        <v>1435</v>
      </c>
      <c r="K446" s="2">
        <v>6</v>
      </c>
    </row>
    <row r="447" spans="1:11" x14ac:dyDescent="0.25">
      <c r="A447" t="s">
        <v>493</v>
      </c>
      <c r="B447" t="s">
        <v>39</v>
      </c>
      <c r="C447" t="s">
        <v>52</v>
      </c>
      <c r="D447" t="s">
        <v>37</v>
      </c>
      <c r="E447" s="1">
        <v>45026</v>
      </c>
      <c r="F447" s="1">
        <v>45029</v>
      </c>
      <c r="G447" s="2">
        <v>31.6</v>
      </c>
      <c r="H447" s="2">
        <v>152.35</v>
      </c>
      <c r="I447" t="s">
        <v>62</v>
      </c>
      <c r="J447" s="2">
        <v>1081</v>
      </c>
      <c r="K447" s="2">
        <v>3</v>
      </c>
    </row>
    <row r="448" spans="1:11" x14ac:dyDescent="0.25">
      <c r="A448" t="s">
        <v>494</v>
      </c>
      <c r="B448" t="s">
        <v>49</v>
      </c>
      <c r="C448" t="s">
        <v>24</v>
      </c>
      <c r="D448" t="s">
        <v>32</v>
      </c>
      <c r="E448" s="1">
        <v>45259</v>
      </c>
      <c r="F448" s="1">
        <v>45265</v>
      </c>
      <c r="G448" s="2">
        <v>34</v>
      </c>
      <c r="H448" s="2">
        <v>234.67</v>
      </c>
      <c r="I448" t="s">
        <v>15</v>
      </c>
      <c r="J448" s="2">
        <v>1211</v>
      </c>
      <c r="K448" s="2">
        <v>6</v>
      </c>
    </row>
    <row r="449" spans="1:11" x14ac:dyDescent="0.25">
      <c r="A449" t="s">
        <v>495</v>
      </c>
      <c r="B449" t="s">
        <v>39</v>
      </c>
      <c r="C449" t="s">
        <v>70</v>
      </c>
      <c r="D449" t="s">
        <v>18</v>
      </c>
      <c r="E449" s="1">
        <v>45135</v>
      </c>
      <c r="G449" s="2">
        <v>29.3</v>
      </c>
      <c r="H449" s="2">
        <v>171.21</v>
      </c>
      <c r="I449" t="s">
        <v>15</v>
      </c>
      <c r="J449" s="2">
        <v>916</v>
      </c>
      <c r="K449" s="2">
        <v>4</v>
      </c>
    </row>
    <row r="450" spans="1:11" x14ac:dyDescent="0.25">
      <c r="A450" t="s">
        <v>496</v>
      </c>
      <c r="B450" t="s">
        <v>23</v>
      </c>
      <c r="C450" t="s">
        <v>44</v>
      </c>
      <c r="D450" t="s">
        <v>59</v>
      </c>
      <c r="E450" s="1">
        <v>45030</v>
      </c>
      <c r="F450" s="1">
        <v>45034</v>
      </c>
      <c r="G450" s="2">
        <v>87.5</v>
      </c>
      <c r="H450" s="2">
        <v>322.08999999999997</v>
      </c>
      <c r="I450" t="s">
        <v>15</v>
      </c>
      <c r="J450" s="2">
        <v>1941</v>
      </c>
      <c r="K450" s="2">
        <v>4</v>
      </c>
    </row>
    <row r="451" spans="1:11" x14ac:dyDescent="0.25">
      <c r="A451" t="s">
        <v>497</v>
      </c>
      <c r="B451" t="s">
        <v>35</v>
      </c>
      <c r="C451" t="s">
        <v>21</v>
      </c>
      <c r="D451" t="s">
        <v>25</v>
      </c>
      <c r="E451" s="1">
        <v>45198</v>
      </c>
      <c r="F451" s="1">
        <v>45203</v>
      </c>
      <c r="G451" s="2">
        <v>6.6</v>
      </c>
      <c r="H451" s="2">
        <v>211.32</v>
      </c>
      <c r="I451" t="s">
        <v>15</v>
      </c>
      <c r="J451" s="2">
        <v>1560</v>
      </c>
      <c r="K451" s="2">
        <v>5</v>
      </c>
    </row>
    <row r="452" spans="1:11" x14ac:dyDescent="0.25">
      <c r="A452" t="s">
        <v>498</v>
      </c>
      <c r="B452" t="s">
        <v>23</v>
      </c>
      <c r="C452" t="s">
        <v>44</v>
      </c>
      <c r="D452" t="s">
        <v>18</v>
      </c>
      <c r="E452" s="1">
        <v>45183</v>
      </c>
      <c r="F452" s="1">
        <v>45188</v>
      </c>
      <c r="G452" s="2">
        <v>14.2</v>
      </c>
      <c r="H452" s="2">
        <v>279.38</v>
      </c>
      <c r="I452" t="s">
        <v>15</v>
      </c>
      <c r="J452" s="2">
        <v>1843</v>
      </c>
      <c r="K452" s="2">
        <v>5</v>
      </c>
    </row>
    <row r="453" spans="1:11" x14ac:dyDescent="0.25">
      <c r="A453" t="s">
        <v>499</v>
      </c>
      <c r="B453" t="s">
        <v>49</v>
      </c>
      <c r="C453" t="s">
        <v>24</v>
      </c>
      <c r="D453" t="s">
        <v>25</v>
      </c>
      <c r="E453" s="1">
        <v>44991</v>
      </c>
      <c r="F453" s="1">
        <v>44999</v>
      </c>
      <c r="G453" s="2">
        <v>8.3000000000000007</v>
      </c>
      <c r="H453" s="2">
        <v>274.13</v>
      </c>
      <c r="I453" t="s">
        <v>15</v>
      </c>
      <c r="J453" s="2">
        <v>2418</v>
      </c>
      <c r="K453" s="2">
        <v>8</v>
      </c>
    </row>
    <row r="454" spans="1:11" x14ac:dyDescent="0.25">
      <c r="A454" t="s">
        <v>500</v>
      </c>
      <c r="B454" t="s">
        <v>23</v>
      </c>
      <c r="C454" t="s">
        <v>13</v>
      </c>
      <c r="D454" t="s">
        <v>42</v>
      </c>
      <c r="E454" s="1">
        <v>44930</v>
      </c>
      <c r="F454" s="1">
        <v>44947</v>
      </c>
      <c r="G454" s="2">
        <v>18</v>
      </c>
      <c r="H454" s="2">
        <v>271.68</v>
      </c>
      <c r="I454" t="s">
        <v>47</v>
      </c>
      <c r="J454" s="2">
        <v>2067</v>
      </c>
      <c r="K454" s="2">
        <v>5</v>
      </c>
    </row>
    <row r="455" spans="1:11" x14ac:dyDescent="0.25">
      <c r="A455" t="s">
        <v>501</v>
      </c>
      <c r="B455" t="s">
        <v>51</v>
      </c>
      <c r="C455" t="s">
        <v>36</v>
      </c>
      <c r="D455" t="s">
        <v>25</v>
      </c>
      <c r="E455" s="1">
        <v>44947</v>
      </c>
      <c r="F455" s="1">
        <v>44949</v>
      </c>
      <c r="G455" s="2">
        <v>45</v>
      </c>
      <c r="H455" s="2">
        <v>124.14</v>
      </c>
      <c r="I455" t="s">
        <v>15</v>
      </c>
      <c r="J455" s="2">
        <v>568</v>
      </c>
      <c r="K455" s="2">
        <v>2</v>
      </c>
    </row>
    <row r="456" spans="1:11" x14ac:dyDescent="0.25">
      <c r="A456" t="s">
        <v>502</v>
      </c>
      <c r="B456" t="s">
        <v>51</v>
      </c>
      <c r="C456" t="s">
        <v>13</v>
      </c>
      <c r="D456" t="s">
        <v>32</v>
      </c>
      <c r="E456" s="1">
        <v>45086</v>
      </c>
      <c r="F456" s="1">
        <v>45092</v>
      </c>
      <c r="G456" s="2">
        <v>8.1</v>
      </c>
      <c r="H456" s="2">
        <v>119.16</v>
      </c>
      <c r="I456" t="s">
        <v>15</v>
      </c>
      <c r="J456" s="2">
        <v>906</v>
      </c>
      <c r="K456" s="2">
        <v>6</v>
      </c>
    </row>
    <row r="457" spans="1:11" x14ac:dyDescent="0.25">
      <c r="A457" t="s">
        <v>503</v>
      </c>
      <c r="B457" t="s">
        <v>49</v>
      </c>
      <c r="C457" t="s">
        <v>21</v>
      </c>
      <c r="D457" t="s">
        <v>59</v>
      </c>
      <c r="E457" s="1">
        <v>44944</v>
      </c>
      <c r="F457" s="1">
        <v>44949</v>
      </c>
      <c r="G457" s="2">
        <v>16.3</v>
      </c>
      <c r="H457" s="2">
        <v>87.95</v>
      </c>
      <c r="I457" t="s">
        <v>15</v>
      </c>
      <c r="J457" s="2">
        <v>642</v>
      </c>
      <c r="K457" s="2">
        <v>5</v>
      </c>
    </row>
    <row r="458" spans="1:11" x14ac:dyDescent="0.25">
      <c r="A458" t="s">
        <v>504</v>
      </c>
      <c r="B458" t="s">
        <v>35</v>
      </c>
      <c r="C458" t="s">
        <v>21</v>
      </c>
      <c r="D458" t="s">
        <v>59</v>
      </c>
      <c r="E458" s="1">
        <v>45233</v>
      </c>
      <c r="F458" s="1">
        <v>45238</v>
      </c>
      <c r="G458" s="2">
        <v>10.9</v>
      </c>
      <c r="H458" s="2">
        <v>281.08</v>
      </c>
      <c r="I458" t="s">
        <v>15</v>
      </c>
      <c r="J458" s="2">
        <v>1954</v>
      </c>
      <c r="K458" s="2">
        <v>5</v>
      </c>
    </row>
    <row r="459" spans="1:11" x14ac:dyDescent="0.25">
      <c r="A459" t="s">
        <v>505</v>
      </c>
      <c r="B459" t="s">
        <v>12</v>
      </c>
      <c r="C459" t="s">
        <v>46</v>
      </c>
      <c r="D459" t="s">
        <v>32</v>
      </c>
      <c r="E459" s="1">
        <v>45000</v>
      </c>
      <c r="F459" s="1">
        <v>45006</v>
      </c>
      <c r="G459" s="2">
        <v>6</v>
      </c>
      <c r="H459" s="2">
        <v>311.67</v>
      </c>
      <c r="I459" t="s">
        <v>15</v>
      </c>
      <c r="J459" s="2">
        <v>2192</v>
      </c>
      <c r="K459" s="2">
        <v>6</v>
      </c>
    </row>
    <row r="460" spans="1:11" x14ac:dyDescent="0.25">
      <c r="A460" t="s">
        <v>506</v>
      </c>
      <c r="B460" t="s">
        <v>27</v>
      </c>
      <c r="C460" t="s">
        <v>81</v>
      </c>
      <c r="D460" t="s">
        <v>14</v>
      </c>
      <c r="E460" s="1">
        <v>45184</v>
      </c>
      <c r="F460" s="1">
        <v>45187</v>
      </c>
      <c r="G460" s="2">
        <v>33.6</v>
      </c>
      <c r="H460" s="2">
        <v>195.61</v>
      </c>
      <c r="I460" t="s">
        <v>15</v>
      </c>
      <c r="J460" s="2">
        <v>1113</v>
      </c>
      <c r="K460" s="2">
        <v>3</v>
      </c>
    </row>
    <row r="461" spans="1:11" x14ac:dyDescent="0.25">
      <c r="A461" t="s">
        <v>507</v>
      </c>
      <c r="B461" t="s">
        <v>27</v>
      </c>
      <c r="C461" t="s">
        <v>40</v>
      </c>
      <c r="D461" t="s">
        <v>18</v>
      </c>
      <c r="E461" s="1">
        <v>44974</v>
      </c>
      <c r="F461" s="1">
        <v>44982</v>
      </c>
      <c r="G461" s="2">
        <v>11.8</v>
      </c>
      <c r="H461" s="2">
        <v>283.33999999999997</v>
      </c>
      <c r="I461" t="s">
        <v>15</v>
      </c>
      <c r="J461" s="2">
        <v>1837</v>
      </c>
      <c r="K461" s="2">
        <v>8</v>
      </c>
    </row>
    <row r="462" spans="1:11" x14ac:dyDescent="0.25">
      <c r="A462" t="s">
        <v>508</v>
      </c>
      <c r="B462" t="s">
        <v>27</v>
      </c>
      <c r="C462" t="s">
        <v>31</v>
      </c>
      <c r="D462" t="s">
        <v>59</v>
      </c>
      <c r="E462" s="1">
        <v>45187</v>
      </c>
      <c r="F462" s="1">
        <v>45188</v>
      </c>
      <c r="G462" s="2">
        <v>68.900000000000006</v>
      </c>
      <c r="I462" t="s">
        <v>15</v>
      </c>
      <c r="J462" s="2">
        <v>447</v>
      </c>
      <c r="K462" s="2">
        <v>1</v>
      </c>
    </row>
    <row r="463" spans="1:11" x14ac:dyDescent="0.25">
      <c r="A463" t="s">
        <v>509</v>
      </c>
      <c r="B463" t="s">
        <v>20</v>
      </c>
      <c r="C463" t="s">
        <v>57</v>
      </c>
      <c r="D463" t="s">
        <v>32</v>
      </c>
      <c r="E463" s="1">
        <v>45154</v>
      </c>
      <c r="F463" s="1">
        <v>45155</v>
      </c>
      <c r="G463" s="2">
        <v>21.4</v>
      </c>
      <c r="H463" s="2">
        <v>49.49</v>
      </c>
      <c r="I463" t="s">
        <v>15</v>
      </c>
      <c r="J463" s="2">
        <v>162</v>
      </c>
      <c r="K463" s="2">
        <v>1</v>
      </c>
    </row>
    <row r="464" spans="1:11" x14ac:dyDescent="0.25">
      <c r="A464" t="s">
        <v>510</v>
      </c>
      <c r="B464" t="s">
        <v>49</v>
      </c>
      <c r="C464" t="s">
        <v>57</v>
      </c>
      <c r="D464" t="s">
        <v>59</v>
      </c>
      <c r="E464" s="1">
        <v>44984</v>
      </c>
      <c r="F464" s="1">
        <v>44990</v>
      </c>
      <c r="G464" s="2">
        <v>31.3</v>
      </c>
      <c r="H464" s="2">
        <v>308.27999999999997</v>
      </c>
      <c r="I464" t="s">
        <v>15</v>
      </c>
      <c r="J464" s="2">
        <v>2454</v>
      </c>
      <c r="K464" s="2">
        <v>6</v>
      </c>
    </row>
    <row r="465" spans="1:11" x14ac:dyDescent="0.25">
      <c r="A465" t="s">
        <v>511</v>
      </c>
      <c r="B465" t="s">
        <v>39</v>
      </c>
      <c r="C465" t="s">
        <v>28</v>
      </c>
      <c r="D465" t="s">
        <v>42</v>
      </c>
      <c r="E465" s="1">
        <v>45224</v>
      </c>
      <c r="F465" s="1">
        <v>45226</v>
      </c>
      <c r="G465" s="2">
        <v>38.9</v>
      </c>
      <c r="H465" s="2">
        <v>114.76</v>
      </c>
      <c r="I465" t="s">
        <v>15</v>
      </c>
      <c r="J465" s="2">
        <v>603</v>
      </c>
      <c r="K465" s="2">
        <v>2</v>
      </c>
    </row>
    <row r="466" spans="1:11" x14ac:dyDescent="0.25">
      <c r="A466" t="s">
        <v>512</v>
      </c>
      <c r="B466" t="s">
        <v>23</v>
      </c>
      <c r="C466" t="s">
        <v>44</v>
      </c>
      <c r="D466" t="s">
        <v>42</v>
      </c>
      <c r="E466" s="1">
        <v>45269</v>
      </c>
      <c r="F466" s="1">
        <v>45273</v>
      </c>
      <c r="G466" s="2">
        <v>29</v>
      </c>
      <c r="H466" s="2">
        <v>228.35</v>
      </c>
      <c r="I466" t="s">
        <v>15</v>
      </c>
      <c r="J466" s="2">
        <v>1340</v>
      </c>
      <c r="K466" s="2">
        <v>4</v>
      </c>
    </row>
    <row r="467" spans="1:11" x14ac:dyDescent="0.25">
      <c r="A467" t="s">
        <v>513</v>
      </c>
      <c r="B467" t="s">
        <v>27</v>
      </c>
      <c r="C467" t="s">
        <v>52</v>
      </c>
      <c r="D467" t="s">
        <v>59</v>
      </c>
      <c r="E467" s="1">
        <v>45123</v>
      </c>
      <c r="F467" s="1">
        <v>45127</v>
      </c>
      <c r="G467" s="2">
        <v>39.6</v>
      </c>
      <c r="H467" s="2">
        <v>270.85000000000002</v>
      </c>
      <c r="I467" t="s">
        <v>15</v>
      </c>
      <c r="J467" s="2">
        <v>1963</v>
      </c>
      <c r="K467" s="2">
        <v>4</v>
      </c>
    </row>
    <row r="468" spans="1:11" x14ac:dyDescent="0.25">
      <c r="A468" t="s">
        <v>514</v>
      </c>
      <c r="B468" t="s">
        <v>20</v>
      </c>
      <c r="C468" t="s">
        <v>31</v>
      </c>
      <c r="D468" t="s">
        <v>42</v>
      </c>
      <c r="E468" s="1">
        <v>45049</v>
      </c>
      <c r="F468" s="1">
        <v>45054</v>
      </c>
      <c r="G468" s="2">
        <v>11.8</v>
      </c>
      <c r="H468" s="2">
        <v>270.13</v>
      </c>
      <c r="I468" t="s">
        <v>15</v>
      </c>
      <c r="J468" s="2">
        <v>2254</v>
      </c>
      <c r="K468" s="2">
        <v>5</v>
      </c>
    </row>
    <row r="469" spans="1:11" x14ac:dyDescent="0.25">
      <c r="A469" t="s">
        <v>515</v>
      </c>
      <c r="B469" t="s">
        <v>27</v>
      </c>
      <c r="C469" t="s">
        <v>28</v>
      </c>
      <c r="D469" t="s">
        <v>59</v>
      </c>
      <c r="E469" s="1">
        <v>45249</v>
      </c>
      <c r="F469" s="1">
        <v>45252</v>
      </c>
      <c r="G469" s="2">
        <v>15.7</v>
      </c>
      <c r="H469" s="2">
        <v>121.5</v>
      </c>
      <c r="I469" t="s">
        <v>62</v>
      </c>
      <c r="J469" s="2">
        <v>664</v>
      </c>
      <c r="K469" s="2">
        <v>3</v>
      </c>
    </row>
    <row r="470" spans="1:11" x14ac:dyDescent="0.25">
      <c r="A470" t="s">
        <v>516</v>
      </c>
      <c r="B470" t="s">
        <v>20</v>
      </c>
      <c r="C470" t="s">
        <v>28</v>
      </c>
      <c r="D470" t="s">
        <v>59</v>
      </c>
      <c r="E470" s="1">
        <v>44976</v>
      </c>
      <c r="F470" s="1">
        <v>44980</v>
      </c>
      <c r="G470" s="2">
        <v>45.3</v>
      </c>
      <c r="H470" s="2">
        <v>195.45</v>
      </c>
      <c r="I470" t="s">
        <v>15</v>
      </c>
      <c r="J470" s="2">
        <v>1435</v>
      </c>
      <c r="K470" s="2">
        <v>4</v>
      </c>
    </row>
    <row r="471" spans="1:11" x14ac:dyDescent="0.25">
      <c r="A471" t="s">
        <v>517</v>
      </c>
      <c r="B471" t="s">
        <v>20</v>
      </c>
      <c r="C471" t="s">
        <v>28</v>
      </c>
      <c r="D471" t="s">
        <v>18</v>
      </c>
      <c r="E471" s="1">
        <v>45166</v>
      </c>
      <c r="F471" s="1">
        <v>45172</v>
      </c>
      <c r="G471" s="2">
        <v>19.7</v>
      </c>
      <c r="H471" s="2">
        <v>244.45</v>
      </c>
      <c r="I471" t="s">
        <v>15</v>
      </c>
      <c r="J471" s="2">
        <v>1435</v>
      </c>
      <c r="K471" s="2">
        <v>6</v>
      </c>
    </row>
    <row r="472" spans="1:11" x14ac:dyDescent="0.25">
      <c r="A472" t="s">
        <v>518</v>
      </c>
      <c r="B472" t="s">
        <v>35</v>
      </c>
      <c r="C472" t="s">
        <v>21</v>
      </c>
      <c r="D472" t="s">
        <v>14</v>
      </c>
      <c r="E472" s="1">
        <v>45037</v>
      </c>
      <c r="G472" s="2">
        <v>8.6999999999999993</v>
      </c>
      <c r="H472" s="2">
        <v>35.590000000000003</v>
      </c>
      <c r="I472" t="s">
        <v>47</v>
      </c>
      <c r="J472" s="2">
        <v>195</v>
      </c>
      <c r="K472" s="2">
        <v>1</v>
      </c>
    </row>
    <row r="473" spans="1:11" x14ac:dyDescent="0.25">
      <c r="A473" t="s">
        <v>519</v>
      </c>
      <c r="B473" t="s">
        <v>12</v>
      </c>
      <c r="C473" t="s">
        <v>70</v>
      </c>
      <c r="D473" t="s">
        <v>42</v>
      </c>
      <c r="E473" s="1">
        <v>45215</v>
      </c>
      <c r="F473" s="1">
        <v>45221</v>
      </c>
      <c r="G473" s="2">
        <v>10.5</v>
      </c>
      <c r="H473" s="2">
        <v>133.36000000000001</v>
      </c>
      <c r="I473" t="s">
        <v>15</v>
      </c>
      <c r="J473" s="2">
        <v>1072</v>
      </c>
      <c r="K473" s="2">
        <v>6</v>
      </c>
    </row>
    <row r="474" spans="1:11" x14ac:dyDescent="0.25">
      <c r="A474" t="s">
        <v>520</v>
      </c>
      <c r="B474" t="s">
        <v>39</v>
      </c>
      <c r="C474" t="s">
        <v>81</v>
      </c>
      <c r="D474" t="s">
        <v>18</v>
      </c>
      <c r="E474" s="1">
        <v>45277</v>
      </c>
      <c r="F474" s="1">
        <v>45280</v>
      </c>
      <c r="G474" s="2">
        <v>52.6</v>
      </c>
      <c r="H474" s="2">
        <v>258.14</v>
      </c>
      <c r="I474" t="s">
        <v>15</v>
      </c>
      <c r="J474" s="2">
        <v>1030</v>
      </c>
      <c r="K474" s="2">
        <v>3</v>
      </c>
    </row>
    <row r="475" spans="1:11" x14ac:dyDescent="0.25">
      <c r="A475" t="s">
        <v>521</v>
      </c>
      <c r="B475" t="s">
        <v>12</v>
      </c>
      <c r="C475" t="s">
        <v>17</v>
      </c>
      <c r="D475" t="s">
        <v>32</v>
      </c>
      <c r="E475" s="1">
        <v>45081</v>
      </c>
      <c r="F475" s="1">
        <v>45086</v>
      </c>
      <c r="G475" s="2">
        <v>27.7</v>
      </c>
      <c r="H475" s="2">
        <v>237.6</v>
      </c>
      <c r="I475" t="s">
        <v>15</v>
      </c>
      <c r="J475" s="2">
        <v>1363</v>
      </c>
      <c r="K475" s="2">
        <v>5</v>
      </c>
    </row>
    <row r="476" spans="1:11" x14ac:dyDescent="0.25">
      <c r="A476" t="s">
        <v>522</v>
      </c>
      <c r="B476" t="s">
        <v>51</v>
      </c>
      <c r="C476" t="s">
        <v>57</v>
      </c>
      <c r="D476" t="s">
        <v>59</v>
      </c>
      <c r="E476" s="1">
        <v>45041</v>
      </c>
      <c r="F476" s="1">
        <v>45043</v>
      </c>
      <c r="G476" s="2">
        <v>29.6</v>
      </c>
      <c r="H476" s="2">
        <v>84.55</v>
      </c>
      <c r="I476" t="s">
        <v>60</v>
      </c>
      <c r="J476" s="2">
        <v>515</v>
      </c>
      <c r="K476" s="2">
        <v>2</v>
      </c>
    </row>
    <row r="477" spans="1:11" x14ac:dyDescent="0.25">
      <c r="A477" t="s">
        <v>523</v>
      </c>
      <c r="B477" t="s">
        <v>49</v>
      </c>
      <c r="C477" t="s">
        <v>40</v>
      </c>
      <c r="D477" t="s">
        <v>25</v>
      </c>
      <c r="E477" s="1">
        <v>45172</v>
      </c>
      <c r="F477" s="1">
        <v>45175</v>
      </c>
      <c r="G477" s="2">
        <v>10.8</v>
      </c>
      <c r="H477" s="2">
        <v>48.75</v>
      </c>
      <c r="I477" t="s">
        <v>15</v>
      </c>
      <c r="J477" s="2">
        <v>262</v>
      </c>
      <c r="K477" s="2">
        <v>3</v>
      </c>
    </row>
    <row r="478" spans="1:11" x14ac:dyDescent="0.25">
      <c r="A478" t="s">
        <v>524</v>
      </c>
      <c r="B478" t="s">
        <v>49</v>
      </c>
      <c r="C478" t="s">
        <v>31</v>
      </c>
      <c r="D478" t="s">
        <v>37</v>
      </c>
      <c r="E478" s="1">
        <v>44976</v>
      </c>
      <c r="F478" s="1">
        <v>44980</v>
      </c>
      <c r="G478" s="2">
        <v>10.6</v>
      </c>
      <c r="H478" s="2">
        <v>217.45</v>
      </c>
      <c r="I478" t="s">
        <v>15</v>
      </c>
      <c r="J478" s="2">
        <v>1866</v>
      </c>
      <c r="K478" s="2">
        <v>4</v>
      </c>
    </row>
    <row r="479" spans="1:11" x14ac:dyDescent="0.25">
      <c r="A479" t="s">
        <v>525</v>
      </c>
      <c r="B479" t="s">
        <v>35</v>
      </c>
      <c r="C479" t="s">
        <v>52</v>
      </c>
      <c r="D479" t="s">
        <v>18</v>
      </c>
      <c r="E479" s="1">
        <v>45280</v>
      </c>
      <c r="F479" s="1">
        <v>45297</v>
      </c>
      <c r="G479" s="2">
        <v>17.899999999999999</v>
      </c>
      <c r="H479" s="2">
        <v>373.8</v>
      </c>
      <c r="I479" t="s">
        <v>47</v>
      </c>
      <c r="J479" s="2">
        <v>1998</v>
      </c>
      <c r="K479" s="2">
        <v>5</v>
      </c>
    </row>
    <row r="480" spans="1:11" x14ac:dyDescent="0.25">
      <c r="A480" t="s">
        <v>526</v>
      </c>
      <c r="B480" t="s">
        <v>56</v>
      </c>
      <c r="C480" t="s">
        <v>44</v>
      </c>
      <c r="D480" t="s">
        <v>14</v>
      </c>
      <c r="E480" s="1">
        <v>45123</v>
      </c>
      <c r="F480" s="1">
        <v>45128</v>
      </c>
      <c r="G480" s="2">
        <v>14.8</v>
      </c>
      <c r="H480" s="2">
        <v>182.07</v>
      </c>
      <c r="I480" t="s">
        <v>15</v>
      </c>
      <c r="J480" s="2">
        <v>1304</v>
      </c>
      <c r="K480" s="2">
        <v>5</v>
      </c>
    </row>
    <row r="481" spans="1:11" x14ac:dyDescent="0.25">
      <c r="A481" t="s">
        <v>527</v>
      </c>
      <c r="B481" t="s">
        <v>49</v>
      </c>
      <c r="C481" t="s">
        <v>28</v>
      </c>
      <c r="D481" t="s">
        <v>14</v>
      </c>
      <c r="E481" s="1">
        <v>45035</v>
      </c>
      <c r="F481" s="1">
        <v>45037</v>
      </c>
      <c r="G481" s="2">
        <v>11.9</v>
      </c>
      <c r="H481" s="2">
        <v>41.55</v>
      </c>
      <c r="I481" t="s">
        <v>15</v>
      </c>
      <c r="J481" s="2">
        <v>187</v>
      </c>
      <c r="K481" s="2">
        <v>2</v>
      </c>
    </row>
    <row r="482" spans="1:11" x14ac:dyDescent="0.25">
      <c r="A482" t="s">
        <v>528</v>
      </c>
      <c r="B482" t="s">
        <v>20</v>
      </c>
      <c r="C482" t="s">
        <v>44</v>
      </c>
      <c r="D482" t="s">
        <v>59</v>
      </c>
      <c r="E482" s="1">
        <v>45016</v>
      </c>
      <c r="F482" s="1">
        <v>45021</v>
      </c>
      <c r="G482" s="2">
        <v>26.7</v>
      </c>
      <c r="H482" s="2">
        <v>209.87</v>
      </c>
      <c r="I482" t="s">
        <v>15</v>
      </c>
      <c r="J482" s="2">
        <v>1486</v>
      </c>
      <c r="K482" s="2">
        <v>5</v>
      </c>
    </row>
    <row r="483" spans="1:11" x14ac:dyDescent="0.25">
      <c r="A483" t="s">
        <v>529</v>
      </c>
      <c r="B483" t="s">
        <v>27</v>
      </c>
      <c r="C483" t="s">
        <v>31</v>
      </c>
      <c r="D483" t="s">
        <v>37</v>
      </c>
      <c r="E483" s="1">
        <v>44934</v>
      </c>
      <c r="F483" s="1">
        <v>44938</v>
      </c>
      <c r="G483" s="2">
        <v>7.7</v>
      </c>
      <c r="H483" s="2">
        <v>170.97</v>
      </c>
      <c r="I483" t="s">
        <v>15</v>
      </c>
      <c r="J483" s="2">
        <v>1468</v>
      </c>
      <c r="K483" s="2">
        <v>4</v>
      </c>
    </row>
    <row r="484" spans="1:11" x14ac:dyDescent="0.25">
      <c r="A484" t="s">
        <v>530</v>
      </c>
      <c r="B484" t="s">
        <v>35</v>
      </c>
      <c r="C484" t="s">
        <v>24</v>
      </c>
      <c r="D484" t="s">
        <v>37</v>
      </c>
      <c r="E484" s="1">
        <v>45012</v>
      </c>
      <c r="F484" s="1">
        <v>45017</v>
      </c>
      <c r="G484" s="2">
        <v>17.8</v>
      </c>
      <c r="H484" s="2">
        <v>323.01</v>
      </c>
      <c r="I484" t="s">
        <v>15</v>
      </c>
      <c r="J484" s="2">
        <v>2283</v>
      </c>
      <c r="K484" s="2">
        <v>5</v>
      </c>
    </row>
    <row r="485" spans="1:11" x14ac:dyDescent="0.25">
      <c r="A485" t="s">
        <v>531</v>
      </c>
      <c r="B485" t="s">
        <v>27</v>
      </c>
      <c r="C485" t="s">
        <v>21</v>
      </c>
      <c r="D485" t="s">
        <v>14</v>
      </c>
      <c r="E485" s="1">
        <v>44945</v>
      </c>
      <c r="F485" s="1">
        <v>44949</v>
      </c>
      <c r="G485" s="2">
        <v>57.6</v>
      </c>
      <c r="H485" s="2">
        <v>346.17</v>
      </c>
      <c r="I485" t="s">
        <v>15</v>
      </c>
      <c r="J485" s="2">
        <v>1950</v>
      </c>
      <c r="K485" s="2">
        <v>4</v>
      </c>
    </row>
    <row r="486" spans="1:11" x14ac:dyDescent="0.25">
      <c r="A486" t="s">
        <v>532</v>
      </c>
      <c r="B486" t="s">
        <v>12</v>
      </c>
      <c r="C486" t="s">
        <v>40</v>
      </c>
      <c r="D486" t="s">
        <v>42</v>
      </c>
      <c r="E486" s="1">
        <v>45162</v>
      </c>
      <c r="F486" s="1">
        <v>45171</v>
      </c>
      <c r="G486" s="2">
        <v>13.4</v>
      </c>
      <c r="H486" s="2">
        <v>31.36</v>
      </c>
      <c r="I486" t="s">
        <v>47</v>
      </c>
      <c r="J486" s="2">
        <v>119</v>
      </c>
      <c r="K486" s="2">
        <v>2</v>
      </c>
    </row>
    <row r="487" spans="1:11" x14ac:dyDescent="0.25">
      <c r="A487" t="s">
        <v>533</v>
      </c>
      <c r="B487" t="s">
        <v>12</v>
      </c>
      <c r="C487" t="s">
        <v>44</v>
      </c>
      <c r="D487" t="s">
        <v>42</v>
      </c>
      <c r="E487" s="1">
        <v>44992</v>
      </c>
      <c r="F487" s="1">
        <v>44995</v>
      </c>
      <c r="G487" s="2">
        <v>11.5</v>
      </c>
      <c r="H487" s="2">
        <v>143.87</v>
      </c>
      <c r="I487" t="s">
        <v>15</v>
      </c>
      <c r="J487" s="2">
        <v>983</v>
      </c>
      <c r="K487" s="2">
        <v>3</v>
      </c>
    </row>
    <row r="488" spans="1:11" x14ac:dyDescent="0.25">
      <c r="A488" t="s">
        <v>534</v>
      </c>
      <c r="B488" t="s">
        <v>56</v>
      </c>
      <c r="C488" t="s">
        <v>70</v>
      </c>
      <c r="D488" t="s">
        <v>59</v>
      </c>
      <c r="E488" s="1">
        <v>44975</v>
      </c>
      <c r="F488" s="1">
        <v>44977</v>
      </c>
      <c r="G488" s="2">
        <v>18.600000000000001</v>
      </c>
      <c r="H488" s="2">
        <v>64.53</v>
      </c>
      <c r="I488" t="s">
        <v>60</v>
      </c>
      <c r="J488" s="2">
        <v>344</v>
      </c>
      <c r="K488" s="2">
        <v>2</v>
      </c>
    </row>
    <row r="489" spans="1:11" x14ac:dyDescent="0.25">
      <c r="A489" t="s">
        <v>535</v>
      </c>
      <c r="B489" t="s">
        <v>23</v>
      </c>
      <c r="C489" t="s">
        <v>40</v>
      </c>
      <c r="D489" t="s">
        <v>37</v>
      </c>
      <c r="E489" s="1">
        <v>45161</v>
      </c>
      <c r="F489" s="1">
        <v>45166</v>
      </c>
      <c r="G489" s="2">
        <v>26.8</v>
      </c>
      <c r="H489" s="2">
        <v>280.97000000000003</v>
      </c>
      <c r="I489" t="s">
        <v>15</v>
      </c>
      <c r="J489" s="2">
        <v>1996</v>
      </c>
      <c r="K489" s="2">
        <v>5</v>
      </c>
    </row>
    <row r="490" spans="1:11" x14ac:dyDescent="0.25">
      <c r="A490" t="s">
        <v>536</v>
      </c>
      <c r="B490" t="s">
        <v>56</v>
      </c>
      <c r="C490" t="s">
        <v>70</v>
      </c>
      <c r="D490" t="s">
        <v>25</v>
      </c>
      <c r="E490" s="1">
        <v>45102</v>
      </c>
      <c r="F490" s="1">
        <v>45108</v>
      </c>
      <c r="G490" s="2">
        <v>8.6</v>
      </c>
      <c r="H490" s="2">
        <v>219.42</v>
      </c>
      <c r="I490" t="s">
        <v>47</v>
      </c>
      <c r="J490" s="2">
        <v>1671</v>
      </c>
      <c r="K490" s="2">
        <v>5</v>
      </c>
    </row>
    <row r="491" spans="1:11" x14ac:dyDescent="0.25">
      <c r="A491" t="s">
        <v>537</v>
      </c>
      <c r="B491" t="s">
        <v>51</v>
      </c>
      <c r="C491" t="s">
        <v>54</v>
      </c>
      <c r="D491" t="s">
        <v>32</v>
      </c>
      <c r="E491" s="1">
        <v>45282</v>
      </c>
      <c r="F491" s="1">
        <v>45286</v>
      </c>
      <c r="G491" s="2">
        <v>53.2</v>
      </c>
      <c r="H491" s="2">
        <v>204.86</v>
      </c>
      <c r="I491" t="s">
        <v>15</v>
      </c>
      <c r="J491" s="2">
        <v>829</v>
      </c>
      <c r="K491" s="2">
        <v>4</v>
      </c>
    </row>
    <row r="492" spans="1:11" x14ac:dyDescent="0.25">
      <c r="A492" t="s">
        <v>538</v>
      </c>
      <c r="B492" t="s">
        <v>27</v>
      </c>
      <c r="C492" t="s">
        <v>70</v>
      </c>
      <c r="D492" t="s">
        <v>37</v>
      </c>
      <c r="E492" s="1">
        <v>45169</v>
      </c>
      <c r="F492" s="1">
        <v>45175</v>
      </c>
      <c r="G492" s="2">
        <v>14.9</v>
      </c>
      <c r="H492" s="2">
        <v>186.3</v>
      </c>
      <c r="I492" t="s">
        <v>15</v>
      </c>
      <c r="J492" s="2">
        <v>1508</v>
      </c>
      <c r="K492" s="2">
        <v>6</v>
      </c>
    </row>
    <row r="493" spans="1:11" x14ac:dyDescent="0.25">
      <c r="A493" t="s">
        <v>539</v>
      </c>
      <c r="B493" t="s">
        <v>20</v>
      </c>
      <c r="C493" t="s">
        <v>46</v>
      </c>
      <c r="D493" t="s">
        <v>18</v>
      </c>
      <c r="E493" s="1">
        <v>45094</v>
      </c>
      <c r="F493" s="1">
        <v>45097</v>
      </c>
      <c r="G493" s="2">
        <v>59.4</v>
      </c>
      <c r="H493" s="2">
        <v>316.73</v>
      </c>
      <c r="I493" t="s">
        <v>15</v>
      </c>
      <c r="J493" s="2">
        <v>1504</v>
      </c>
      <c r="K493" s="2">
        <v>3</v>
      </c>
    </row>
    <row r="494" spans="1:11" x14ac:dyDescent="0.25">
      <c r="A494" t="s">
        <v>540</v>
      </c>
      <c r="B494" t="s">
        <v>35</v>
      </c>
      <c r="C494" t="s">
        <v>24</v>
      </c>
      <c r="D494" t="s">
        <v>59</v>
      </c>
      <c r="E494" s="1">
        <v>45086</v>
      </c>
      <c r="F494" s="1">
        <v>45090</v>
      </c>
      <c r="G494" s="2">
        <v>16.899999999999999</v>
      </c>
      <c r="H494" s="2">
        <v>213.15</v>
      </c>
      <c r="I494" t="s">
        <v>15</v>
      </c>
      <c r="J494" s="2">
        <v>1844</v>
      </c>
      <c r="K494" s="2">
        <v>4</v>
      </c>
    </row>
    <row r="495" spans="1:11" x14ac:dyDescent="0.25">
      <c r="A495" t="s">
        <v>541</v>
      </c>
      <c r="B495" t="s">
        <v>39</v>
      </c>
      <c r="C495" t="s">
        <v>81</v>
      </c>
      <c r="D495" t="s">
        <v>32</v>
      </c>
      <c r="E495" s="1">
        <v>44963</v>
      </c>
      <c r="F495" s="1">
        <v>44967</v>
      </c>
      <c r="G495" s="2">
        <v>13.4</v>
      </c>
      <c r="H495" s="2">
        <v>139.6</v>
      </c>
      <c r="I495" t="s">
        <v>15</v>
      </c>
      <c r="J495" s="2">
        <v>1030</v>
      </c>
      <c r="K495" s="2">
        <v>4</v>
      </c>
    </row>
    <row r="496" spans="1:11" x14ac:dyDescent="0.25">
      <c r="A496" t="s">
        <v>542</v>
      </c>
      <c r="B496" t="s">
        <v>49</v>
      </c>
      <c r="C496" t="s">
        <v>31</v>
      </c>
      <c r="D496" t="s">
        <v>18</v>
      </c>
      <c r="E496" s="1">
        <v>45168</v>
      </c>
      <c r="F496" s="1">
        <v>45170</v>
      </c>
      <c r="G496" s="2">
        <v>11.4</v>
      </c>
      <c r="H496" s="2">
        <v>65.290000000000006</v>
      </c>
      <c r="I496" t="s">
        <v>15</v>
      </c>
      <c r="J496" s="2">
        <v>319</v>
      </c>
      <c r="K496" s="2">
        <v>2</v>
      </c>
    </row>
    <row r="497" spans="1:11" x14ac:dyDescent="0.25">
      <c r="A497" t="s">
        <v>543</v>
      </c>
      <c r="B497" t="s">
        <v>49</v>
      </c>
      <c r="C497" t="s">
        <v>44</v>
      </c>
      <c r="D497" t="s">
        <v>18</v>
      </c>
      <c r="E497" s="1">
        <v>45034</v>
      </c>
      <c r="F497" s="1">
        <v>45040</v>
      </c>
      <c r="G497" s="2">
        <v>10.8</v>
      </c>
      <c r="H497" s="2">
        <v>256.45</v>
      </c>
      <c r="I497" t="s">
        <v>15</v>
      </c>
      <c r="J497" s="2">
        <v>1635</v>
      </c>
      <c r="K497" s="2">
        <v>6</v>
      </c>
    </row>
    <row r="498" spans="1:11" x14ac:dyDescent="0.25">
      <c r="A498" t="s">
        <v>544</v>
      </c>
      <c r="B498" t="s">
        <v>12</v>
      </c>
      <c r="C498" t="s">
        <v>81</v>
      </c>
      <c r="D498" t="s">
        <v>32</v>
      </c>
      <c r="E498" s="1">
        <v>45172</v>
      </c>
      <c r="F498" s="1">
        <v>45175</v>
      </c>
      <c r="G498" s="2">
        <v>68.5</v>
      </c>
      <c r="H498" s="2">
        <v>235.28</v>
      </c>
      <c r="I498" t="s">
        <v>15</v>
      </c>
      <c r="J498" s="2">
        <v>1058</v>
      </c>
      <c r="K498" s="2">
        <v>3</v>
      </c>
    </row>
    <row r="499" spans="1:11" x14ac:dyDescent="0.25">
      <c r="A499" t="s">
        <v>545</v>
      </c>
      <c r="B499" t="s">
        <v>12</v>
      </c>
      <c r="C499" t="s">
        <v>81</v>
      </c>
      <c r="D499" t="s">
        <v>32</v>
      </c>
      <c r="E499" s="1">
        <v>44928</v>
      </c>
      <c r="F499" s="1">
        <v>44929</v>
      </c>
      <c r="G499" s="2">
        <v>22.1</v>
      </c>
      <c r="H499" s="2">
        <v>69.52</v>
      </c>
      <c r="I499" t="s">
        <v>15</v>
      </c>
      <c r="J499" s="2">
        <v>309</v>
      </c>
      <c r="K499" s="2">
        <v>1</v>
      </c>
    </row>
    <row r="500" spans="1:11" x14ac:dyDescent="0.25">
      <c r="A500" t="s">
        <v>546</v>
      </c>
      <c r="B500" t="s">
        <v>56</v>
      </c>
      <c r="C500" t="s">
        <v>21</v>
      </c>
      <c r="D500" t="s">
        <v>37</v>
      </c>
      <c r="E500" s="1">
        <v>45288</v>
      </c>
      <c r="F500" s="1">
        <v>45290</v>
      </c>
      <c r="G500" s="2">
        <v>9</v>
      </c>
      <c r="H500" s="2">
        <v>149.84</v>
      </c>
      <c r="I500" t="s">
        <v>15</v>
      </c>
      <c r="J500" s="2">
        <v>1002</v>
      </c>
      <c r="K500" s="2">
        <v>2</v>
      </c>
    </row>
    <row r="501" spans="1:11" x14ac:dyDescent="0.25">
      <c r="A501" t="s">
        <v>547</v>
      </c>
      <c r="B501" t="s">
        <v>27</v>
      </c>
      <c r="C501" t="s">
        <v>81</v>
      </c>
      <c r="D501" t="s">
        <v>18</v>
      </c>
      <c r="E501" s="1">
        <v>45197</v>
      </c>
      <c r="F501" s="1">
        <v>45199</v>
      </c>
      <c r="G501" s="2">
        <v>10.7</v>
      </c>
      <c r="H501" s="2">
        <v>51.05</v>
      </c>
      <c r="I501" t="s">
        <v>15</v>
      </c>
      <c r="J501" s="2">
        <v>295</v>
      </c>
      <c r="K501" s="2">
        <v>2</v>
      </c>
    </row>
    <row r="502" spans="1:11" x14ac:dyDescent="0.25">
      <c r="A502" t="s">
        <v>548</v>
      </c>
      <c r="B502" t="s">
        <v>30</v>
      </c>
      <c r="C502" t="s">
        <v>24</v>
      </c>
      <c r="D502" t="s">
        <v>14</v>
      </c>
      <c r="E502" s="1">
        <v>45148</v>
      </c>
      <c r="F502" s="1">
        <v>45153</v>
      </c>
      <c r="G502" s="2">
        <v>4.4000000000000004</v>
      </c>
      <c r="H502" s="2">
        <v>316.41000000000003</v>
      </c>
      <c r="I502" t="s">
        <v>15</v>
      </c>
      <c r="J502" s="2">
        <v>2252</v>
      </c>
      <c r="K502" s="2">
        <v>5</v>
      </c>
    </row>
    <row r="503" spans="1:11" x14ac:dyDescent="0.25">
      <c r="A503" t="s">
        <v>549</v>
      </c>
      <c r="B503" t="s">
        <v>20</v>
      </c>
      <c r="C503" t="s">
        <v>24</v>
      </c>
      <c r="D503" t="s">
        <v>14</v>
      </c>
      <c r="E503" s="1">
        <v>45123</v>
      </c>
      <c r="F503" s="1">
        <v>45128</v>
      </c>
      <c r="G503" s="2">
        <v>39</v>
      </c>
      <c r="H503" s="2">
        <v>195.48</v>
      </c>
      <c r="I503" t="s">
        <v>15</v>
      </c>
      <c r="J503" s="2">
        <v>1135</v>
      </c>
      <c r="K503" s="2">
        <v>5</v>
      </c>
    </row>
    <row r="504" spans="1:11" x14ac:dyDescent="0.25">
      <c r="A504" t="s">
        <v>550</v>
      </c>
      <c r="B504" t="s">
        <v>20</v>
      </c>
      <c r="C504" t="s">
        <v>70</v>
      </c>
      <c r="D504" t="s">
        <v>37</v>
      </c>
      <c r="E504" s="1">
        <v>45104</v>
      </c>
      <c r="F504" s="1">
        <v>45110</v>
      </c>
      <c r="G504" s="2">
        <v>15.9</v>
      </c>
      <c r="H504" s="2">
        <v>331.92</v>
      </c>
      <c r="I504" t="s">
        <v>15</v>
      </c>
      <c r="J504" s="2">
        <v>2378</v>
      </c>
      <c r="K504" s="2">
        <v>6</v>
      </c>
    </row>
    <row r="505" spans="1:11" x14ac:dyDescent="0.25">
      <c r="A505" t="s">
        <v>551</v>
      </c>
      <c r="B505" t="s">
        <v>49</v>
      </c>
      <c r="C505" t="s">
        <v>57</v>
      </c>
      <c r="D505" t="s">
        <v>59</v>
      </c>
      <c r="E505" s="1">
        <v>45260</v>
      </c>
      <c r="F505" s="1">
        <v>45264</v>
      </c>
      <c r="G505" s="2">
        <v>10.3</v>
      </c>
      <c r="H505" s="2">
        <v>227.04</v>
      </c>
      <c r="I505" t="s">
        <v>15</v>
      </c>
      <c r="J505" s="2">
        <v>1473</v>
      </c>
      <c r="K505" s="2">
        <v>4</v>
      </c>
    </row>
    <row r="506" spans="1:11" x14ac:dyDescent="0.25">
      <c r="A506" t="s">
        <v>552</v>
      </c>
      <c r="B506" t="s">
        <v>12</v>
      </c>
      <c r="C506" t="s">
        <v>40</v>
      </c>
      <c r="D506" t="s">
        <v>42</v>
      </c>
      <c r="E506" s="1">
        <v>45288</v>
      </c>
      <c r="F506" s="1">
        <v>45292</v>
      </c>
      <c r="G506" s="2">
        <v>26.9</v>
      </c>
      <c r="H506" s="2">
        <v>260.39999999999998</v>
      </c>
      <c r="I506" t="s">
        <v>15</v>
      </c>
      <c r="J506" s="2">
        <v>1433</v>
      </c>
      <c r="K506" s="2">
        <v>4</v>
      </c>
    </row>
    <row r="507" spans="1:11" x14ac:dyDescent="0.25">
      <c r="A507" t="s">
        <v>553</v>
      </c>
      <c r="B507" t="s">
        <v>12</v>
      </c>
      <c r="C507" t="s">
        <v>21</v>
      </c>
      <c r="D507" t="s">
        <v>32</v>
      </c>
      <c r="E507" s="1">
        <v>45219</v>
      </c>
      <c r="F507" s="1">
        <v>45221</v>
      </c>
      <c r="G507" s="2">
        <v>51.6</v>
      </c>
      <c r="H507" s="2">
        <v>103.41</v>
      </c>
      <c r="I507" t="s">
        <v>15</v>
      </c>
      <c r="J507" s="2">
        <v>239</v>
      </c>
      <c r="K507" s="2">
        <v>2</v>
      </c>
    </row>
    <row r="508" spans="1:11" x14ac:dyDescent="0.25">
      <c r="A508" t="s">
        <v>554</v>
      </c>
      <c r="B508" t="s">
        <v>30</v>
      </c>
      <c r="C508" t="s">
        <v>17</v>
      </c>
      <c r="D508" t="s">
        <v>14</v>
      </c>
      <c r="E508" s="1">
        <v>45182</v>
      </c>
      <c r="F508" s="1">
        <v>45187</v>
      </c>
      <c r="G508" s="2">
        <v>8.9</v>
      </c>
      <c r="H508" s="2">
        <v>298.41000000000003</v>
      </c>
      <c r="I508" t="s">
        <v>15</v>
      </c>
      <c r="J508" s="2">
        <v>2461</v>
      </c>
      <c r="K508" s="2">
        <v>5</v>
      </c>
    </row>
    <row r="509" spans="1:11" x14ac:dyDescent="0.25">
      <c r="A509" t="s">
        <v>555</v>
      </c>
      <c r="B509" t="s">
        <v>51</v>
      </c>
      <c r="C509" t="s">
        <v>54</v>
      </c>
      <c r="D509" t="s">
        <v>18</v>
      </c>
      <c r="E509" s="1">
        <v>45260</v>
      </c>
      <c r="F509" s="1">
        <v>45265</v>
      </c>
      <c r="G509" s="2">
        <v>12.5</v>
      </c>
      <c r="H509" s="2">
        <v>283.77999999999997</v>
      </c>
      <c r="I509" t="s">
        <v>15</v>
      </c>
      <c r="J509" s="2">
        <v>1588</v>
      </c>
      <c r="K509" s="2">
        <v>5</v>
      </c>
    </row>
    <row r="510" spans="1:11" x14ac:dyDescent="0.25">
      <c r="A510" t="s">
        <v>556</v>
      </c>
      <c r="B510" t="s">
        <v>23</v>
      </c>
      <c r="C510" t="s">
        <v>81</v>
      </c>
      <c r="D510" t="s">
        <v>59</v>
      </c>
      <c r="E510" s="1">
        <v>45168</v>
      </c>
      <c r="F510" s="1">
        <v>45169</v>
      </c>
      <c r="G510" s="2">
        <v>9.9</v>
      </c>
      <c r="H510" s="2">
        <v>52.96</v>
      </c>
      <c r="I510" t="s">
        <v>15</v>
      </c>
      <c r="J510" s="2">
        <v>328</v>
      </c>
      <c r="K510" s="2">
        <v>1</v>
      </c>
    </row>
    <row r="511" spans="1:11" x14ac:dyDescent="0.25">
      <c r="A511" t="s">
        <v>557</v>
      </c>
      <c r="B511" t="s">
        <v>23</v>
      </c>
      <c r="C511" t="s">
        <v>70</v>
      </c>
      <c r="D511" t="s">
        <v>14</v>
      </c>
      <c r="E511" s="1">
        <v>45188</v>
      </c>
      <c r="F511" s="1">
        <v>45193</v>
      </c>
      <c r="G511" s="2">
        <v>11.2</v>
      </c>
      <c r="H511" s="2">
        <v>306.47000000000003</v>
      </c>
      <c r="I511" t="s">
        <v>15</v>
      </c>
      <c r="J511" s="2">
        <v>2213</v>
      </c>
      <c r="K511" s="2">
        <v>5</v>
      </c>
    </row>
    <row r="512" spans="1:11" x14ac:dyDescent="0.25">
      <c r="A512" t="s">
        <v>558</v>
      </c>
      <c r="B512" t="s">
        <v>27</v>
      </c>
      <c r="C512" t="s">
        <v>52</v>
      </c>
      <c r="D512" t="s">
        <v>59</v>
      </c>
      <c r="E512" s="1">
        <v>44934</v>
      </c>
      <c r="F512" s="1">
        <v>44946</v>
      </c>
      <c r="G512" s="2">
        <v>19.8</v>
      </c>
      <c r="H512" s="2">
        <v>263.66000000000003</v>
      </c>
      <c r="I512" t="s">
        <v>47</v>
      </c>
      <c r="J512" s="2">
        <v>2186</v>
      </c>
      <c r="K512" s="2">
        <v>6</v>
      </c>
    </row>
    <row r="513" spans="1:11" x14ac:dyDescent="0.25">
      <c r="A513" t="s">
        <v>559</v>
      </c>
      <c r="B513" t="s">
        <v>20</v>
      </c>
      <c r="C513" t="s">
        <v>81</v>
      </c>
      <c r="D513" t="s">
        <v>32</v>
      </c>
      <c r="E513" s="1">
        <v>45114</v>
      </c>
      <c r="F513" s="1">
        <v>45125</v>
      </c>
      <c r="G513" s="2">
        <v>16.5</v>
      </c>
      <c r="H513" s="2">
        <v>196.73</v>
      </c>
      <c r="I513" t="s">
        <v>47</v>
      </c>
      <c r="J513" s="2">
        <v>1228</v>
      </c>
      <c r="K513" s="2">
        <v>4</v>
      </c>
    </row>
    <row r="514" spans="1:11" x14ac:dyDescent="0.25">
      <c r="A514" t="s">
        <v>560</v>
      </c>
      <c r="B514" t="s">
        <v>35</v>
      </c>
      <c r="C514" t="s">
        <v>36</v>
      </c>
      <c r="D514" t="s">
        <v>42</v>
      </c>
      <c r="E514" s="1">
        <v>45172</v>
      </c>
      <c r="F514" s="1">
        <v>45176</v>
      </c>
      <c r="G514" s="2">
        <v>12.1</v>
      </c>
      <c r="H514" s="2">
        <v>206.41</v>
      </c>
      <c r="I514" t="s">
        <v>15</v>
      </c>
      <c r="J514" s="2">
        <v>1553</v>
      </c>
      <c r="K514" s="2">
        <v>4</v>
      </c>
    </row>
    <row r="515" spans="1:11" x14ac:dyDescent="0.25">
      <c r="A515" t="s">
        <v>561</v>
      </c>
      <c r="B515" t="s">
        <v>30</v>
      </c>
      <c r="C515" t="s">
        <v>70</v>
      </c>
      <c r="D515" t="s">
        <v>25</v>
      </c>
      <c r="E515" s="1">
        <v>45005</v>
      </c>
      <c r="F515" s="1">
        <v>45009</v>
      </c>
      <c r="G515" s="2">
        <v>50.9</v>
      </c>
      <c r="H515" s="2">
        <v>224.98</v>
      </c>
      <c r="I515" t="s">
        <v>15</v>
      </c>
      <c r="J515" s="2">
        <v>1225</v>
      </c>
      <c r="K515" s="2">
        <v>4</v>
      </c>
    </row>
    <row r="516" spans="1:11" x14ac:dyDescent="0.25">
      <c r="A516" t="s">
        <v>562</v>
      </c>
      <c r="B516" t="s">
        <v>30</v>
      </c>
      <c r="C516" t="s">
        <v>17</v>
      </c>
      <c r="D516" t="s">
        <v>37</v>
      </c>
      <c r="E516" s="1">
        <v>45127</v>
      </c>
      <c r="F516" s="1">
        <v>45130</v>
      </c>
      <c r="G516" s="2">
        <v>20.5</v>
      </c>
      <c r="H516" s="2">
        <v>202.83</v>
      </c>
      <c r="I516" t="s">
        <v>15</v>
      </c>
      <c r="J516" s="2">
        <v>1428</v>
      </c>
      <c r="K516" s="2">
        <v>3</v>
      </c>
    </row>
    <row r="517" spans="1:11" x14ac:dyDescent="0.25">
      <c r="A517" t="s">
        <v>563</v>
      </c>
      <c r="B517" t="s">
        <v>39</v>
      </c>
      <c r="C517" t="s">
        <v>36</v>
      </c>
      <c r="D517" t="s">
        <v>42</v>
      </c>
      <c r="E517" s="1">
        <v>45286</v>
      </c>
      <c r="F517" s="1">
        <v>45287</v>
      </c>
      <c r="G517" s="2">
        <v>24.1</v>
      </c>
      <c r="H517" s="2">
        <v>79.56</v>
      </c>
      <c r="I517" t="s">
        <v>15</v>
      </c>
      <c r="J517" s="2">
        <v>267</v>
      </c>
      <c r="K517" s="2">
        <v>1</v>
      </c>
    </row>
    <row r="518" spans="1:11" x14ac:dyDescent="0.25">
      <c r="A518" t="s">
        <v>564</v>
      </c>
      <c r="B518" t="s">
        <v>30</v>
      </c>
      <c r="C518" t="s">
        <v>57</v>
      </c>
      <c r="D518" t="s">
        <v>14</v>
      </c>
      <c r="E518" s="1">
        <v>44998</v>
      </c>
      <c r="F518" s="1">
        <v>44999</v>
      </c>
      <c r="G518" s="2">
        <v>8.9</v>
      </c>
      <c r="H518" s="2">
        <v>89.78</v>
      </c>
      <c r="I518" t="s">
        <v>15</v>
      </c>
      <c r="J518" s="2">
        <v>650</v>
      </c>
      <c r="K518" s="2">
        <v>1</v>
      </c>
    </row>
    <row r="519" spans="1:11" x14ac:dyDescent="0.25">
      <c r="A519" t="s">
        <v>565</v>
      </c>
      <c r="B519" t="s">
        <v>39</v>
      </c>
      <c r="C519" t="s">
        <v>46</v>
      </c>
      <c r="D519" t="s">
        <v>59</v>
      </c>
      <c r="E519" s="1">
        <v>45257</v>
      </c>
      <c r="F519" s="1">
        <v>45263</v>
      </c>
      <c r="G519" s="2">
        <v>80</v>
      </c>
      <c r="H519" s="2">
        <v>485.62</v>
      </c>
      <c r="I519" t="s">
        <v>15</v>
      </c>
      <c r="J519" s="2">
        <v>2479</v>
      </c>
      <c r="K519" s="2">
        <v>6</v>
      </c>
    </row>
    <row r="520" spans="1:11" x14ac:dyDescent="0.25">
      <c r="A520" t="s">
        <v>566</v>
      </c>
      <c r="B520" t="s">
        <v>12</v>
      </c>
      <c r="C520" t="s">
        <v>21</v>
      </c>
      <c r="D520" t="s">
        <v>14</v>
      </c>
      <c r="E520" s="1">
        <v>45015</v>
      </c>
      <c r="F520" s="1">
        <v>45020</v>
      </c>
      <c r="G520" s="2">
        <v>15.4</v>
      </c>
      <c r="H520" s="2">
        <v>241.05</v>
      </c>
      <c r="I520" t="s">
        <v>15</v>
      </c>
      <c r="J520" s="2">
        <v>1859</v>
      </c>
      <c r="K520" s="2">
        <v>5</v>
      </c>
    </row>
    <row r="521" spans="1:11" x14ac:dyDescent="0.25">
      <c r="A521" t="s">
        <v>567</v>
      </c>
      <c r="B521" t="s">
        <v>20</v>
      </c>
      <c r="C521" t="s">
        <v>52</v>
      </c>
      <c r="D521" t="s">
        <v>59</v>
      </c>
      <c r="E521" s="1">
        <v>44958</v>
      </c>
      <c r="F521" s="1">
        <v>44966</v>
      </c>
      <c r="G521" s="2">
        <v>21.4</v>
      </c>
      <c r="H521" s="2">
        <v>68.02</v>
      </c>
      <c r="I521" t="s">
        <v>47</v>
      </c>
      <c r="J521" s="2">
        <v>373</v>
      </c>
      <c r="K521" s="2">
        <v>3</v>
      </c>
    </row>
    <row r="522" spans="1:11" x14ac:dyDescent="0.25">
      <c r="A522" t="s">
        <v>568</v>
      </c>
      <c r="B522" t="s">
        <v>20</v>
      </c>
      <c r="C522" t="s">
        <v>46</v>
      </c>
      <c r="D522" t="s">
        <v>25</v>
      </c>
      <c r="E522" s="1">
        <v>45109</v>
      </c>
      <c r="F522" s="1">
        <v>45111</v>
      </c>
      <c r="G522" s="2">
        <v>6.6</v>
      </c>
      <c r="H522" s="2">
        <v>115.73</v>
      </c>
      <c r="I522" t="s">
        <v>15</v>
      </c>
      <c r="J522" s="2">
        <v>912</v>
      </c>
      <c r="K522" s="2">
        <v>2</v>
      </c>
    </row>
    <row r="523" spans="1:11" x14ac:dyDescent="0.25">
      <c r="A523" t="s">
        <v>569</v>
      </c>
      <c r="B523" t="s">
        <v>23</v>
      </c>
      <c r="C523" t="s">
        <v>17</v>
      </c>
      <c r="D523" t="s">
        <v>18</v>
      </c>
      <c r="E523" s="1">
        <v>45093</v>
      </c>
      <c r="F523" s="1">
        <v>45095</v>
      </c>
      <c r="G523" s="2">
        <v>27.4</v>
      </c>
      <c r="H523" s="2">
        <v>98.31</v>
      </c>
      <c r="I523" t="s">
        <v>15</v>
      </c>
      <c r="J523" s="2">
        <v>490</v>
      </c>
      <c r="K523" s="2">
        <v>2</v>
      </c>
    </row>
    <row r="524" spans="1:11" x14ac:dyDescent="0.25">
      <c r="A524" t="s">
        <v>570</v>
      </c>
      <c r="B524" t="s">
        <v>35</v>
      </c>
      <c r="C524" t="s">
        <v>54</v>
      </c>
      <c r="D524" t="s">
        <v>42</v>
      </c>
      <c r="E524" s="1">
        <v>45092</v>
      </c>
      <c r="F524" s="1">
        <v>45095</v>
      </c>
      <c r="G524" s="2">
        <v>20.100000000000001</v>
      </c>
      <c r="H524" s="2">
        <v>195.91</v>
      </c>
      <c r="I524" t="s">
        <v>15</v>
      </c>
      <c r="J524" s="2">
        <v>1350</v>
      </c>
      <c r="K524" s="2">
        <v>3</v>
      </c>
    </row>
    <row r="525" spans="1:11" x14ac:dyDescent="0.25">
      <c r="A525" t="s">
        <v>571</v>
      </c>
      <c r="B525" t="s">
        <v>30</v>
      </c>
      <c r="C525" t="s">
        <v>36</v>
      </c>
      <c r="D525" t="s">
        <v>37</v>
      </c>
      <c r="E525" s="1">
        <v>45034</v>
      </c>
      <c r="F525" s="1">
        <v>45048</v>
      </c>
      <c r="G525" s="2">
        <v>24.7</v>
      </c>
      <c r="H525" s="2">
        <v>221.91</v>
      </c>
      <c r="I525" t="s">
        <v>47</v>
      </c>
      <c r="J525" s="2">
        <v>1572</v>
      </c>
      <c r="K525" s="2">
        <v>6</v>
      </c>
    </row>
    <row r="526" spans="1:11" x14ac:dyDescent="0.25">
      <c r="A526" t="s">
        <v>572</v>
      </c>
      <c r="B526" t="s">
        <v>30</v>
      </c>
      <c r="C526" t="s">
        <v>40</v>
      </c>
      <c r="D526" t="s">
        <v>37</v>
      </c>
      <c r="E526" s="1">
        <v>45242</v>
      </c>
      <c r="F526" s="1">
        <v>45246</v>
      </c>
      <c r="G526" s="2">
        <v>6.9</v>
      </c>
      <c r="H526" s="2">
        <v>213.81</v>
      </c>
      <c r="I526" t="s">
        <v>15</v>
      </c>
      <c r="J526" s="2">
        <v>1517</v>
      </c>
      <c r="K526" s="2">
        <v>4</v>
      </c>
    </row>
    <row r="527" spans="1:11" x14ac:dyDescent="0.25">
      <c r="A527" t="s">
        <v>573</v>
      </c>
      <c r="B527" t="s">
        <v>27</v>
      </c>
      <c r="C527" t="s">
        <v>81</v>
      </c>
      <c r="D527" t="s">
        <v>18</v>
      </c>
      <c r="E527" s="1">
        <v>45114</v>
      </c>
      <c r="F527" s="1">
        <v>45118</v>
      </c>
      <c r="G527" s="2">
        <v>34.700000000000003</v>
      </c>
      <c r="H527" s="2">
        <v>304.3</v>
      </c>
      <c r="I527" t="s">
        <v>15</v>
      </c>
      <c r="J527" s="2">
        <v>1785</v>
      </c>
      <c r="K527" s="2">
        <v>4</v>
      </c>
    </row>
    <row r="528" spans="1:11" x14ac:dyDescent="0.25">
      <c r="A528" t="s">
        <v>574</v>
      </c>
      <c r="B528" t="s">
        <v>27</v>
      </c>
      <c r="C528" t="s">
        <v>57</v>
      </c>
      <c r="D528" t="s">
        <v>25</v>
      </c>
      <c r="E528" s="1">
        <v>45040</v>
      </c>
      <c r="F528" s="1">
        <v>45043</v>
      </c>
      <c r="G528" s="2">
        <v>20.3</v>
      </c>
      <c r="H528" s="2">
        <v>89.33</v>
      </c>
      <c r="I528" t="s">
        <v>15</v>
      </c>
      <c r="J528" s="2">
        <v>543</v>
      </c>
      <c r="K528" s="2">
        <v>3</v>
      </c>
    </row>
    <row r="529" spans="1:11" x14ac:dyDescent="0.25">
      <c r="A529" t="s">
        <v>575</v>
      </c>
      <c r="B529" t="s">
        <v>20</v>
      </c>
      <c r="C529" t="s">
        <v>52</v>
      </c>
      <c r="D529" t="s">
        <v>25</v>
      </c>
      <c r="E529" s="1">
        <v>44960</v>
      </c>
      <c r="F529" s="1">
        <v>44963</v>
      </c>
      <c r="G529" s="2">
        <v>32.200000000000003</v>
      </c>
      <c r="H529" s="2">
        <v>83.7</v>
      </c>
      <c r="I529" t="s">
        <v>15</v>
      </c>
      <c r="J529" s="2">
        <v>373</v>
      </c>
      <c r="K529" s="2">
        <v>3</v>
      </c>
    </row>
    <row r="530" spans="1:11" x14ac:dyDescent="0.25">
      <c r="A530" t="s">
        <v>576</v>
      </c>
      <c r="B530" t="s">
        <v>30</v>
      </c>
      <c r="C530" t="s">
        <v>13</v>
      </c>
      <c r="D530" t="s">
        <v>25</v>
      </c>
      <c r="E530" s="1">
        <v>45090</v>
      </c>
      <c r="F530" s="1">
        <v>45093</v>
      </c>
      <c r="G530" s="2">
        <v>34.700000000000003</v>
      </c>
      <c r="H530" s="2">
        <v>183.65</v>
      </c>
      <c r="I530" t="s">
        <v>15</v>
      </c>
      <c r="J530" s="2">
        <v>1055</v>
      </c>
      <c r="K530" s="2">
        <v>3</v>
      </c>
    </row>
    <row r="531" spans="1:11" x14ac:dyDescent="0.25">
      <c r="A531" t="s">
        <v>577</v>
      </c>
      <c r="B531" t="s">
        <v>12</v>
      </c>
      <c r="C531" t="s">
        <v>17</v>
      </c>
      <c r="D531" t="s">
        <v>32</v>
      </c>
      <c r="E531" s="1">
        <v>45127</v>
      </c>
      <c r="F531" s="1">
        <v>45133</v>
      </c>
      <c r="G531" s="2">
        <v>19.399999999999999</v>
      </c>
      <c r="H531" s="2">
        <v>323.37</v>
      </c>
      <c r="I531" t="s">
        <v>15</v>
      </c>
      <c r="J531" s="2">
        <v>2177</v>
      </c>
      <c r="K531" s="2">
        <v>6</v>
      </c>
    </row>
    <row r="532" spans="1:11" x14ac:dyDescent="0.25">
      <c r="A532" t="s">
        <v>578</v>
      </c>
      <c r="B532" t="s">
        <v>51</v>
      </c>
      <c r="C532" t="s">
        <v>21</v>
      </c>
      <c r="D532" t="s">
        <v>14</v>
      </c>
      <c r="E532" s="1">
        <v>45243</v>
      </c>
      <c r="F532" s="1">
        <v>45248</v>
      </c>
      <c r="G532" s="2">
        <v>5.5</v>
      </c>
      <c r="H532" s="2">
        <v>248.81</v>
      </c>
      <c r="I532" t="s">
        <v>15</v>
      </c>
      <c r="J532" s="2">
        <v>1769</v>
      </c>
      <c r="K532" s="2">
        <v>5</v>
      </c>
    </row>
    <row r="533" spans="1:11" x14ac:dyDescent="0.25">
      <c r="A533" t="s">
        <v>579</v>
      </c>
      <c r="B533" t="s">
        <v>39</v>
      </c>
      <c r="C533" t="s">
        <v>46</v>
      </c>
      <c r="D533" t="s">
        <v>37</v>
      </c>
      <c r="E533" s="1">
        <v>45203</v>
      </c>
      <c r="F533" s="1">
        <v>45206</v>
      </c>
      <c r="G533" s="2">
        <v>37.9</v>
      </c>
      <c r="H533" s="2">
        <v>186.54</v>
      </c>
      <c r="I533" t="s">
        <v>15</v>
      </c>
      <c r="J533" s="2">
        <v>1126</v>
      </c>
      <c r="K533" s="2">
        <v>3</v>
      </c>
    </row>
    <row r="534" spans="1:11" x14ac:dyDescent="0.25">
      <c r="A534" t="s">
        <v>580</v>
      </c>
      <c r="B534" t="s">
        <v>20</v>
      </c>
      <c r="C534" t="s">
        <v>57</v>
      </c>
      <c r="D534" t="s">
        <v>42</v>
      </c>
      <c r="E534" s="1">
        <v>45122</v>
      </c>
      <c r="F534" s="1">
        <v>45127</v>
      </c>
      <c r="G534" s="2">
        <v>36.4</v>
      </c>
      <c r="H534" s="2">
        <v>257.54000000000002</v>
      </c>
      <c r="I534" t="s">
        <v>15</v>
      </c>
      <c r="J534" s="2">
        <v>1685</v>
      </c>
      <c r="K534" s="2">
        <v>5</v>
      </c>
    </row>
    <row r="535" spans="1:11" x14ac:dyDescent="0.25">
      <c r="A535" t="s">
        <v>581</v>
      </c>
      <c r="B535" t="s">
        <v>30</v>
      </c>
      <c r="C535" t="s">
        <v>28</v>
      </c>
      <c r="D535" t="s">
        <v>25</v>
      </c>
      <c r="E535" s="1">
        <v>44986</v>
      </c>
      <c r="F535" s="1">
        <v>44991</v>
      </c>
      <c r="G535" s="2">
        <v>31.4</v>
      </c>
      <c r="H535" s="2">
        <v>130.31</v>
      </c>
      <c r="I535" t="s">
        <v>15</v>
      </c>
      <c r="J535" s="2">
        <v>838</v>
      </c>
      <c r="K535" s="2">
        <v>5</v>
      </c>
    </row>
    <row r="536" spans="1:11" x14ac:dyDescent="0.25">
      <c r="A536" t="s">
        <v>582</v>
      </c>
      <c r="B536" t="s">
        <v>30</v>
      </c>
      <c r="C536" t="s">
        <v>54</v>
      </c>
      <c r="D536" t="s">
        <v>25</v>
      </c>
      <c r="E536" s="1">
        <v>44988</v>
      </c>
      <c r="F536" s="1">
        <v>44994</v>
      </c>
      <c r="G536" s="2">
        <v>13.3</v>
      </c>
      <c r="H536" s="2">
        <v>236.71</v>
      </c>
      <c r="I536" t="s">
        <v>62</v>
      </c>
      <c r="J536" s="2">
        <v>2025</v>
      </c>
      <c r="K536" s="2">
        <v>6</v>
      </c>
    </row>
    <row r="537" spans="1:11" x14ac:dyDescent="0.25">
      <c r="A537" t="s">
        <v>583</v>
      </c>
      <c r="B537" t="s">
        <v>51</v>
      </c>
      <c r="C537" t="s">
        <v>24</v>
      </c>
      <c r="D537" t="s">
        <v>42</v>
      </c>
      <c r="E537" s="1">
        <v>45029</v>
      </c>
      <c r="F537" s="1">
        <v>45030</v>
      </c>
      <c r="G537" s="2">
        <v>15.4</v>
      </c>
      <c r="H537" s="2">
        <v>33.51</v>
      </c>
      <c r="I537" t="s">
        <v>15</v>
      </c>
      <c r="J537" s="2">
        <v>121</v>
      </c>
      <c r="K537" s="2">
        <v>1</v>
      </c>
    </row>
    <row r="538" spans="1:11" x14ac:dyDescent="0.25">
      <c r="A538" t="s">
        <v>584</v>
      </c>
      <c r="B538" t="s">
        <v>51</v>
      </c>
      <c r="C538" t="s">
        <v>44</v>
      </c>
      <c r="D538" t="s">
        <v>32</v>
      </c>
      <c r="E538" s="1">
        <v>45010</v>
      </c>
      <c r="F538" s="1">
        <v>45024</v>
      </c>
      <c r="G538" s="2">
        <v>11.1</v>
      </c>
      <c r="H538" s="2">
        <v>113.5</v>
      </c>
      <c r="I538" t="s">
        <v>47</v>
      </c>
      <c r="J538" s="2">
        <v>790</v>
      </c>
      <c r="K538" s="2">
        <v>4</v>
      </c>
    </row>
    <row r="539" spans="1:11" x14ac:dyDescent="0.25">
      <c r="A539" t="s">
        <v>585</v>
      </c>
      <c r="B539" t="s">
        <v>30</v>
      </c>
      <c r="C539" t="s">
        <v>21</v>
      </c>
      <c r="D539" t="s">
        <v>42</v>
      </c>
      <c r="E539" s="1">
        <v>45030</v>
      </c>
      <c r="F539" s="1">
        <v>45033</v>
      </c>
      <c r="G539" s="2">
        <v>51.4</v>
      </c>
      <c r="H539" s="2">
        <v>143.25</v>
      </c>
      <c r="I539" t="s">
        <v>15</v>
      </c>
      <c r="J539" s="2">
        <v>582</v>
      </c>
      <c r="K539" s="2">
        <v>3</v>
      </c>
    </row>
    <row r="540" spans="1:11" x14ac:dyDescent="0.25">
      <c r="A540" t="s">
        <v>586</v>
      </c>
      <c r="B540" t="s">
        <v>30</v>
      </c>
      <c r="C540" t="s">
        <v>31</v>
      </c>
      <c r="D540" t="s">
        <v>42</v>
      </c>
      <c r="E540" s="1">
        <v>45063</v>
      </c>
      <c r="F540" s="1">
        <v>45064</v>
      </c>
      <c r="G540" s="2">
        <v>55.6</v>
      </c>
      <c r="H540" s="2">
        <v>101.32</v>
      </c>
      <c r="I540" t="s">
        <v>15</v>
      </c>
      <c r="J540" s="2">
        <v>357</v>
      </c>
      <c r="K540" s="2">
        <v>1</v>
      </c>
    </row>
    <row r="541" spans="1:11" x14ac:dyDescent="0.25">
      <c r="A541" t="s">
        <v>587</v>
      </c>
      <c r="B541" t="s">
        <v>27</v>
      </c>
      <c r="C541" t="s">
        <v>28</v>
      </c>
      <c r="D541" t="s">
        <v>37</v>
      </c>
      <c r="E541" s="1">
        <v>44999</v>
      </c>
      <c r="F541" s="1">
        <v>45003</v>
      </c>
      <c r="G541" s="2">
        <v>30.9</v>
      </c>
      <c r="H541" s="2">
        <v>151.63</v>
      </c>
      <c r="I541" t="s">
        <v>15</v>
      </c>
      <c r="J541" s="2">
        <v>961</v>
      </c>
      <c r="K541" s="2">
        <v>4</v>
      </c>
    </row>
    <row r="542" spans="1:11" x14ac:dyDescent="0.25">
      <c r="A542" t="s">
        <v>588</v>
      </c>
      <c r="B542" t="s">
        <v>39</v>
      </c>
      <c r="C542" t="s">
        <v>54</v>
      </c>
      <c r="D542" t="s">
        <v>32</v>
      </c>
      <c r="E542" s="1">
        <v>45093</v>
      </c>
      <c r="F542" s="1">
        <v>45100</v>
      </c>
      <c r="G542" s="2">
        <v>5.4</v>
      </c>
      <c r="H542" s="2">
        <v>187.36</v>
      </c>
      <c r="I542" t="s">
        <v>15</v>
      </c>
      <c r="J542" s="2">
        <v>1292</v>
      </c>
      <c r="K542" s="2">
        <v>7</v>
      </c>
    </row>
    <row r="543" spans="1:11" x14ac:dyDescent="0.25">
      <c r="A543" t="s">
        <v>589</v>
      </c>
      <c r="B543" t="s">
        <v>12</v>
      </c>
      <c r="C543" t="s">
        <v>70</v>
      </c>
      <c r="D543" t="s">
        <v>32</v>
      </c>
      <c r="E543" s="1">
        <v>45036</v>
      </c>
      <c r="F543" s="1">
        <v>45037</v>
      </c>
      <c r="G543" s="2">
        <v>35.4</v>
      </c>
      <c r="H543" s="2">
        <v>88.87</v>
      </c>
      <c r="I543" t="s">
        <v>15</v>
      </c>
      <c r="J543" s="2">
        <v>320</v>
      </c>
      <c r="K543" s="2">
        <v>1</v>
      </c>
    </row>
    <row r="544" spans="1:11" x14ac:dyDescent="0.25">
      <c r="A544" t="s">
        <v>590</v>
      </c>
      <c r="B544" t="s">
        <v>12</v>
      </c>
      <c r="C544" t="s">
        <v>17</v>
      </c>
      <c r="D544" t="s">
        <v>37</v>
      </c>
      <c r="E544" s="1">
        <v>44934</v>
      </c>
      <c r="F544" s="1">
        <v>44937</v>
      </c>
      <c r="G544" s="2">
        <v>42.8</v>
      </c>
      <c r="I544" t="s">
        <v>15</v>
      </c>
      <c r="J544" s="2">
        <v>900</v>
      </c>
      <c r="K544" s="2">
        <v>3</v>
      </c>
    </row>
    <row r="545" spans="1:11" x14ac:dyDescent="0.25">
      <c r="A545" t="s">
        <v>591</v>
      </c>
      <c r="B545" t="s">
        <v>49</v>
      </c>
      <c r="C545" t="s">
        <v>24</v>
      </c>
      <c r="D545" t="s">
        <v>42</v>
      </c>
      <c r="E545" s="1">
        <v>45192</v>
      </c>
      <c r="F545" s="1">
        <v>45197</v>
      </c>
      <c r="G545" s="2">
        <v>27.5</v>
      </c>
      <c r="H545" s="2">
        <v>227.05</v>
      </c>
      <c r="I545" t="s">
        <v>15</v>
      </c>
      <c r="J545" s="2">
        <v>1611</v>
      </c>
      <c r="K545" s="2">
        <v>5</v>
      </c>
    </row>
    <row r="546" spans="1:11" x14ac:dyDescent="0.25">
      <c r="A546" t="s">
        <v>592</v>
      </c>
      <c r="B546" t="s">
        <v>30</v>
      </c>
      <c r="C546" t="s">
        <v>52</v>
      </c>
      <c r="D546" t="s">
        <v>42</v>
      </c>
      <c r="E546" s="1">
        <v>45213</v>
      </c>
      <c r="F546" s="1">
        <v>45218</v>
      </c>
      <c r="G546" s="2">
        <v>22.8</v>
      </c>
      <c r="H546" s="2">
        <v>184.9</v>
      </c>
      <c r="I546" t="s">
        <v>15</v>
      </c>
      <c r="J546" s="2">
        <v>1288</v>
      </c>
      <c r="K546" s="2">
        <v>5</v>
      </c>
    </row>
    <row r="547" spans="1:11" x14ac:dyDescent="0.25">
      <c r="A547" t="s">
        <v>593</v>
      </c>
      <c r="B547" t="s">
        <v>27</v>
      </c>
      <c r="C547" t="s">
        <v>36</v>
      </c>
      <c r="D547" t="s">
        <v>32</v>
      </c>
      <c r="E547" s="1">
        <v>44945</v>
      </c>
      <c r="F547" s="1">
        <v>44949</v>
      </c>
      <c r="G547" s="2">
        <v>21.7</v>
      </c>
      <c r="H547" s="2">
        <v>139.26</v>
      </c>
      <c r="I547" t="s">
        <v>15</v>
      </c>
      <c r="J547" s="2">
        <v>896</v>
      </c>
      <c r="K547" s="2">
        <v>4</v>
      </c>
    </row>
    <row r="548" spans="1:11" x14ac:dyDescent="0.25">
      <c r="A548" t="s">
        <v>594</v>
      </c>
      <c r="B548" t="s">
        <v>20</v>
      </c>
      <c r="C548" t="s">
        <v>46</v>
      </c>
      <c r="D548" t="s">
        <v>14</v>
      </c>
      <c r="E548" s="1">
        <v>45102</v>
      </c>
      <c r="F548" s="1">
        <v>45109</v>
      </c>
      <c r="G548" s="2">
        <v>37</v>
      </c>
      <c r="H548" s="2">
        <v>208.58</v>
      </c>
      <c r="I548" t="s">
        <v>15</v>
      </c>
      <c r="J548" s="2">
        <v>1452</v>
      </c>
      <c r="K548" s="2">
        <v>7</v>
      </c>
    </row>
    <row r="549" spans="1:11" x14ac:dyDescent="0.25">
      <c r="A549" t="s">
        <v>595</v>
      </c>
      <c r="B549" t="s">
        <v>27</v>
      </c>
      <c r="C549" t="s">
        <v>28</v>
      </c>
      <c r="D549" t="s">
        <v>14</v>
      </c>
      <c r="E549" s="1">
        <v>45050</v>
      </c>
      <c r="F549" s="1">
        <v>45052</v>
      </c>
      <c r="G549" s="2">
        <v>20.100000000000001</v>
      </c>
      <c r="H549" s="2">
        <v>50.48</v>
      </c>
      <c r="I549" t="s">
        <v>62</v>
      </c>
      <c r="J549" s="2">
        <v>210</v>
      </c>
      <c r="K549" s="2">
        <v>2</v>
      </c>
    </row>
    <row r="550" spans="1:11" x14ac:dyDescent="0.25">
      <c r="A550" t="s">
        <v>596</v>
      </c>
      <c r="B550" t="s">
        <v>35</v>
      </c>
      <c r="C550" t="s">
        <v>36</v>
      </c>
      <c r="D550" t="s">
        <v>32</v>
      </c>
      <c r="E550" s="1">
        <v>44938</v>
      </c>
      <c r="F550" s="1">
        <v>44940</v>
      </c>
      <c r="G550" s="2">
        <v>20.8</v>
      </c>
      <c r="H550" s="2">
        <v>74.77</v>
      </c>
      <c r="I550" t="s">
        <v>15</v>
      </c>
      <c r="J550" s="2">
        <v>389</v>
      </c>
      <c r="K550" s="2">
        <v>2</v>
      </c>
    </row>
    <row r="551" spans="1:11" x14ac:dyDescent="0.25">
      <c r="A551" t="s">
        <v>597</v>
      </c>
      <c r="B551" t="s">
        <v>20</v>
      </c>
      <c r="C551" t="s">
        <v>31</v>
      </c>
      <c r="D551" t="s">
        <v>59</v>
      </c>
      <c r="E551" s="1">
        <v>45018</v>
      </c>
      <c r="F551" s="1">
        <v>45020</v>
      </c>
      <c r="G551" s="2">
        <v>7.4</v>
      </c>
      <c r="H551" s="2">
        <v>88.25</v>
      </c>
      <c r="I551" t="s">
        <v>67</v>
      </c>
      <c r="J551" s="2">
        <v>643</v>
      </c>
      <c r="K551" s="2">
        <v>2</v>
      </c>
    </row>
    <row r="552" spans="1:11" x14ac:dyDescent="0.25">
      <c r="A552" t="s">
        <v>598</v>
      </c>
      <c r="B552" t="s">
        <v>30</v>
      </c>
      <c r="C552" t="s">
        <v>46</v>
      </c>
      <c r="D552" t="s">
        <v>59</v>
      </c>
      <c r="E552" s="1">
        <v>45165</v>
      </c>
      <c r="F552" s="1">
        <v>45167</v>
      </c>
      <c r="G552" s="2">
        <v>21.4</v>
      </c>
      <c r="H552" s="2">
        <v>109.1</v>
      </c>
      <c r="I552" t="s">
        <v>15</v>
      </c>
      <c r="J552" s="2">
        <v>838</v>
      </c>
      <c r="K552" s="2">
        <v>2</v>
      </c>
    </row>
    <row r="553" spans="1:11" x14ac:dyDescent="0.25">
      <c r="A553" t="s">
        <v>599</v>
      </c>
      <c r="B553" t="s">
        <v>56</v>
      </c>
      <c r="C553" t="s">
        <v>40</v>
      </c>
      <c r="D553" t="s">
        <v>32</v>
      </c>
      <c r="E553" s="1">
        <v>45058</v>
      </c>
      <c r="F553" s="1">
        <v>45062</v>
      </c>
      <c r="G553" s="2">
        <v>20.3</v>
      </c>
      <c r="H553" s="2">
        <v>228.9</v>
      </c>
      <c r="I553" t="s">
        <v>15</v>
      </c>
      <c r="J553" s="2">
        <v>1383</v>
      </c>
      <c r="K553" s="2">
        <v>4</v>
      </c>
    </row>
    <row r="554" spans="1:11" x14ac:dyDescent="0.25">
      <c r="A554" t="s">
        <v>600</v>
      </c>
      <c r="B554" t="s">
        <v>12</v>
      </c>
      <c r="C554" t="s">
        <v>31</v>
      </c>
      <c r="D554" t="s">
        <v>14</v>
      </c>
      <c r="E554" s="1">
        <v>45054</v>
      </c>
      <c r="F554" s="1">
        <v>45057</v>
      </c>
      <c r="G554" s="2">
        <v>12.6</v>
      </c>
      <c r="H554" s="2">
        <v>32.18</v>
      </c>
      <c r="I554" t="s">
        <v>15</v>
      </c>
      <c r="J554" s="2">
        <v>121</v>
      </c>
      <c r="K554" s="2">
        <v>3</v>
      </c>
    </row>
    <row r="555" spans="1:11" x14ac:dyDescent="0.25">
      <c r="A555" t="s">
        <v>601</v>
      </c>
      <c r="B555" t="s">
        <v>56</v>
      </c>
      <c r="C555" t="s">
        <v>17</v>
      </c>
      <c r="D555" t="s">
        <v>18</v>
      </c>
      <c r="E555" s="1">
        <v>45251</v>
      </c>
      <c r="F555" s="1">
        <v>45260</v>
      </c>
      <c r="G555" s="2">
        <v>17.5</v>
      </c>
      <c r="H555" s="2">
        <v>402.56</v>
      </c>
      <c r="I555" t="s">
        <v>15</v>
      </c>
      <c r="J555" s="2">
        <v>2146</v>
      </c>
      <c r="K555" s="2">
        <v>9</v>
      </c>
    </row>
    <row r="556" spans="1:11" x14ac:dyDescent="0.25">
      <c r="A556" t="s">
        <v>602</v>
      </c>
      <c r="B556" t="s">
        <v>20</v>
      </c>
      <c r="C556" t="s">
        <v>46</v>
      </c>
      <c r="D556" t="s">
        <v>42</v>
      </c>
      <c r="E556" s="1">
        <v>45257</v>
      </c>
      <c r="F556" s="1">
        <v>45258</v>
      </c>
      <c r="G556" s="2">
        <v>33</v>
      </c>
      <c r="H556" s="2">
        <v>73.97</v>
      </c>
      <c r="I556" t="s">
        <v>15</v>
      </c>
      <c r="J556" s="2">
        <v>223</v>
      </c>
      <c r="K556" s="2">
        <v>1</v>
      </c>
    </row>
    <row r="557" spans="1:11" x14ac:dyDescent="0.25">
      <c r="A557" t="s">
        <v>603</v>
      </c>
      <c r="B557" t="s">
        <v>12</v>
      </c>
      <c r="C557" t="s">
        <v>46</v>
      </c>
      <c r="D557" t="s">
        <v>59</v>
      </c>
      <c r="E557" s="1">
        <v>45122</v>
      </c>
      <c r="F557" s="1">
        <v>45125</v>
      </c>
      <c r="G557" s="2">
        <v>69.3</v>
      </c>
      <c r="H557" s="2">
        <v>244.01</v>
      </c>
      <c r="I557" t="s">
        <v>62</v>
      </c>
      <c r="J557" s="2">
        <v>1337</v>
      </c>
      <c r="K557" s="2">
        <v>3</v>
      </c>
    </row>
    <row r="558" spans="1:11" x14ac:dyDescent="0.25">
      <c r="A558" t="s">
        <v>604</v>
      </c>
      <c r="B558" t="s">
        <v>39</v>
      </c>
      <c r="C558" t="s">
        <v>57</v>
      </c>
      <c r="D558" t="s">
        <v>18</v>
      </c>
      <c r="E558" s="1">
        <v>45184</v>
      </c>
      <c r="F558" s="1">
        <v>45189</v>
      </c>
      <c r="G558" s="2">
        <v>10.8</v>
      </c>
      <c r="H558" s="2">
        <v>200.6</v>
      </c>
      <c r="I558" t="s">
        <v>15</v>
      </c>
      <c r="J558" s="2">
        <v>1255</v>
      </c>
      <c r="K558" s="2">
        <v>5</v>
      </c>
    </row>
    <row r="559" spans="1:11" x14ac:dyDescent="0.25">
      <c r="A559" t="s">
        <v>605</v>
      </c>
      <c r="B559" t="s">
        <v>23</v>
      </c>
      <c r="C559" t="s">
        <v>52</v>
      </c>
      <c r="D559" t="s">
        <v>59</v>
      </c>
      <c r="E559" s="1">
        <v>45159</v>
      </c>
      <c r="F559" s="1">
        <v>45163</v>
      </c>
      <c r="G559" s="2">
        <v>12.9</v>
      </c>
      <c r="H559" s="2">
        <v>101.44</v>
      </c>
      <c r="I559" t="s">
        <v>62</v>
      </c>
      <c r="J559" s="2">
        <v>825</v>
      </c>
      <c r="K559" s="2">
        <v>4</v>
      </c>
    </row>
    <row r="560" spans="1:11" x14ac:dyDescent="0.25">
      <c r="A560" t="s">
        <v>606</v>
      </c>
      <c r="B560" t="s">
        <v>27</v>
      </c>
      <c r="C560" t="s">
        <v>57</v>
      </c>
      <c r="D560" t="s">
        <v>59</v>
      </c>
      <c r="E560" s="1">
        <v>45179</v>
      </c>
      <c r="F560" s="1">
        <v>45183</v>
      </c>
      <c r="G560" s="2">
        <v>23.6</v>
      </c>
      <c r="H560" s="2">
        <v>229.43</v>
      </c>
      <c r="I560" t="s">
        <v>15</v>
      </c>
      <c r="J560" s="2">
        <v>1852</v>
      </c>
      <c r="K560" s="2">
        <v>4</v>
      </c>
    </row>
    <row r="561" spans="1:11" x14ac:dyDescent="0.25">
      <c r="A561" t="s">
        <v>607</v>
      </c>
      <c r="B561" t="s">
        <v>27</v>
      </c>
      <c r="C561" t="s">
        <v>28</v>
      </c>
      <c r="D561" t="s">
        <v>32</v>
      </c>
      <c r="E561" s="1">
        <v>45281</v>
      </c>
      <c r="F561" s="1">
        <v>45285</v>
      </c>
      <c r="G561" s="2">
        <v>41</v>
      </c>
      <c r="H561" s="2">
        <v>324.91000000000003</v>
      </c>
      <c r="I561" t="s">
        <v>67</v>
      </c>
      <c r="J561" s="2">
        <v>1764</v>
      </c>
      <c r="K561" s="2">
        <v>4</v>
      </c>
    </row>
    <row r="562" spans="1:11" x14ac:dyDescent="0.25">
      <c r="A562" t="s">
        <v>608</v>
      </c>
      <c r="B562" t="s">
        <v>12</v>
      </c>
      <c r="C562" t="s">
        <v>52</v>
      </c>
      <c r="D562" t="s">
        <v>37</v>
      </c>
      <c r="E562" s="1">
        <v>45123</v>
      </c>
      <c r="F562" s="1">
        <v>45126</v>
      </c>
      <c r="G562" s="2">
        <v>19.5</v>
      </c>
      <c r="H562" s="2">
        <v>114.24</v>
      </c>
      <c r="I562" t="s">
        <v>15</v>
      </c>
      <c r="J562" s="2">
        <v>713</v>
      </c>
      <c r="K562" s="2">
        <v>3</v>
      </c>
    </row>
    <row r="563" spans="1:11" x14ac:dyDescent="0.25">
      <c r="A563" t="s">
        <v>609</v>
      </c>
      <c r="B563" t="s">
        <v>20</v>
      </c>
      <c r="C563" t="s">
        <v>44</v>
      </c>
      <c r="D563" t="s">
        <v>14</v>
      </c>
      <c r="E563" s="1">
        <v>45009</v>
      </c>
      <c r="F563" s="1">
        <v>45014</v>
      </c>
      <c r="G563" s="2">
        <v>17.8</v>
      </c>
      <c r="H563" s="2">
        <v>235.64</v>
      </c>
      <c r="I563" t="s">
        <v>15</v>
      </c>
      <c r="J563" s="2">
        <v>1898</v>
      </c>
      <c r="K563" s="2">
        <v>5</v>
      </c>
    </row>
    <row r="564" spans="1:11" x14ac:dyDescent="0.25">
      <c r="A564" t="s">
        <v>610</v>
      </c>
      <c r="B564" t="s">
        <v>35</v>
      </c>
      <c r="C564" t="s">
        <v>13</v>
      </c>
      <c r="D564" t="s">
        <v>42</v>
      </c>
      <c r="E564" s="1">
        <v>44981</v>
      </c>
      <c r="F564" s="1">
        <v>44984</v>
      </c>
      <c r="G564" s="2">
        <v>67.5</v>
      </c>
      <c r="H564" s="2">
        <v>220.77</v>
      </c>
      <c r="I564" t="s">
        <v>15</v>
      </c>
      <c r="J564" s="2">
        <v>1083</v>
      </c>
      <c r="K564" s="2">
        <v>3</v>
      </c>
    </row>
    <row r="565" spans="1:11" x14ac:dyDescent="0.25">
      <c r="A565" t="s">
        <v>611</v>
      </c>
      <c r="B565" t="s">
        <v>56</v>
      </c>
      <c r="C565" t="s">
        <v>36</v>
      </c>
      <c r="D565" t="s">
        <v>32</v>
      </c>
      <c r="E565" s="1">
        <v>45269</v>
      </c>
      <c r="F565" s="1">
        <v>45273</v>
      </c>
      <c r="G565" s="2">
        <v>17.7</v>
      </c>
      <c r="H565" s="2">
        <v>320.45</v>
      </c>
      <c r="I565" t="s">
        <v>15</v>
      </c>
      <c r="J565" s="2">
        <v>1681</v>
      </c>
      <c r="K565" s="2">
        <v>4</v>
      </c>
    </row>
    <row r="566" spans="1:11" x14ac:dyDescent="0.25">
      <c r="A566" t="s">
        <v>612</v>
      </c>
      <c r="B566" t="s">
        <v>30</v>
      </c>
      <c r="C566" t="s">
        <v>54</v>
      </c>
      <c r="D566" t="s">
        <v>59</v>
      </c>
      <c r="E566" s="1">
        <v>45249</v>
      </c>
      <c r="F566" s="1">
        <v>45252</v>
      </c>
      <c r="G566" s="2">
        <v>23.2</v>
      </c>
      <c r="H566" s="2">
        <v>208.01</v>
      </c>
      <c r="I566" t="s">
        <v>15</v>
      </c>
      <c r="J566" s="2">
        <v>1256</v>
      </c>
      <c r="K566" s="2">
        <v>3</v>
      </c>
    </row>
    <row r="567" spans="1:11" x14ac:dyDescent="0.25">
      <c r="A567" t="s">
        <v>613</v>
      </c>
      <c r="B567" t="s">
        <v>23</v>
      </c>
      <c r="C567" t="s">
        <v>70</v>
      </c>
      <c r="D567" t="s">
        <v>14</v>
      </c>
      <c r="E567" s="1">
        <v>45092</v>
      </c>
      <c r="F567" s="1">
        <v>45099</v>
      </c>
      <c r="G567" s="2">
        <v>17.2</v>
      </c>
      <c r="H567" s="2">
        <v>251.79</v>
      </c>
      <c r="I567" t="s">
        <v>15</v>
      </c>
      <c r="J567" s="2">
        <v>1984</v>
      </c>
      <c r="K567" s="2">
        <v>7</v>
      </c>
    </row>
    <row r="568" spans="1:11" x14ac:dyDescent="0.25">
      <c r="A568" t="s">
        <v>614</v>
      </c>
      <c r="B568" t="s">
        <v>12</v>
      </c>
      <c r="C568" t="s">
        <v>52</v>
      </c>
      <c r="D568" t="s">
        <v>59</v>
      </c>
      <c r="E568" s="1">
        <v>45259</v>
      </c>
      <c r="F568" s="1">
        <v>45267</v>
      </c>
      <c r="G568" s="2">
        <v>61.6</v>
      </c>
      <c r="H568" s="2">
        <v>384.1</v>
      </c>
      <c r="I568" t="s">
        <v>15</v>
      </c>
      <c r="J568" s="2">
        <v>2445</v>
      </c>
      <c r="K568" s="2">
        <v>8</v>
      </c>
    </row>
    <row r="569" spans="1:11" x14ac:dyDescent="0.25">
      <c r="A569" t="s">
        <v>615</v>
      </c>
      <c r="B569" t="s">
        <v>35</v>
      </c>
      <c r="C569" t="s">
        <v>54</v>
      </c>
      <c r="D569" t="s">
        <v>25</v>
      </c>
      <c r="E569" s="1">
        <v>45120</v>
      </c>
      <c r="F569" s="1">
        <v>45124</v>
      </c>
      <c r="G569" s="2">
        <v>25.3</v>
      </c>
      <c r="H569" s="2">
        <v>191.72</v>
      </c>
      <c r="I569" t="s">
        <v>15</v>
      </c>
      <c r="J569" s="2">
        <v>1350</v>
      </c>
      <c r="K569" s="2">
        <v>4</v>
      </c>
    </row>
    <row r="570" spans="1:11" x14ac:dyDescent="0.25">
      <c r="A570" t="s">
        <v>616</v>
      </c>
      <c r="B570" t="s">
        <v>20</v>
      </c>
      <c r="C570" t="s">
        <v>21</v>
      </c>
      <c r="D570" t="s">
        <v>42</v>
      </c>
      <c r="E570" s="1">
        <v>44998</v>
      </c>
      <c r="F570" s="1">
        <v>45008</v>
      </c>
      <c r="G570" s="2">
        <v>45.8</v>
      </c>
      <c r="H570" s="2">
        <v>313.91000000000003</v>
      </c>
      <c r="I570" t="s">
        <v>47</v>
      </c>
      <c r="J570" s="2">
        <v>2318</v>
      </c>
      <c r="K570" s="2">
        <v>7</v>
      </c>
    </row>
    <row r="571" spans="1:11" x14ac:dyDescent="0.25">
      <c r="A571" t="s">
        <v>617</v>
      </c>
      <c r="B571" t="s">
        <v>20</v>
      </c>
      <c r="C571" t="s">
        <v>54</v>
      </c>
      <c r="D571" t="s">
        <v>25</v>
      </c>
      <c r="E571" s="1">
        <v>45035</v>
      </c>
      <c r="F571" s="1">
        <v>45042</v>
      </c>
      <c r="G571" s="2">
        <v>28.4</v>
      </c>
      <c r="H571" s="2">
        <v>304.14999999999998</v>
      </c>
      <c r="I571" t="s">
        <v>15</v>
      </c>
      <c r="J571" s="2">
        <v>2243</v>
      </c>
      <c r="K571" s="2">
        <v>7</v>
      </c>
    </row>
    <row r="572" spans="1:11" x14ac:dyDescent="0.25">
      <c r="A572" t="s">
        <v>618</v>
      </c>
      <c r="B572" t="s">
        <v>12</v>
      </c>
      <c r="C572" t="s">
        <v>44</v>
      </c>
      <c r="D572" t="s">
        <v>14</v>
      </c>
      <c r="E572" s="1">
        <v>45131</v>
      </c>
      <c r="F572" s="1">
        <v>45138</v>
      </c>
      <c r="G572" s="2">
        <v>31.7</v>
      </c>
      <c r="H572" s="2">
        <v>333.27</v>
      </c>
      <c r="I572" t="s">
        <v>15</v>
      </c>
      <c r="J572" s="2">
        <v>2201</v>
      </c>
      <c r="K572" s="2">
        <v>7</v>
      </c>
    </row>
    <row r="573" spans="1:11" x14ac:dyDescent="0.25">
      <c r="A573" t="s">
        <v>619</v>
      </c>
      <c r="B573" t="s">
        <v>12</v>
      </c>
      <c r="C573" t="s">
        <v>46</v>
      </c>
      <c r="D573" t="s">
        <v>18</v>
      </c>
      <c r="E573" s="1">
        <v>45045</v>
      </c>
      <c r="F573" s="1">
        <v>45052</v>
      </c>
      <c r="G573" s="2">
        <v>33.700000000000003</v>
      </c>
      <c r="H573" s="2">
        <v>363.72</v>
      </c>
      <c r="I573" t="s">
        <v>15</v>
      </c>
      <c r="J573" s="2">
        <v>2255</v>
      </c>
      <c r="K573" s="2">
        <v>7</v>
      </c>
    </row>
    <row r="574" spans="1:11" x14ac:dyDescent="0.25">
      <c r="A574" t="s">
        <v>620</v>
      </c>
      <c r="B574" t="s">
        <v>27</v>
      </c>
      <c r="C574" t="s">
        <v>17</v>
      </c>
      <c r="D574" t="s">
        <v>14</v>
      </c>
      <c r="E574" s="1">
        <v>45059</v>
      </c>
      <c r="F574" s="1">
        <v>45068</v>
      </c>
      <c r="G574" s="2">
        <v>58.4</v>
      </c>
      <c r="H574" s="2">
        <v>196.37</v>
      </c>
      <c r="I574" t="s">
        <v>15</v>
      </c>
      <c r="J574" s="2">
        <v>962</v>
      </c>
      <c r="K574" s="2">
        <v>9</v>
      </c>
    </row>
    <row r="575" spans="1:11" x14ac:dyDescent="0.25">
      <c r="A575" t="s">
        <v>621</v>
      </c>
      <c r="B575" t="s">
        <v>27</v>
      </c>
      <c r="C575" t="s">
        <v>54</v>
      </c>
      <c r="D575" t="s">
        <v>42</v>
      </c>
      <c r="E575" s="1">
        <v>45107</v>
      </c>
      <c r="F575" s="1">
        <v>45111</v>
      </c>
      <c r="G575" s="2">
        <v>28.7</v>
      </c>
      <c r="H575" s="2">
        <v>255.28</v>
      </c>
      <c r="I575" t="s">
        <v>62</v>
      </c>
      <c r="J575" s="2">
        <v>1681</v>
      </c>
      <c r="K575" s="2">
        <v>4</v>
      </c>
    </row>
    <row r="576" spans="1:11" x14ac:dyDescent="0.25">
      <c r="A576" t="s">
        <v>622</v>
      </c>
      <c r="B576" t="s">
        <v>35</v>
      </c>
      <c r="C576" t="s">
        <v>40</v>
      </c>
      <c r="D576" t="s">
        <v>42</v>
      </c>
      <c r="E576" s="1">
        <v>45062</v>
      </c>
      <c r="F576" s="1">
        <v>45063</v>
      </c>
      <c r="G576" s="2">
        <v>37.4</v>
      </c>
      <c r="H576" s="2">
        <v>72.510000000000005</v>
      </c>
      <c r="I576" t="s">
        <v>15</v>
      </c>
      <c r="J576" s="2">
        <v>283</v>
      </c>
      <c r="K576" s="2">
        <v>1</v>
      </c>
    </row>
    <row r="577" spans="1:11" x14ac:dyDescent="0.25">
      <c r="A577" t="s">
        <v>623</v>
      </c>
      <c r="B577" t="s">
        <v>27</v>
      </c>
      <c r="C577" t="s">
        <v>46</v>
      </c>
      <c r="D577" t="s">
        <v>59</v>
      </c>
      <c r="E577" s="1">
        <v>45166</v>
      </c>
      <c r="F577" s="1">
        <v>45169</v>
      </c>
      <c r="G577" s="2">
        <v>26.9</v>
      </c>
      <c r="H577" s="2">
        <v>103.85</v>
      </c>
      <c r="I577" t="s">
        <v>15</v>
      </c>
      <c r="J577" s="2">
        <v>640</v>
      </c>
      <c r="K577" s="2">
        <v>3</v>
      </c>
    </row>
    <row r="578" spans="1:11" x14ac:dyDescent="0.25">
      <c r="A578" t="s">
        <v>624</v>
      </c>
      <c r="B578" t="s">
        <v>35</v>
      </c>
      <c r="C578" t="s">
        <v>52</v>
      </c>
      <c r="D578" t="s">
        <v>25</v>
      </c>
      <c r="E578" s="1">
        <v>45217</v>
      </c>
      <c r="F578" s="1">
        <v>45223</v>
      </c>
      <c r="G578" s="2">
        <v>27.8</v>
      </c>
      <c r="H578" s="2">
        <v>294.98</v>
      </c>
      <c r="I578" t="s">
        <v>15</v>
      </c>
      <c r="J578" s="2">
        <v>2409</v>
      </c>
      <c r="K578" s="2">
        <v>6</v>
      </c>
    </row>
    <row r="579" spans="1:11" x14ac:dyDescent="0.25">
      <c r="A579" t="s">
        <v>625</v>
      </c>
      <c r="B579" t="s">
        <v>30</v>
      </c>
      <c r="C579" t="s">
        <v>13</v>
      </c>
      <c r="D579" t="s">
        <v>32</v>
      </c>
      <c r="E579" s="1">
        <v>45248</v>
      </c>
      <c r="F579" s="1">
        <v>45252</v>
      </c>
      <c r="G579" s="2">
        <v>23.3</v>
      </c>
      <c r="H579" s="2">
        <v>228.28</v>
      </c>
      <c r="I579" t="s">
        <v>60</v>
      </c>
      <c r="J579" s="2">
        <v>1203</v>
      </c>
      <c r="K579" s="2">
        <v>4</v>
      </c>
    </row>
    <row r="580" spans="1:11" x14ac:dyDescent="0.25">
      <c r="A580" t="s">
        <v>626</v>
      </c>
      <c r="B580" t="s">
        <v>35</v>
      </c>
      <c r="C580" t="s">
        <v>17</v>
      </c>
      <c r="D580" t="s">
        <v>37</v>
      </c>
      <c r="E580" s="1">
        <v>45019</v>
      </c>
      <c r="F580" s="1">
        <v>45020</v>
      </c>
      <c r="G580" s="2">
        <v>17.899999999999999</v>
      </c>
      <c r="H580" s="2">
        <v>45.26</v>
      </c>
      <c r="I580" t="s">
        <v>15</v>
      </c>
      <c r="J580" s="2">
        <v>231</v>
      </c>
      <c r="K580" s="2">
        <v>1</v>
      </c>
    </row>
    <row r="581" spans="1:11" x14ac:dyDescent="0.25">
      <c r="A581" t="s">
        <v>627</v>
      </c>
      <c r="B581" t="s">
        <v>30</v>
      </c>
      <c r="C581" t="s">
        <v>54</v>
      </c>
      <c r="D581" t="s">
        <v>42</v>
      </c>
      <c r="E581" s="1">
        <v>45181</v>
      </c>
      <c r="F581" s="1">
        <v>45195</v>
      </c>
      <c r="G581" s="2">
        <v>32.5</v>
      </c>
      <c r="H581" s="2">
        <v>308.35000000000002</v>
      </c>
      <c r="I581" t="s">
        <v>47</v>
      </c>
      <c r="J581" s="2">
        <v>2136</v>
      </c>
      <c r="K581" s="2">
        <v>5</v>
      </c>
    </row>
    <row r="582" spans="1:11" x14ac:dyDescent="0.25">
      <c r="A582" t="s">
        <v>628</v>
      </c>
      <c r="B582" t="s">
        <v>49</v>
      </c>
      <c r="C582" t="s">
        <v>36</v>
      </c>
      <c r="D582" t="s">
        <v>25</v>
      </c>
      <c r="E582" s="1">
        <v>44989</v>
      </c>
      <c r="F582" s="1">
        <v>44993</v>
      </c>
      <c r="G582" s="2">
        <v>19.8</v>
      </c>
      <c r="H582" s="2">
        <v>265.39999999999998</v>
      </c>
      <c r="I582" t="s">
        <v>15</v>
      </c>
      <c r="J582" s="2">
        <v>1886</v>
      </c>
      <c r="K582" s="2">
        <v>4</v>
      </c>
    </row>
    <row r="583" spans="1:11" x14ac:dyDescent="0.25">
      <c r="A583" t="s">
        <v>629</v>
      </c>
      <c r="B583" t="s">
        <v>12</v>
      </c>
      <c r="C583" t="s">
        <v>44</v>
      </c>
      <c r="D583" t="s">
        <v>32</v>
      </c>
      <c r="E583" s="1">
        <v>44946</v>
      </c>
      <c r="F583" s="1">
        <v>44956</v>
      </c>
      <c r="G583" s="2">
        <v>11.9</v>
      </c>
      <c r="H583" s="2">
        <v>287.05</v>
      </c>
      <c r="I583" t="s">
        <v>15</v>
      </c>
      <c r="J583" s="2">
        <v>1896</v>
      </c>
      <c r="K583" s="2">
        <v>10</v>
      </c>
    </row>
    <row r="584" spans="1:11" x14ac:dyDescent="0.25">
      <c r="A584" t="s">
        <v>630</v>
      </c>
      <c r="B584" t="s">
        <v>35</v>
      </c>
      <c r="C584" t="s">
        <v>57</v>
      </c>
      <c r="D584" t="s">
        <v>42</v>
      </c>
      <c r="E584" s="1">
        <v>45210</v>
      </c>
      <c r="F584" s="1">
        <v>45215</v>
      </c>
      <c r="G584" s="2">
        <v>108.6</v>
      </c>
      <c r="H584" s="2">
        <v>221.52</v>
      </c>
      <c r="I584" t="s">
        <v>15</v>
      </c>
      <c r="J584" s="2">
        <v>1869</v>
      </c>
      <c r="K584" s="2">
        <v>5</v>
      </c>
    </row>
    <row r="585" spans="1:11" x14ac:dyDescent="0.25">
      <c r="A585" t="s">
        <v>631</v>
      </c>
      <c r="B585" t="s">
        <v>35</v>
      </c>
      <c r="C585" t="s">
        <v>13</v>
      </c>
      <c r="D585" t="s">
        <v>32</v>
      </c>
      <c r="E585" s="1">
        <v>45081</v>
      </c>
      <c r="F585" s="1">
        <v>45084</v>
      </c>
      <c r="G585" s="2">
        <v>15.9</v>
      </c>
      <c r="H585" s="2">
        <v>200.58</v>
      </c>
      <c r="I585" t="s">
        <v>15</v>
      </c>
      <c r="J585" s="2">
        <v>1412</v>
      </c>
      <c r="K585" s="2">
        <v>3</v>
      </c>
    </row>
    <row r="586" spans="1:11" x14ac:dyDescent="0.25">
      <c r="A586" t="s">
        <v>632</v>
      </c>
      <c r="B586" t="s">
        <v>30</v>
      </c>
      <c r="C586" t="s">
        <v>44</v>
      </c>
      <c r="D586" t="s">
        <v>18</v>
      </c>
      <c r="E586" s="1">
        <v>45081</v>
      </c>
      <c r="F586" s="1">
        <v>45084</v>
      </c>
      <c r="G586" s="2">
        <v>19.8</v>
      </c>
      <c r="H586" s="2">
        <v>44</v>
      </c>
      <c r="I586" t="s">
        <v>15</v>
      </c>
      <c r="J586" s="2">
        <v>110</v>
      </c>
      <c r="K586" s="2">
        <v>3</v>
      </c>
    </row>
    <row r="587" spans="1:11" x14ac:dyDescent="0.25">
      <c r="A587" t="s">
        <v>633</v>
      </c>
      <c r="B587" t="s">
        <v>39</v>
      </c>
      <c r="C587" t="s">
        <v>54</v>
      </c>
      <c r="D587" t="s">
        <v>42</v>
      </c>
      <c r="E587" s="1">
        <v>44962</v>
      </c>
      <c r="F587" s="1">
        <v>44964</v>
      </c>
      <c r="G587" s="2">
        <v>14.6</v>
      </c>
      <c r="H587" s="2">
        <v>107.88</v>
      </c>
      <c r="I587" t="s">
        <v>15</v>
      </c>
      <c r="J587" s="2">
        <v>682</v>
      </c>
      <c r="K587" s="2">
        <v>2</v>
      </c>
    </row>
    <row r="588" spans="1:11" x14ac:dyDescent="0.25">
      <c r="A588" t="s">
        <v>634</v>
      </c>
      <c r="B588" t="s">
        <v>56</v>
      </c>
      <c r="C588" t="s">
        <v>13</v>
      </c>
      <c r="D588" t="s">
        <v>25</v>
      </c>
      <c r="E588" s="1">
        <v>44986</v>
      </c>
      <c r="F588" s="1">
        <v>44992</v>
      </c>
      <c r="G588" s="2">
        <v>46.5</v>
      </c>
      <c r="H588" s="2">
        <v>334.7</v>
      </c>
      <c r="I588" t="s">
        <v>15</v>
      </c>
      <c r="J588" s="2">
        <v>2264</v>
      </c>
      <c r="K588" s="2">
        <v>6</v>
      </c>
    </row>
    <row r="589" spans="1:11" x14ac:dyDescent="0.25">
      <c r="A589" t="s">
        <v>635</v>
      </c>
      <c r="B589" t="s">
        <v>35</v>
      </c>
      <c r="C589" t="s">
        <v>46</v>
      </c>
      <c r="D589" t="s">
        <v>14</v>
      </c>
      <c r="E589" s="1">
        <v>45245</v>
      </c>
      <c r="F589" s="1">
        <v>45248</v>
      </c>
      <c r="G589" s="2">
        <v>43.9</v>
      </c>
      <c r="H589" s="2">
        <v>133.41</v>
      </c>
      <c r="I589" t="s">
        <v>15</v>
      </c>
      <c r="J589" s="2">
        <v>413</v>
      </c>
      <c r="K589" s="2">
        <v>3</v>
      </c>
    </row>
    <row r="590" spans="1:11" x14ac:dyDescent="0.25">
      <c r="A590" t="s">
        <v>636</v>
      </c>
      <c r="B590" t="s">
        <v>12</v>
      </c>
      <c r="C590" t="s">
        <v>24</v>
      </c>
      <c r="D590" t="s">
        <v>37</v>
      </c>
      <c r="E590" s="1">
        <v>45072</v>
      </c>
      <c r="F590" s="1">
        <v>45086</v>
      </c>
      <c r="G590" s="2">
        <v>17.5</v>
      </c>
      <c r="H590" s="2">
        <v>144.25</v>
      </c>
      <c r="I590" t="s">
        <v>47</v>
      </c>
      <c r="J590" s="2">
        <v>1003</v>
      </c>
      <c r="K590" s="2">
        <v>3</v>
      </c>
    </row>
    <row r="591" spans="1:11" x14ac:dyDescent="0.25">
      <c r="A591" t="s">
        <v>637</v>
      </c>
      <c r="B591" t="s">
        <v>27</v>
      </c>
      <c r="C591" t="s">
        <v>21</v>
      </c>
      <c r="D591" t="s">
        <v>25</v>
      </c>
      <c r="E591" s="1">
        <v>45136</v>
      </c>
      <c r="F591" s="1">
        <v>45139</v>
      </c>
      <c r="G591" s="2">
        <v>82.9</v>
      </c>
      <c r="H591" s="2">
        <v>189.53</v>
      </c>
      <c r="I591" t="s">
        <v>15</v>
      </c>
      <c r="J591" s="2">
        <v>893</v>
      </c>
      <c r="K591" s="2">
        <v>3</v>
      </c>
    </row>
    <row r="592" spans="1:11" x14ac:dyDescent="0.25">
      <c r="A592" t="s">
        <v>638</v>
      </c>
      <c r="B592" t="s">
        <v>39</v>
      </c>
      <c r="C592" t="s">
        <v>46</v>
      </c>
      <c r="D592" t="s">
        <v>18</v>
      </c>
      <c r="E592" s="1">
        <v>45069</v>
      </c>
      <c r="F592" s="1">
        <v>45081</v>
      </c>
      <c r="G592" s="2">
        <v>16.2</v>
      </c>
      <c r="H592" s="2">
        <v>219.44</v>
      </c>
      <c r="I592" t="s">
        <v>47</v>
      </c>
      <c r="J592" s="2">
        <v>1509</v>
      </c>
      <c r="K592" s="2">
        <v>4</v>
      </c>
    </row>
    <row r="593" spans="1:11" x14ac:dyDescent="0.25">
      <c r="A593" t="s">
        <v>639</v>
      </c>
      <c r="B593" t="s">
        <v>23</v>
      </c>
      <c r="C593" t="s">
        <v>24</v>
      </c>
      <c r="D593" t="s">
        <v>18</v>
      </c>
      <c r="E593" s="1">
        <v>45119</v>
      </c>
      <c r="F593" s="1">
        <v>45132</v>
      </c>
      <c r="G593" s="2">
        <v>17.100000000000001</v>
      </c>
      <c r="H593" s="2">
        <v>265.04000000000002</v>
      </c>
      <c r="I593" t="s">
        <v>47</v>
      </c>
      <c r="J593" s="2">
        <v>1749</v>
      </c>
      <c r="K593" s="2">
        <v>5</v>
      </c>
    </row>
    <row r="594" spans="1:11" x14ac:dyDescent="0.25">
      <c r="A594" t="s">
        <v>640</v>
      </c>
      <c r="B594" t="s">
        <v>12</v>
      </c>
      <c r="C594" t="s">
        <v>70</v>
      </c>
      <c r="D594" t="s">
        <v>25</v>
      </c>
      <c r="E594" s="1">
        <v>45091</v>
      </c>
      <c r="F594" s="1">
        <v>45092</v>
      </c>
      <c r="G594" s="2">
        <v>9.4</v>
      </c>
      <c r="H594" s="2">
        <v>59.03</v>
      </c>
      <c r="I594" t="s">
        <v>15</v>
      </c>
      <c r="J594" s="2">
        <v>377</v>
      </c>
      <c r="K594" s="2">
        <v>1</v>
      </c>
    </row>
    <row r="595" spans="1:11" x14ac:dyDescent="0.25">
      <c r="A595" t="s">
        <v>641</v>
      </c>
      <c r="B595" t="s">
        <v>27</v>
      </c>
      <c r="C595" t="s">
        <v>52</v>
      </c>
      <c r="D595" t="s">
        <v>32</v>
      </c>
      <c r="E595" s="1">
        <v>45220</v>
      </c>
      <c r="F595" s="1">
        <v>45225</v>
      </c>
      <c r="G595" s="2">
        <v>15.3</v>
      </c>
      <c r="H595" s="2">
        <v>343.33</v>
      </c>
      <c r="I595" t="s">
        <v>15</v>
      </c>
      <c r="J595" s="2">
        <v>2483</v>
      </c>
      <c r="K595" s="2">
        <v>5</v>
      </c>
    </row>
    <row r="596" spans="1:11" x14ac:dyDescent="0.25">
      <c r="A596" t="s">
        <v>642</v>
      </c>
      <c r="B596" t="s">
        <v>49</v>
      </c>
      <c r="C596" t="s">
        <v>24</v>
      </c>
      <c r="D596" t="s">
        <v>25</v>
      </c>
      <c r="E596" s="1">
        <v>44995</v>
      </c>
      <c r="F596" s="1">
        <v>45009</v>
      </c>
      <c r="G596" s="2">
        <v>17.399999999999999</v>
      </c>
      <c r="H596" s="2">
        <v>231.71</v>
      </c>
      <c r="I596" t="s">
        <v>47</v>
      </c>
      <c r="J596" s="2">
        <v>1606</v>
      </c>
      <c r="K596" s="2">
        <v>5</v>
      </c>
    </row>
    <row r="597" spans="1:11" x14ac:dyDescent="0.25">
      <c r="A597" t="s">
        <v>643</v>
      </c>
      <c r="B597" t="s">
        <v>51</v>
      </c>
      <c r="C597" t="s">
        <v>17</v>
      </c>
      <c r="D597" t="s">
        <v>25</v>
      </c>
      <c r="E597" s="1">
        <v>45132</v>
      </c>
      <c r="F597" s="1">
        <v>45137</v>
      </c>
      <c r="G597" s="2">
        <v>11.8</v>
      </c>
      <c r="H597" s="2">
        <v>119.5</v>
      </c>
      <c r="I597" t="s">
        <v>15</v>
      </c>
      <c r="J597" s="2">
        <v>870</v>
      </c>
      <c r="K597" s="2">
        <v>5</v>
      </c>
    </row>
    <row r="598" spans="1:11" x14ac:dyDescent="0.25">
      <c r="A598" t="s">
        <v>644</v>
      </c>
      <c r="B598" t="s">
        <v>30</v>
      </c>
      <c r="C598" t="s">
        <v>13</v>
      </c>
      <c r="D598" t="s">
        <v>14</v>
      </c>
      <c r="E598" s="1">
        <v>45268</v>
      </c>
      <c r="F598" s="1">
        <v>45273</v>
      </c>
      <c r="G598" s="2">
        <v>56.8</v>
      </c>
      <c r="H598" s="2">
        <v>315.36</v>
      </c>
      <c r="I598" t="s">
        <v>15</v>
      </c>
      <c r="J598" s="2">
        <v>1705</v>
      </c>
      <c r="K598" s="2">
        <v>5</v>
      </c>
    </row>
    <row r="599" spans="1:11" x14ac:dyDescent="0.25">
      <c r="A599" t="s">
        <v>645</v>
      </c>
      <c r="B599" t="s">
        <v>49</v>
      </c>
      <c r="C599" t="s">
        <v>17</v>
      </c>
      <c r="D599" t="s">
        <v>14</v>
      </c>
      <c r="E599" s="1">
        <v>45096</v>
      </c>
      <c r="G599" s="2">
        <v>28.5</v>
      </c>
      <c r="H599" s="2">
        <v>77.760000000000005</v>
      </c>
      <c r="I599" t="s">
        <v>15</v>
      </c>
      <c r="J599" s="2">
        <v>290</v>
      </c>
      <c r="K599" s="2">
        <v>2</v>
      </c>
    </row>
    <row r="600" spans="1:11" x14ac:dyDescent="0.25">
      <c r="A600" t="s">
        <v>646</v>
      </c>
      <c r="B600" t="s">
        <v>56</v>
      </c>
      <c r="C600" t="s">
        <v>28</v>
      </c>
      <c r="D600" t="s">
        <v>37</v>
      </c>
      <c r="E600" s="1">
        <v>45068</v>
      </c>
      <c r="F600" s="1">
        <v>45072</v>
      </c>
      <c r="G600" s="2">
        <v>14.6</v>
      </c>
      <c r="H600" s="2">
        <v>187.56</v>
      </c>
      <c r="I600" t="s">
        <v>15</v>
      </c>
      <c r="J600" s="2">
        <v>1525</v>
      </c>
      <c r="K600" s="2">
        <v>4</v>
      </c>
    </row>
    <row r="601" spans="1:11" x14ac:dyDescent="0.25">
      <c r="A601" t="s">
        <v>647</v>
      </c>
      <c r="B601" t="s">
        <v>12</v>
      </c>
      <c r="C601" t="s">
        <v>52</v>
      </c>
      <c r="D601" t="s">
        <v>18</v>
      </c>
      <c r="E601" s="1">
        <v>45100</v>
      </c>
      <c r="F601" s="1">
        <v>45103</v>
      </c>
      <c r="G601" s="2">
        <v>9.9</v>
      </c>
      <c r="H601" s="2">
        <v>180.22</v>
      </c>
      <c r="I601" t="s">
        <v>15</v>
      </c>
      <c r="J601" s="2">
        <v>1178</v>
      </c>
      <c r="K601" s="2">
        <v>3</v>
      </c>
    </row>
    <row r="602" spans="1:11" x14ac:dyDescent="0.25">
      <c r="A602" t="s">
        <v>648</v>
      </c>
      <c r="B602" t="s">
        <v>27</v>
      </c>
      <c r="C602" t="s">
        <v>21</v>
      </c>
      <c r="D602" t="s">
        <v>32</v>
      </c>
      <c r="E602" s="1">
        <v>44983</v>
      </c>
      <c r="F602" s="1">
        <v>44987</v>
      </c>
      <c r="G602" s="2">
        <v>45.7</v>
      </c>
      <c r="H602" s="2">
        <v>247.43</v>
      </c>
      <c r="I602" t="s">
        <v>15</v>
      </c>
      <c r="J602" s="2">
        <v>1612</v>
      </c>
      <c r="K602" s="2">
        <v>4</v>
      </c>
    </row>
    <row r="603" spans="1:11" x14ac:dyDescent="0.25">
      <c r="A603" t="s">
        <v>649</v>
      </c>
      <c r="B603" t="s">
        <v>20</v>
      </c>
      <c r="C603" t="s">
        <v>31</v>
      </c>
      <c r="D603" t="s">
        <v>37</v>
      </c>
      <c r="E603" s="1">
        <v>45075</v>
      </c>
      <c r="F603" s="1">
        <v>45081</v>
      </c>
      <c r="G603" s="2">
        <v>19.899999999999999</v>
      </c>
      <c r="H603" s="2">
        <v>316.02999999999997</v>
      </c>
      <c r="I603" t="s">
        <v>15</v>
      </c>
      <c r="J603" s="2">
        <v>2488</v>
      </c>
      <c r="K603" s="2">
        <v>6</v>
      </c>
    </row>
    <row r="604" spans="1:11" x14ac:dyDescent="0.25">
      <c r="A604" t="s">
        <v>650</v>
      </c>
      <c r="B604" t="s">
        <v>39</v>
      </c>
      <c r="C604" t="s">
        <v>28</v>
      </c>
      <c r="D604" t="s">
        <v>37</v>
      </c>
      <c r="E604" s="1">
        <v>45250</v>
      </c>
      <c r="F604" s="1">
        <v>45260</v>
      </c>
      <c r="G604" s="2">
        <v>10.5</v>
      </c>
      <c r="H604" s="2">
        <v>325.38</v>
      </c>
      <c r="I604" t="s">
        <v>15</v>
      </c>
      <c r="J604" s="2">
        <v>2144</v>
      </c>
      <c r="K604" s="2">
        <v>10</v>
      </c>
    </row>
    <row r="605" spans="1:11" x14ac:dyDescent="0.25">
      <c r="A605" t="s">
        <v>651</v>
      </c>
      <c r="B605" t="s">
        <v>51</v>
      </c>
      <c r="C605" t="s">
        <v>28</v>
      </c>
      <c r="D605" t="s">
        <v>32</v>
      </c>
      <c r="E605" s="1">
        <v>45080</v>
      </c>
      <c r="F605" s="1">
        <v>45083</v>
      </c>
      <c r="G605" s="2">
        <v>4.2</v>
      </c>
      <c r="H605" s="2">
        <v>45.59</v>
      </c>
      <c r="I605" t="s">
        <v>15</v>
      </c>
      <c r="J605" s="2">
        <v>341</v>
      </c>
      <c r="K605" s="2">
        <v>3</v>
      </c>
    </row>
    <row r="606" spans="1:11" x14ac:dyDescent="0.25">
      <c r="A606" t="s">
        <v>652</v>
      </c>
      <c r="B606" t="s">
        <v>23</v>
      </c>
      <c r="C606" t="s">
        <v>46</v>
      </c>
      <c r="D606" t="s">
        <v>42</v>
      </c>
      <c r="E606" s="1">
        <v>44974</v>
      </c>
      <c r="F606" s="1">
        <v>44978</v>
      </c>
      <c r="G606" s="2">
        <v>17.899999999999999</v>
      </c>
      <c r="H606" s="2">
        <v>77.709999999999994</v>
      </c>
      <c r="I606" t="s">
        <v>15</v>
      </c>
      <c r="J606" s="2">
        <v>484</v>
      </c>
      <c r="K606" s="2">
        <v>4</v>
      </c>
    </row>
    <row r="607" spans="1:11" x14ac:dyDescent="0.25">
      <c r="A607" t="s">
        <v>653</v>
      </c>
      <c r="B607" t="s">
        <v>49</v>
      </c>
      <c r="C607" t="s">
        <v>40</v>
      </c>
      <c r="D607" t="s">
        <v>18</v>
      </c>
      <c r="E607" s="1">
        <v>45135</v>
      </c>
      <c r="F607" s="1">
        <v>45140</v>
      </c>
      <c r="G607" s="2">
        <v>6.9</v>
      </c>
      <c r="H607" s="2">
        <v>218.92</v>
      </c>
      <c r="I607" t="s">
        <v>15</v>
      </c>
      <c r="J607" s="2">
        <v>1461</v>
      </c>
      <c r="K607" s="2">
        <v>5</v>
      </c>
    </row>
    <row r="608" spans="1:11" x14ac:dyDescent="0.25">
      <c r="A608" t="s">
        <v>654</v>
      </c>
      <c r="B608" t="s">
        <v>20</v>
      </c>
      <c r="C608" t="s">
        <v>44</v>
      </c>
      <c r="D608" t="s">
        <v>37</v>
      </c>
      <c r="E608" s="1">
        <v>45278</v>
      </c>
      <c r="F608" s="1">
        <v>45283</v>
      </c>
      <c r="G608" s="2">
        <v>29.7</v>
      </c>
      <c r="H608" s="2">
        <v>149.52000000000001</v>
      </c>
      <c r="I608" t="s">
        <v>15</v>
      </c>
      <c r="J608" s="2">
        <v>766</v>
      </c>
      <c r="K608" s="2">
        <v>5</v>
      </c>
    </row>
    <row r="609" spans="1:11" x14ac:dyDescent="0.25">
      <c r="A609" t="s">
        <v>655</v>
      </c>
      <c r="B609" t="s">
        <v>30</v>
      </c>
      <c r="C609" t="s">
        <v>28</v>
      </c>
      <c r="D609" t="s">
        <v>32</v>
      </c>
      <c r="E609" s="1">
        <v>45082</v>
      </c>
      <c r="F609" s="1">
        <v>45087</v>
      </c>
      <c r="G609" s="2">
        <v>11.4</v>
      </c>
      <c r="H609" s="2">
        <v>179.35</v>
      </c>
      <c r="I609" t="s">
        <v>15</v>
      </c>
      <c r="J609" s="2">
        <v>1151</v>
      </c>
      <c r="K609" s="2">
        <v>5</v>
      </c>
    </row>
    <row r="610" spans="1:11" x14ac:dyDescent="0.25">
      <c r="A610" t="s">
        <v>656</v>
      </c>
      <c r="B610" t="s">
        <v>12</v>
      </c>
      <c r="C610" t="s">
        <v>13</v>
      </c>
      <c r="D610" t="s">
        <v>42</v>
      </c>
      <c r="E610" s="1">
        <v>45133</v>
      </c>
      <c r="F610" s="1">
        <v>45135</v>
      </c>
      <c r="G610" s="2">
        <v>11</v>
      </c>
      <c r="H610" s="2">
        <v>59.43</v>
      </c>
      <c r="I610" t="s">
        <v>15</v>
      </c>
      <c r="J610" s="2">
        <v>412</v>
      </c>
      <c r="K610" s="2">
        <v>2</v>
      </c>
    </row>
    <row r="611" spans="1:11" x14ac:dyDescent="0.25">
      <c r="A611" t="s">
        <v>657</v>
      </c>
      <c r="B611" t="s">
        <v>12</v>
      </c>
      <c r="C611" t="s">
        <v>28</v>
      </c>
      <c r="D611" t="s">
        <v>37</v>
      </c>
      <c r="E611" s="1">
        <v>44965</v>
      </c>
      <c r="F611" s="1">
        <v>44969</v>
      </c>
      <c r="G611" s="2">
        <v>19.7</v>
      </c>
      <c r="H611" s="2">
        <v>254.01</v>
      </c>
      <c r="I611" t="s">
        <v>15</v>
      </c>
      <c r="J611" s="2">
        <v>1858</v>
      </c>
      <c r="K611" s="2">
        <v>4</v>
      </c>
    </row>
    <row r="612" spans="1:11" x14ac:dyDescent="0.25">
      <c r="A612" t="s">
        <v>658</v>
      </c>
      <c r="B612" t="s">
        <v>39</v>
      </c>
      <c r="C612" t="s">
        <v>13</v>
      </c>
      <c r="D612" t="s">
        <v>42</v>
      </c>
      <c r="E612" s="1">
        <v>45217</v>
      </c>
      <c r="F612" s="1">
        <v>45233</v>
      </c>
      <c r="G612" s="2">
        <v>24.2</v>
      </c>
      <c r="H612" s="2">
        <v>284.17</v>
      </c>
      <c r="I612" t="s">
        <v>47</v>
      </c>
      <c r="J612" s="2">
        <v>2188</v>
      </c>
      <c r="K612" s="2">
        <v>5</v>
      </c>
    </row>
    <row r="613" spans="1:11" x14ac:dyDescent="0.25">
      <c r="A613" t="s">
        <v>659</v>
      </c>
      <c r="B613" t="s">
        <v>39</v>
      </c>
      <c r="C613" t="s">
        <v>28</v>
      </c>
      <c r="D613" t="s">
        <v>32</v>
      </c>
      <c r="E613" s="1">
        <v>45176</v>
      </c>
      <c r="F613" s="1">
        <v>45179</v>
      </c>
      <c r="G613" s="2">
        <v>58.1</v>
      </c>
      <c r="H613" s="2">
        <v>217.03</v>
      </c>
      <c r="I613" t="s">
        <v>15</v>
      </c>
      <c r="J613" s="2">
        <v>1113</v>
      </c>
      <c r="K613" s="2">
        <v>3</v>
      </c>
    </row>
    <row r="614" spans="1:11" x14ac:dyDescent="0.25">
      <c r="A614" t="s">
        <v>660</v>
      </c>
      <c r="B614" t="s">
        <v>39</v>
      </c>
      <c r="C614" t="s">
        <v>24</v>
      </c>
      <c r="D614" t="s">
        <v>32</v>
      </c>
      <c r="E614" s="1">
        <v>45241</v>
      </c>
      <c r="F614" s="1">
        <v>45246</v>
      </c>
      <c r="G614" s="2">
        <v>0.3</v>
      </c>
      <c r="H614" s="2">
        <v>333.92</v>
      </c>
      <c r="I614" t="s">
        <v>15</v>
      </c>
      <c r="J614" s="2">
        <v>1775</v>
      </c>
      <c r="K614" s="2">
        <v>5</v>
      </c>
    </row>
    <row r="615" spans="1:11" x14ac:dyDescent="0.25">
      <c r="A615" t="s">
        <v>661</v>
      </c>
      <c r="B615" t="s">
        <v>56</v>
      </c>
      <c r="C615" t="s">
        <v>31</v>
      </c>
      <c r="D615" t="s">
        <v>37</v>
      </c>
      <c r="E615" s="1">
        <v>45225</v>
      </c>
      <c r="F615" s="1">
        <v>45229</v>
      </c>
      <c r="G615" s="2">
        <v>39</v>
      </c>
      <c r="H615" s="2">
        <v>61.95</v>
      </c>
      <c r="I615" t="s">
        <v>15</v>
      </c>
      <c r="J615" s="2">
        <v>109</v>
      </c>
      <c r="K615" s="2">
        <v>4</v>
      </c>
    </row>
    <row r="616" spans="1:11" x14ac:dyDescent="0.25">
      <c r="A616" t="s">
        <v>662</v>
      </c>
      <c r="B616" t="s">
        <v>35</v>
      </c>
      <c r="C616" t="s">
        <v>81</v>
      </c>
      <c r="D616" t="s">
        <v>14</v>
      </c>
      <c r="E616" s="1">
        <v>45194</v>
      </c>
      <c r="F616" s="1">
        <v>45198</v>
      </c>
      <c r="G616" s="2">
        <v>16.5</v>
      </c>
      <c r="H616" s="2">
        <v>143.91</v>
      </c>
      <c r="I616" t="s">
        <v>15</v>
      </c>
      <c r="J616" s="2">
        <v>1000</v>
      </c>
      <c r="K616" s="2">
        <v>4</v>
      </c>
    </row>
    <row r="617" spans="1:11" x14ac:dyDescent="0.25">
      <c r="A617" t="s">
        <v>663</v>
      </c>
      <c r="B617" t="s">
        <v>30</v>
      </c>
      <c r="C617" t="s">
        <v>36</v>
      </c>
      <c r="D617" t="s">
        <v>14</v>
      </c>
      <c r="E617" s="1">
        <v>45032</v>
      </c>
      <c r="F617" s="1">
        <v>45038</v>
      </c>
      <c r="G617" s="2">
        <v>12.9</v>
      </c>
      <c r="H617" s="2">
        <v>56.83</v>
      </c>
      <c r="I617" t="s">
        <v>47</v>
      </c>
      <c r="J617" s="2">
        <v>354</v>
      </c>
      <c r="K617" s="2">
        <v>1</v>
      </c>
    </row>
    <row r="618" spans="1:11" x14ac:dyDescent="0.25">
      <c r="A618" t="s">
        <v>664</v>
      </c>
      <c r="B618" t="s">
        <v>30</v>
      </c>
      <c r="C618" t="s">
        <v>54</v>
      </c>
      <c r="D618" t="s">
        <v>32</v>
      </c>
      <c r="E618" s="1">
        <v>45040</v>
      </c>
      <c r="F618" s="1">
        <v>45042</v>
      </c>
      <c r="G618" s="2">
        <v>11.5</v>
      </c>
      <c r="H618" s="2">
        <v>114.38</v>
      </c>
      <c r="I618" t="s">
        <v>15</v>
      </c>
      <c r="J618" s="2">
        <v>752</v>
      </c>
      <c r="K618" s="2">
        <v>2</v>
      </c>
    </row>
    <row r="619" spans="1:11" x14ac:dyDescent="0.25">
      <c r="A619" t="s">
        <v>665</v>
      </c>
      <c r="B619" t="s">
        <v>30</v>
      </c>
      <c r="C619" t="s">
        <v>81</v>
      </c>
      <c r="D619" t="s">
        <v>37</v>
      </c>
      <c r="E619" s="1">
        <v>45195</v>
      </c>
      <c r="F619" s="1">
        <v>45201</v>
      </c>
      <c r="G619" s="2">
        <v>37.700000000000003</v>
      </c>
      <c r="H619" s="2">
        <v>286.39999999999998</v>
      </c>
      <c r="I619" t="s">
        <v>15</v>
      </c>
      <c r="J619" s="2">
        <v>2253</v>
      </c>
      <c r="K619" s="2">
        <v>6</v>
      </c>
    </row>
    <row r="620" spans="1:11" x14ac:dyDescent="0.25">
      <c r="A620" t="s">
        <v>666</v>
      </c>
      <c r="B620" t="s">
        <v>35</v>
      </c>
      <c r="C620" t="s">
        <v>81</v>
      </c>
      <c r="D620" t="s">
        <v>42</v>
      </c>
      <c r="E620" s="1">
        <v>45094</v>
      </c>
      <c r="F620" s="1">
        <v>45098</v>
      </c>
      <c r="G620" s="2">
        <v>8.6</v>
      </c>
      <c r="H620" s="2">
        <v>119.7</v>
      </c>
      <c r="I620" t="s">
        <v>15</v>
      </c>
      <c r="J620" s="2">
        <v>1000</v>
      </c>
      <c r="K620" s="2">
        <v>4</v>
      </c>
    </row>
    <row r="621" spans="1:11" x14ac:dyDescent="0.25">
      <c r="A621" t="s">
        <v>667</v>
      </c>
      <c r="B621" t="s">
        <v>27</v>
      </c>
      <c r="C621" t="s">
        <v>52</v>
      </c>
      <c r="D621" t="s">
        <v>42</v>
      </c>
      <c r="E621" s="1">
        <v>45276</v>
      </c>
      <c r="F621" s="1">
        <v>45285</v>
      </c>
      <c r="G621" s="2">
        <v>43.2</v>
      </c>
      <c r="H621" s="2">
        <v>416.42</v>
      </c>
      <c r="I621" t="s">
        <v>47</v>
      </c>
      <c r="J621" s="2">
        <v>2266</v>
      </c>
      <c r="K621" s="2">
        <v>7</v>
      </c>
    </row>
    <row r="622" spans="1:11" x14ac:dyDescent="0.25">
      <c r="A622" t="s">
        <v>668</v>
      </c>
      <c r="B622" t="s">
        <v>30</v>
      </c>
      <c r="C622" t="s">
        <v>57</v>
      </c>
      <c r="D622" t="s">
        <v>18</v>
      </c>
      <c r="E622" s="1">
        <v>45187</v>
      </c>
      <c r="F622" s="1">
        <v>45196</v>
      </c>
      <c r="G622" s="2">
        <v>51.8</v>
      </c>
      <c r="H622" s="2">
        <v>201.57</v>
      </c>
      <c r="I622" t="s">
        <v>47</v>
      </c>
      <c r="J622" s="2">
        <v>1014</v>
      </c>
      <c r="K622" s="2">
        <v>3</v>
      </c>
    </row>
    <row r="623" spans="1:11" x14ac:dyDescent="0.25">
      <c r="A623" t="s">
        <v>669</v>
      </c>
      <c r="B623" t="s">
        <v>23</v>
      </c>
      <c r="C623" t="s">
        <v>36</v>
      </c>
      <c r="D623" t="s">
        <v>59</v>
      </c>
      <c r="E623" s="1">
        <v>45244</v>
      </c>
      <c r="F623" s="1">
        <v>45252</v>
      </c>
      <c r="G623" s="2">
        <v>21.4</v>
      </c>
      <c r="H623" s="2">
        <v>276.47000000000003</v>
      </c>
      <c r="I623" t="s">
        <v>15</v>
      </c>
      <c r="J623" s="2">
        <v>1837</v>
      </c>
      <c r="K623" s="2">
        <v>8</v>
      </c>
    </row>
    <row r="624" spans="1:11" x14ac:dyDescent="0.25">
      <c r="A624" t="s">
        <v>670</v>
      </c>
      <c r="B624" t="s">
        <v>39</v>
      </c>
      <c r="C624" t="s">
        <v>44</v>
      </c>
      <c r="D624" t="s">
        <v>25</v>
      </c>
      <c r="E624" s="1">
        <v>44974</v>
      </c>
      <c r="F624" s="1">
        <v>44977</v>
      </c>
      <c r="G624" s="2">
        <v>34.200000000000003</v>
      </c>
      <c r="H624" s="2">
        <v>73.58</v>
      </c>
      <c r="I624" t="s">
        <v>15</v>
      </c>
      <c r="J624" s="2">
        <v>264</v>
      </c>
      <c r="K624" s="2">
        <v>3</v>
      </c>
    </row>
    <row r="625" spans="1:11" x14ac:dyDescent="0.25">
      <c r="A625" t="s">
        <v>671</v>
      </c>
      <c r="B625" t="s">
        <v>20</v>
      </c>
      <c r="C625" t="s">
        <v>40</v>
      </c>
      <c r="D625" t="s">
        <v>32</v>
      </c>
      <c r="E625" s="1">
        <v>45199</v>
      </c>
      <c r="F625" s="1">
        <v>45202</v>
      </c>
      <c r="G625" s="2">
        <v>27.8</v>
      </c>
      <c r="H625" s="2">
        <v>172.58</v>
      </c>
      <c r="I625" t="s">
        <v>15</v>
      </c>
      <c r="J625" s="2">
        <v>920</v>
      </c>
      <c r="K625" s="2">
        <v>3</v>
      </c>
    </row>
    <row r="626" spans="1:11" x14ac:dyDescent="0.25">
      <c r="A626" t="s">
        <v>672</v>
      </c>
      <c r="B626" t="s">
        <v>23</v>
      </c>
      <c r="C626" t="s">
        <v>28</v>
      </c>
      <c r="D626" t="s">
        <v>32</v>
      </c>
      <c r="E626" s="1">
        <v>45021</v>
      </c>
      <c r="F626" s="1">
        <v>45025</v>
      </c>
      <c r="G626" s="2">
        <v>3.3</v>
      </c>
      <c r="H626" s="2">
        <v>52.34</v>
      </c>
      <c r="I626" t="s">
        <v>15</v>
      </c>
      <c r="J626" s="2">
        <v>385</v>
      </c>
      <c r="K626" s="2">
        <v>4</v>
      </c>
    </row>
    <row r="627" spans="1:11" x14ac:dyDescent="0.25">
      <c r="A627" t="s">
        <v>673</v>
      </c>
      <c r="B627" t="s">
        <v>35</v>
      </c>
      <c r="C627" t="s">
        <v>13</v>
      </c>
      <c r="D627" t="s">
        <v>18</v>
      </c>
      <c r="E627" s="1">
        <v>45094</v>
      </c>
      <c r="F627" s="1">
        <v>45098</v>
      </c>
      <c r="G627" s="2">
        <v>22.5</v>
      </c>
      <c r="H627" s="2">
        <v>252.88</v>
      </c>
      <c r="I627" t="s">
        <v>15</v>
      </c>
      <c r="J627" s="2">
        <v>1650</v>
      </c>
      <c r="K627" s="2">
        <v>4</v>
      </c>
    </row>
    <row r="628" spans="1:11" x14ac:dyDescent="0.25">
      <c r="A628" t="s">
        <v>674</v>
      </c>
      <c r="B628" t="s">
        <v>12</v>
      </c>
      <c r="C628" t="s">
        <v>57</v>
      </c>
      <c r="D628" t="s">
        <v>25</v>
      </c>
      <c r="E628" s="1">
        <v>45193</v>
      </c>
      <c r="F628" s="1">
        <v>45199</v>
      </c>
      <c r="G628" s="2">
        <v>16.3</v>
      </c>
      <c r="H628" s="2">
        <v>274.14999999999998</v>
      </c>
      <c r="I628" t="s">
        <v>15</v>
      </c>
      <c r="J628" s="2">
        <v>2133</v>
      </c>
      <c r="K628" s="2">
        <v>6</v>
      </c>
    </row>
    <row r="629" spans="1:11" x14ac:dyDescent="0.25">
      <c r="A629" t="s">
        <v>675</v>
      </c>
      <c r="B629" t="s">
        <v>27</v>
      </c>
      <c r="C629" t="s">
        <v>13</v>
      </c>
      <c r="D629" t="s">
        <v>32</v>
      </c>
      <c r="E629" s="1">
        <v>45245</v>
      </c>
      <c r="F629" s="1">
        <v>45250</v>
      </c>
      <c r="G629" s="2">
        <v>7</v>
      </c>
      <c r="H629" s="2">
        <v>194.75</v>
      </c>
      <c r="I629" t="s">
        <v>62</v>
      </c>
      <c r="J629" s="2">
        <v>1191</v>
      </c>
      <c r="K629" s="2">
        <v>5</v>
      </c>
    </row>
    <row r="630" spans="1:11" x14ac:dyDescent="0.25">
      <c r="A630" t="s">
        <v>676</v>
      </c>
      <c r="B630" t="s">
        <v>20</v>
      </c>
      <c r="C630" t="s">
        <v>54</v>
      </c>
      <c r="D630" t="s">
        <v>59</v>
      </c>
      <c r="E630" s="1">
        <v>44931</v>
      </c>
      <c r="F630" s="1">
        <v>44934</v>
      </c>
      <c r="G630" s="2">
        <v>27.1</v>
      </c>
      <c r="H630" s="2">
        <v>133.41999999999999</v>
      </c>
      <c r="I630" t="s">
        <v>60</v>
      </c>
      <c r="J630" s="2">
        <v>836</v>
      </c>
      <c r="K630" s="2">
        <v>3</v>
      </c>
    </row>
    <row r="631" spans="1:11" x14ac:dyDescent="0.25">
      <c r="A631" t="s">
        <v>677</v>
      </c>
      <c r="B631" t="s">
        <v>35</v>
      </c>
      <c r="C631" t="s">
        <v>81</v>
      </c>
      <c r="D631" t="s">
        <v>32</v>
      </c>
      <c r="E631" s="1">
        <v>45203</v>
      </c>
      <c r="F631" s="1">
        <v>45205</v>
      </c>
      <c r="G631" s="2">
        <v>11.9</v>
      </c>
      <c r="H631" s="2">
        <v>149.69999999999999</v>
      </c>
      <c r="I631" t="s">
        <v>15</v>
      </c>
      <c r="J631" s="2">
        <v>1000</v>
      </c>
      <c r="K631" s="2">
        <v>2</v>
      </c>
    </row>
    <row r="632" spans="1:11" x14ac:dyDescent="0.25">
      <c r="A632" t="s">
        <v>678</v>
      </c>
      <c r="B632" t="s">
        <v>27</v>
      </c>
      <c r="C632" t="s">
        <v>70</v>
      </c>
      <c r="D632" t="s">
        <v>18</v>
      </c>
      <c r="E632" s="1">
        <v>45150</v>
      </c>
      <c r="F632" s="1">
        <v>45152</v>
      </c>
      <c r="G632" s="2">
        <v>54.7</v>
      </c>
      <c r="H632" s="2">
        <v>191.49</v>
      </c>
      <c r="I632" t="s">
        <v>15</v>
      </c>
      <c r="J632" s="2">
        <v>723</v>
      </c>
      <c r="K632" s="2">
        <v>2</v>
      </c>
    </row>
    <row r="633" spans="1:11" x14ac:dyDescent="0.25">
      <c r="A633" t="s">
        <v>679</v>
      </c>
      <c r="B633" t="s">
        <v>12</v>
      </c>
      <c r="C633" t="s">
        <v>70</v>
      </c>
      <c r="D633" t="s">
        <v>32</v>
      </c>
      <c r="E633" s="1">
        <v>45133</v>
      </c>
      <c r="F633" s="1">
        <v>45139</v>
      </c>
      <c r="G633" s="2">
        <v>26</v>
      </c>
      <c r="H633" s="2">
        <v>304.66000000000003</v>
      </c>
      <c r="I633" t="s">
        <v>60</v>
      </c>
      <c r="J633" s="2">
        <v>1990</v>
      </c>
      <c r="K633" s="2">
        <v>6</v>
      </c>
    </row>
    <row r="634" spans="1:11" x14ac:dyDescent="0.25">
      <c r="A634" t="s">
        <v>680</v>
      </c>
      <c r="B634" t="s">
        <v>23</v>
      </c>
      <c r="C634" t="s">
        <v>57</v>
      </c>
      <c r="D634" t="s">
        <v>14</v>
      </c>
      <c r="E634" s="1">
        <v>45237</v>
      </c>
      <c r="F634" s="1">
        <v>45239</v>
      </c>
      <c r="G634" s="2">
        <v>6.9</v>
      </c>
      <c r="H634" s="2">
        <v>107.24</v>
      </c>
      <c r="I634" t="s">
        <v>15</v>
      </c>
      <c r="J634" s="2">
        <v>660</v>
      </c>
      <c r="K634" s="2">
        <v>2</v>
      </c>
    </row>
    <row r="635" spans="1:11" x14ac:dyDescent="0.25">
      <c r="A635" t="s">
        <v>681</v>
      </c>
      <c r="B635" t="s">
        <v>30</v>
      </c>
      <c r="C635" t="s">
        <v>21</v>
      </c>
      <c r="D635" t="s">
        <v>14</v>
      </c>
      <c r="E635" s="1">
        <v>45128</v>
      </c>
      <c r="F635" s="1">
        <v>45134</v>
      </c>
      <c r="G635" s="2">
        <v>44.1</v>
      </c>
      <c r="H635" s="2">
        <v>340.74</v>
      </c>
      <c r="I635" t="s">
        <v>15</v>
      </c>
      <c r="J635" s="2">
        <v>2174</v>
      </c>
      <c r="K635" s="2">
        <v>6</v>
      </c>
    </row>
    <row r="636" spans="1:11" x14ac:dyDescent="0.25">
      <c r="A636" t="s">
        <v>682</v>
      </c>
      <c r="B636" t="s">
        <v>30</v>
      </c>
      <c r="C636" t="s">
        <v>57</v>
      </c>
      <c r="D636" t="s">
        <v>59</v>
      </c>
      <c r="E636" s="1">
        <v>45141</v>
      </c>
      <c r="F636" s="1">
        <v>45144</v>
      </c>
      <c r="G636" s="2">
        <v>16.2</v>
      </c>
      <c r="H636" s="2">
        <v>93.12</v>
      </c>
      <c r="I636" t="s">
        <v>15</v>
      </c>
      <c r="J636" s="2">
        <v>651</v>
      </c>
      <c r="K636" s="2">
        <v>3</v>
      </c>
    </row>
    <row r="637" spans="1:11" x14ac:dyDescent="0.25">
      <c r="A637" t="s">
        <v>683</v>
      </c>
      <c r="B637" t="s">
        <v>35</v>
      </c>
      <c r="C637" t="s">
        <v>81</v>
      </c>
      <c r="D637" t="s">
        <v>32</v>
      </c>
      <c r="E637" s="1">
        <v>45241</v>
      </c>
      <c r="F637" s="1">
        <v>45244</v>
      </c>
      <c r="G637" s="2">
        <v>65.2</v>
      </c>
      <c r="H637" s="2">
        <v>264.64</v>
      </c>
      <c r="I637" t="s">
        <v>15</v>
      </c>
      <c r="J637" s="2">
        <v>1000</v>
      </c>
      <c r="K637" s="2">
        <v>3</v>
      </c>
    </row>
    <row r="638" spans="1:11" x14ac:dyDescent="0.25">
      <c r="A638" t="s">
        <v>684</v>
      </c>
      <c r="B638" t="s">
        <v>35</v>
      </c>
      <c r="C638" t="s">
        <v>57</v>
      </c>
      <c r="D638" t="s">
        <v>18</v>
      </c>
      <c r="E638" s="1">
        <v>45064</v>
      </c>
      <c r="G638" s="2">
        <v>8</v>
      </c>
      <c r="H638" s="2">
        <v>164.55</v>
      </c>
      <c r="I638" t="s">
        <v>15</v>
      </c>
      <c r="J638" s="2">
        <v>1019</v>
      </c>
      <c r="K638" s="2">
        <v>3</v>
      </c>
    </row>
    <row r="639" spans="1:11" x14ac:dyDescent="0.25">
      <c r="A639" t="s">
        <v>685</v>
      </c>
      <c r="B639" t="s">
        <v>56</v>
      </c>
      <c r="C639" t="s">
        <v>46</v>
      </c>
      <c r="D639" t="s">
        <v>42</v>
      </c>
      <c r="E639" s="1">
        <v>45064</v>
      </c>
      <c r="F639" s="1">
        <v>45066</v>
      </c>
      <c r="G639" s="2">
        <v>29.9</v>
      </c>
      <c r="H639" s="2">
        <v>95.19</v>
      </c>
      <c r="I639" t="s">
        <v>15</v>
      </c>
      <c r="J639" s="2">
        <v>508</v>
      </c>
      <c r="K639" s="2">
        <v>2</v>
      </c>
    </row>
    <row r="640" spans="1:11" x14ac:dyDescent="0.25">
      <c r="A640" t="s">
        <v>686</v>
      </c>
      <c r="B640" t="s">
        <v>35</v>
      </c>
      <c r="C640" t="s">
        <v>21</v>
      </c>
      <c r="D640" t="s">
        <v>42</v>
      </c>
      <c r="E640" s="1">
        <v>45077</v>
      </c>
      <c r="F640" s="1">
        <v>45083</v>
      </c>
      <c r="G640" s="2">
        <v>22.5</v>
      </c>
      <c r="H640" s="2">
        <v>304.07</v>
      </c>
      <c r="I640" t="s">
        <v>15</v>
      </c>
      <c r="J640" s="2">
        <v>2165</v>
      </c>
      <c r="K640" s="2">
        <v>6</v>
      </c>
    </row>
    <row r="641" spans="1:11" x14ac:dyDescent="0.25">
      <c r="A641" t="s">
        <v>687</v>
      </c>
      <c r="B641" t="s">
        <v>39</v>
      </c>
      <c r="C641" t="s">
        <v>36</v>
      </c>
      <c r="D641" t="s">
        <v>59</v>
      </c>
      <c r="E641" s="1">
        <v>45194</v>
      </c>
      <c r="F641" s="1">
        <v>45199</v>
      </c>
      <c r="G641" s="2">
        <v>27.2</v>
      </c>
      <c r="H641" s="2">
        <v>158.38</v>
      </c>
      <c r="I641" t="s">
        <v>15</v>
      </c>
      <c r="J641" s="2">
        <v>1038</v>
      </c>
      <c r="K641" s="2">
        <v>5</v>
      </c>
    </row>
    <row r="642" spans="1:11" x14ac:dyDescent="0.25">
      <c r="A642" t="s">
        <v>688</v>
      </c>
      <c r="B642" t="s">
        <v>39</v>
      </c>
      <c r="C642" t="s">
        <v>57</v>
      </c>
      <c r="D642" t="s">
        <v>14</v>
      </c>
      <c r="E642" s="1">
        <v>44979</v>
      </c>
      <c r="G642" s="2">
        <v>27.7</v>
      </c>
      <c r="H642" s="2">
        <v>129.49</v>
      </c>
      <c r="I642" t="s">
        <v>15</v>
      </c>
      <c r="J642" s="2">
        <v>730</v>
      </c>
      <c r="K642" s="2">
        <v>3</v>
      </c>
    </row>
    <row r="643" spans="1:11" x14ac:dyDescent="0.25">
      <c r="A643" t="s">
        <v>689</v>
      </c>
      <c r="B643" t="s">
        <v>27</v>
      </c>
      <c r="C643" t="s">
        <v>70</v>
      </c>
      <c r="D643" t="s">
        <v>37</v>
      </c>
      <c r="E643" s="1">
        <v>45004</v>
      </c>
      <c r="F643" s="1">
        <v>45011</v>
      </c>
      <c r="G643" s="2">
        <v>37.700000000000003</v>
      </c>
      <c r="H643" s="2">
        <v>339.21</v>
      </c>
      <c r="I643" t="s">
        <v>15</v>
      </c>
      <c r="J643" s="2">
        <v>2201</v>
      </c>
      <c r="K643" s="2">
        <v>7</v>
      </c>
    </row>
    <row r="644" spans="1:11" x14ac:dyDescent="0.25">
      <c r="A644" t="s">
        <v>690</v>
      </c>
      <c r="B644" t="s">
        <v>56</v>
      </c>
      <c r="C644" t="s">
        <v>40</v>
      </c>
      <c r="D644" t="s">
        <v>32</v>
      </c>
      <c r="E644" s="1">
        <v>45005</v>
      </c>
      <c r="F644" s="1">
        <v>45010</v>
      </c>
      <c r="G644" s="2">
        <v>10.199999999999999</v>
      </c>
      <c r="H644" s="2">
        <v>265.14999999999998</v>
      </c>
      <c r="I644" t="s">
        <v>15</v>
      </c>
      <c r="J644" s="2">
        <v>1808</v>
      </c>
      <c r="K644" s="2">
        <v>5</v>
      </c>
    </row>
    <row r="645" spans="1:11" x14ac:dyDescent="0.25">
      <c r="A645" t="s">
        <v>691</v>
      </c>
      <c r="B645" t="s">
        <v>49</v>
      </c>
      <c r="C645" t="s">
        <v>52</v>
      </c>
      <c r="D645" t="s">
        <v>25</v>
      </c>
      <c r="E645" s="1">
        <v>45202</v>
      </c>
      <c r="F645" s="1">
        <v>45204</v>
      </c>
      <c r="G645" s="2">
        <v>10.199999999999999</v>
      </c>
      <c r="H645" s="2">
        <v>79.739999999999995</v>
      </c>
      <c r="I645" t="s">
        <v>15</v>
      </c>
      <c r="J645" s="2">
        <v>553</v>
      </c>
      <c r="K645" s="2">
        <v>2</v>
      </c>
    </row>
    <row r="646" spans="1:11" x14ac:dyDescent="0.25">
      <c r="A646" t="s">
        <v>692</v>
      </c>
      <c r="B646" t="s">
        <v>49</v>
      </c>
      <c r="C646" t="s">
        <v>31</v>
      </c>
      <c r="D646" t="s">
        <v>18</v>
      </c>
      <c r="E646" s="1">
        <v>45003</v>
      </c>
      <c r="F646" s="1">
        <v>45007</v>
      </c>
      <c r="G646" s="2">
        <v>44.4</v>
      </c>
      <c r="H646" s="2">
        <v>151.19999999999999</v>
      </c>
      <c r="I646" t="s">
        <v>15</v>
      </c>
      <c r="J646" s="2">
        <v>560</v>
      </c>
      <c r="K646" s="2">
        <v>4</v>
      </c>
    </row>
    <row r="647" spans="1:11" x14ac:dyDescent="0.25">
      <c r="A647" t="s">
        <v>693</v>
      </c>
      <c r="B647" t="s">
        <v>12</v>
      </c>
      <c r="C647" t="s">
        <v>17</v>
      </c>
      <c r="D647" t="s">
        <v>59</v>
      </c>
      <c r="E647" s="1">
        <v>45135</v>
      </c>
      <c r="F647" s="1">
        <v>45140</v>
      </c>
      <c r="G647" s="2">
        <v>21.9</v>
      </c>
      <c r="H647" s="2">
        <v>289.79000000000002</v>
      </c>
      <c r="I647" t="s">
        <v>15</v>
      </c>
      <c r="J647" s="2">
        <v>2189</v>
      </c>
      <c r="K647" s="2">
        <v>5</v>
      </c>
    </row>
    <row r="648" spans="1:11" x14ac:dyDescent="0.25">
      <c r="A648" t="s">
        <v>694</v>
      </c>
      <c r="B648" t="s">
        <v>30</v>
      </c>
      <c r="C648" t="s">
        <v>40</v>
      </c>
      <c r="D648" t="s">
        <v>42</v>
      </c>
      <c r="E648" s="1">
        <v>45247</v>
      </c>
      <c r="F648" s="1">
        <v>45249</v>
      </c>
      <c r="G648" s="2">
        <v>23.1</v>
      </c>
      <c r="H648" s="2">
        <v>98.82</v>
      </c>
      <c r="I648" t="s">
        <v>15</v>
      </c>
      <c r="J648" s="2">
        <v>393</v>
      </c>
      <c r="K648" s="2">
        <v>2</v>
      </c>
    </row>
    <row r="649" spans="1:11" x14ac:dyDescent="0.25">
      <c r="A649" t="s">
        <v>695</v>
      </c>
      <c r="B649" t="s">
        <v>49</v>
      </c>
      <c r="C649" t="s">
        <v>57</v>
      </c>
      <c r="D649" t="s">
        <v>18</v>
      </c>
      <c r="E649" s="1">
        <v>45273</v>
      </c>
      <c r="F649" s="1">
        <v>45276</v>
      </c>
      <c r="G649" s="2">
        <v>37.700000000000003</v>
      </c>
      <c r="H649" s="2">
        <v>336.06</v>
      </c>
      <c r="I649" t="s">
        <v>15</v>
      </c>
      <c r="J649" s="2">
        <v>1505</v>
      </c>
      <c r="K649" s="2">
        <v>3</v>
      </c>
    </row>
    <row r="650" spans="1:11" x14ac:dyDescent="0.25">
      <c r="A650" t="s">
        <v>696</v>
      </c>
      <c r="B650" t="s">
        <v>56</v>
      </c>
      <c r="C650" t="s">
        <v>31</v>
      </c>
      <c r="D650" t="s">
        <v>25</v>
      </c>
      <c r="E650" s="1">
        <v>45194</v>
      </c>
      <c r="F650" s="1">
        <v>45200</v>
      </c>
      <c r="G650" s="2">
        <v>37.1</v>
      </c>
      <c r="H650" s="2">
        <v>236.03</v>
      </c>
      <c r="I650" t="s">
        <v>15</v>
      </c>
      <c r="J650" s="2">
        <v>1673</v>
      </c>
      <c r="K650" s="2">
        <v>6</v>
      </c>
    </row>
    <row r="651" spans="1:11" x14ac:dyDescent="0.25">
      <c r="A651" t="s">
        <v>697</v>
      </c>
      <c r="B651" t="s">
        <v>20</v>
      </c>
      <c r="C651" t="s">
        <v>36</v>
      </c>
      <c r="D651" t="s">
        <v>25</v>
      </c>
      <c r="E651" s="1">
        <v>45142</v>
      </c>
      <c r="F651" s="1">
        <v>45146</v>
      </c>
      <c r="G651" s="2">
        <v>12.1</v>
      </c>
      <c r="H651" s="2">
        <v>144.44</v>
      </c>
      <c r="I651" t="s">
        <v>15</v>
      </c>
      <c r="J651" s="2">
        <v>1029</v>
      </c>
      <c r="K651" s="2">
        <v>4</v>
      </c>
    </row>
    <row r="652" spans="1:11" x14ac:dyDescent="0.25">
      <c r="A652" t="s">
        <v>698</v>
      </c>
      <c r="B652" t="s">
        <v>27</v>
      </c>
      <c r="C652" t="s">
        <v>54</v>
      </c>
      <c r="D652" t="s">
        <v>37</v>
      </c>
      <c r="E652" s="1">
        <v>45198</v>
      </c>
      <c r="F652" s="1">
        <v>45205</v>
      </c>
      <c r="G652" s="2">
        <v>6.9</v>
      </c>
      <c r="H652" s="2">
        <v>294.86</v>
      </c>
      <c r="I652" t="s">
        <v>15</v>
      </c>
      <c r="J652" s="2">
        <v>2487</v>
      </c>
      <c r="K652" s="2">
        <v>7</v>
      </c>
    </row>
    <row r="653" spans="1:11" x14ac:dyDescent="0.25">
      <c r="A653" t="s">
        <v>699</v>
      </c>
      <c r="B653" t="s">
        <v>49</v>
      </c>
      <c r="C653" t="s">
        <v>70</v>
      </c>
      <c r="D653" t="s">
        <v>25</v>
      </c>
      <c r="E653" s="1">
        <v>45111</v>
      </c>
      <c r="F653" s="1">
        <v>45115</v>
      </c>
      <c r="G653" s="2">
        <v>14.6</v>
      </c>
      <c r="H653" s="2">
        <v>204.47</v>
      </c>
      <c r="I653" t="s">
        <v>15</v>
      </c>
      <c r="J653" s="2">
        <v>1495</v>
      </c>
      <c r="K653" s="2">
        <v>4</v>
      </c>
    </row>
    <row r="654" spans="1:11" x14ac:dyDescent="0.25">
      <c r="A654" t="s">
        <v>700</v>
      </c>
      <c r="B654" t="s">
        <v>23</v>
      </c>
      <c r="C654" t="s">
        <v>44</v>
      </c>
      <c r="D654" t="s">
        <v>18</v>
      </c>
      <c r="E654" s="1">
        <v>45108</v>
      </c>
      <c r="F654" s="1">
        <v>45113</v>
      </c>
      <c r="G654" s="2">
        <v>54.9</v>
      </c>
      <c r="H654" s="2">
        <v>243.58</v>
      </c>
      <c r="I654" t="s">
        <v>15</v>
      </c>
      <c r="J654" s="2">
        <v>1121</v>
      </c>
      <c r="K654" s="2">
        <v>5</v>
      </c>
    </row>
    <row r="655" spans="1:11" x14ac:dyDescent="0.25">
      <c r="A655" t="s">
        <v>701</v>
      </c>
      <c r="B655" t="s">
        <v>51</v>
      </c>
      <c r="C655" t="s">
        <v>44</v>
      </c>
      <c r="D655" t="s">
        <v>18</v>
      </c>
      <c r="E655" s="1">
        <v>45160</v>
      </c>
      <c r="F655" s="1">
        <v>45162</v>
      </c>
      <c r="G655" s="2">
        <v>31.7</v>
      </c>
      <c r="H655" s="2">
        <v>163.47999999999999</v>
      </c>
      <c r="I655" t="s">
        <v>15</v>
      </c>
      <c r="J655" s="2">
        <v>790</v>
      </c>
      <c r="K655" s="2">
        <v>2</v>
      </c>
    </row>
    <row r="656" spans="1:11" x14ac:dyDescent="0.25">
      <c r="A656" t="s">
        <v>702</v>
      </c>
      <c r="B656" t="s">
        <v>23</v>
      </c>
      <c r="C656" t="s">
        <v>57</v>
      </c>
      <c r="D656" t="s">
        <v>25</v>
      </c>
      <c r="E656" s="1">
        <v>45203</v>
      </c>
      <c r="F656" s="1">
        <v>45207</v>
      </c>
      <c r="G656" s="2">
        <v>15.7</v>
      </c>
      <c r="H656" s="2">
        <v>191.45</v>
      </c>
      <c r="I656" t="s">
        <v>15</v>
      </c>
      <c r="J656" s="2">
        <v>1457</v>
      </c>
      <c r="K656" s="2">
        <v>4</v>
      </c>
    </row>
    <row r="657" spans="1:11" x14ac:dyDescent="0.25">
      <c r="A657" t="s">
        <v>703</v>
      </c>
      <c r="B657" t="s">
        <v>39</v>
      </c>
      <c r="C657" t="s">
        <v>54</v>
      </c>
      <c r="D657" t="s">
        <v>14</v>
      </c>
      <c r="E657" s="1">
        <v>44933</v>
      </c>
      <c r="F657" s="1">
        <v>44938</v>
      </c>
      <c r="G657" s="2">
        <v>6.6</v>
      </c>
      <c r="H657" s="2">
        <v>261.19</v>
      </c>
      <c r="I657" t="s">
        <v>15</v>
      </c>
      <c r="J657" s="2">
        <v>1832</v>
      </c>
      <c r="K657" s="2">
        <v>5</v>
      </c>
    </row>
    <row r="658" spans="1:11" x14ac:dyDescent="0.25">
      <c r="A658" t="s">
        <v>704</v>
      </c>
      <c r="B658" t="s">
        <v>27</v>
      </c>
      <c r="C658" t="s">
        <v>70</v>
      </c>
      <c r="D658" t="s">
        <v>42</v>
      </c>
      <c r="E658" s="1">
        <v>45132</v>
      </c>
      <c r="F658" s="1">
        <v>45135</v>
      </c>
      <c r="G658" s="2">
        <v>53.1</v>
      </c>
      <c r="H658" s="2">
        <v>197.62</v>
      </c>
      <c r="I658" t="s">
        <v>15</v>
      </c>
      <c r="J658" s="2">
        <v>1208</v>
      </c>
      <c r="K658" s="2">
        <v>3</v>
      </c>
    </row>
    <row r="659" spans="1:11" x14ac:dyDescent="0.25">
      <c r="A659" t="s">
        <v>705</v>
      </c>
      <c r="B659" t="s">
        <v>27</v>
      </c>
      <c r="C659" t="s">
        <v>81</v>
      </c>
      <c r="D659" t="s">
        <v>42</v>
      </c>
      <c r="E659" s="1">
        <v>45276</v>
      </c>
      <c r="F659" s="1">
        <v>45277</v>
      </c>
      <c r="G659" s="2">
        <v>32.299999999999997</v>
      </c>
      <c r="H659" s="2">
        <v>115.94</v>
      </c>
      <c r="I659" t="s">
        <v>15</v>
      </c>
      <c r="J659" s="2">
        <v>531</v>
      </c>
      <c r="K659" s="2">
        <v>1</v>
      </c>
    </row>
    <row r="660" spans="1:11" x14ac:dyDescent="0.25">
      <c r="A660" t="s">
        <v>706</v>
      </c>
      <c r="B660" t="s">
        <v>20</v>
      </c>
      <c r="C660" t="s">
        <v>28</v>
      </c>
      <c r="D660" t="s">
        <v>37</v>
      </c>
      <c r="E660" s="1">
        <v>45283</v>
      </c>
      <c r="F660" s="1">
        <v>45290</v>
      </c>
      <c r="G660" s="2">
        <v>67.3</v>
      </c>
      <c r="H660" s="2">
        <v>275.70999999999998</v>
      </c>
      <c r="I660" t="s">
        <v>15</v>
      </c>
      <c r="J660" s="2">
        <v>1435</v>
      </c>
      <c r="K660" s="2">
        <v>7</v>
      </c>
    </row>
    <row r="661" spans="1:11" x14ac:dyDescent="0.25">
      <c r="A661" t="s">
        <v>707</v>
      </c>
      <c r="B661" t="s">
        <v>27</v>
      </c>
      <c r="C661" t="s">
        <v>36</v>
      </c>
      <c r="D661" t="s">
        <v>14</v>
      </c>
      <c r="E661" s="1">
        <v>45186</v>
      </c>
      <c r="F661" s="1">
        <v>45191</v>
      </c>
      <c r="G661" s="2">
        <v>11.7</v>
      </c>
      <c r="H661" s="2">
        <v>241.13</v>
      </c>
      <c r="I661" t="s">
        <v>15</v>
      </c>
      <c r="J661" s="2">
        <v>1803</v>
      </c>
      <c r="K661" s="2">
        <v>5</v>
      </c>
    </row>
    <row r="662" spans="1:11" x14ac:dyDescent="0.25">
      <c r="A662" t="s">
        <v>708</v>
      </c>
      <c r="B662" t="s">
        <v>49</v>
      </c>
      <c r="C662" t="s">
        <v>70</v>
      </c>
      <c r="D662" t="s">
        <v>37</v>
      </c>
      <c r="E662" s="1">
        <v>45155</v>
      </c>
      <c r="F662" s="1">
        <v>45160</v>
      </c>
      <c r="G662" s="2">
        <v>6.3</v>
      </c>
      <c r="H662" s="2">
        <v>315.26</v>
      </c>
      <c r="I662" t="s">
        <v>15</v>
      </c>
      <c r="J662" s="2">
        <v>2363</v>
      </c>
      <c r="K662" s="2">
        <v>5</v>
      </c>
    </row>
    <row r="663" spans="1:11" x14ac:dyDescent="0.25">
      <c r="A663" t="s">
        <v>709</v>
      </c>
      <c r="B663" t="s">
        <v>30</v>
      </c>
      <c r="C663" t="s">
        <v>44</v>
      </c>
      <c r="D663" t="s">
        <v>37</v>
      </c>
      <c r="E663" s="1">
        <v>45204</v>
      </c>
      <c r="F663" s="1">
        <v>45207</v>
      </c>
      <c r="G663" s="2">
        <v>57.7</v>
      </c>
      <c r="H663" s="2">
        <v>243.19</v>
      </c>
      <c r="I663" t="s">
        <v>15</v>
      </c>
      <c r="J663" s="2">
        <v>1274</v>
      </c>
      <c r="K663" s="2">
        <v>3</v>
      </c>
    </row>
    <row r="664" spans="1:11" x14ac:dyDescent="0.25">
      <c r="A664" t="s">
        <v>710</v>
      </c>
      <c r="B664" t="s">
        <v>35</v>
      </c>
      <c r="C664" t="s">
        <v>31</v>
      </c>
      <c r="D664" t="s">
        <v>25</v>
      </c>
      <c r="E664" s="1">
        <v>44966</v>
      </c>
      <c r="F664" s="1">
        <v>44971</v>
      </c>
      <c r="G664" s="2">
        <v>5.9</v>
      </c>
      <c r="H664" s="2">
        <v>199.78</v>
      </c>
      <c r="I664" t="s">
        <v>15</v>
      </c>
      <c r="J664" s="2">
        <v>1678</v>
      </c>
      <c r="K664" s="2">
        <v>5</v>
      </c>
    </row>
    <row r="665" spans="1:11" x14ac:dyDescent="0.25">
      <c r="A665" t="s">
        <v>711</v>
      </c>
      <c r="B665" t="s">
        <v>35</v>
      </c>
      <c r="C665" t="s">
        <v>24</v>
      </c>
      <c r="D665" t="s">
        <v>18</v>
      </c>
      <c r="E665" s="1">
        <v>45216</v>
      </c>
      <c r="F665" s="1">
        <v>45233</v>
      </c>
      <c r="G665" s="2">
        <v>38</v>
      </c>
      <c r="H665" s="2">
        <v>416.88</v>
      </c>
      <c r="I665" t="s">
        <v>47</v>
      </c>
      <c r="J665" s="2">
        <v>2447</v>
      </c>
      <c r="K665" s="2">
        <v>6</v>
      </c>
    </row>
    <row r="666" spans="1:11" x14ac:dyDescent="0.25">
      <c r="A666" t="s">
        <v>712</v>
      </c>
      <c r="B666" t="s">
        <v>27</v>
      </c>
      <c r="C666" t="s">
        <v>57</v>
      </c>
      <c r="D666" t="s">
        <v>37</v>
      </c>
      <c r="E666" s="1">
        <v>44988</v>
      </c>
      <c r="F666" s="1">
        <v>44993</v>
      </c>
      <c r="G666" s="2">
        <v>9.6999999999999993</v>
      </c>
      <c r="H666" s="2">
        <v>230.69</v>
      </c>
      <c r="I666" t="s">
        <v>15</v>
      </c>
      <c r="J666" s="2">
        <v>1667</v>
      </c>
      <c r="K666" s="2">
        <v>5</v>
      </c>
    </row>
    <row r="667" spans="1:11" x14ac:dyDescent="0.25">
      <c r="A667" t="s">
        <v>713</v>
      </c>
      <c r="B667" t="s">
        <v>20</v>
      </c>
      <c r="C667" t="s">
        <v>28</v>
      </c>
      <c r="D667" t="s">
        <v>37</v>
      </c>
      <c r="E667" s="1">
        <v>45079</v>
      </c>
      <c r="F667" s="1">
        <v>45083</v>
      </c>
      <c r="G667" s="2">
        <v>25</v>
      </c>
      <c r="H667" s="2">
        <v>220.62</v>
      </c>
      <c r="I667" t="s">
        <v>15</v>
      </c>
      <c r="J667" s="2">
        <v>1435</v>
      </c>
      <c r="K667" s="2">
        <v>4</v>
      </c>
    </row>
    <row r="668" spans="1:11" x14ac:dyDescent="0.25">
      <c r="A668" t="s">
        <v>714</v>
      </c>
      <c r="B668" t="s">
        <v>56</v>
      </c>
      <c r="C668" t="s">
        <v>21</v>
      </c>
      <c r="D668" t="s">
        <v>25</v>
      </c>
      <c r="E668" s="1">
        <v>44933</v>
      </c>
      <c r="F668" s="1">
        <v>44938</v>
      </c>
      <c r="G668" s="2">
        <v>9.6999999999999993</v>
      </c>
      <c r="H668" s="2">
        <v>260.86</v>
      </c>
      <c r="I668" t="s">
        <v>15</v>
      </c>
      <c r="J668" s="2">
        <v>1937</v>
      </c>
      <c r="K668" s="2">
        <v>5</v>
      </c>
    </row>
    <row r="669" spans="1:11" x14ac:dyDescent="0.25">
      <c r="A669" t="s">
        <v>715</v>
      </c>
      <c r="B669" t="s">
        <v>30</v>
      </c>
      <c r="C669" t="s">
        <v>28</v>
      </c>
      <c r="D669" t="s">
        <v>14</v>
      </c>
      <c r="E669" s="1">
        <v>45013</v>
      </c>
      <c r="F669" s="1">
        <v>45016</v>
      </c>
      <c r="G669" s="2">
        <v>5.6</v>
      </c>
      <c r="H669" s="2">
        <v>94.63</v>
      </c>
      <c r="I669" t="s">
        <v>67</v>
      </c>
      <c r="J669" s="2">
        <v>659</v>
      </c>
      <c r="K669" s="2">
        <v>3</v>
      </c>
    </row>
    <row r="670" spans="1:11" x14ac:dyDescent="0.25">
      <c r="A670" t="s">
        <v>716</v>
      </c>
      <c r="B670" t="s">
        <v>49</v>
      </c>
      <c r="C670" t="s">
        <v>54</v>
      </c>
      <c r="D670" t="s">
        <v>14</v>
      </c>
      <c r="E670" s="1">
        <v>44988</v>
      </c>
      <c r="F670" s="1">
        <v>44993</v>
      </c>
      <c r="G670" s="2">
        <v>18.100000000000001</v>
      </c>
      <c r="H670" s="2">
        <v>102.98</v>
      </c>
      <c r="I670" t="s">
        <v>15</v>
      </c>
      <c r="J670" s="2">
        <v>663</v>
      </c>
      <c r="K670" s="2">
        <v>5</v>
      </c>
    </row>
    <row r="671" spans="1:11" x14ac:dyDescent="0.25">
      <c r="A671" t="s">
        <v>717</v>
      </c>
      <c r="B671" t="s">
        <v>20</v>
      </c>
      <c r="C671" t="s">
        <v>28</v>
      </c>
      <c r="D671" t="s">
        <v>42</v>
      </c>
      <c r="E671" s="1">
        <v>45246</v>
      </c>
      <c r="F671" s="1">
        <v>45251</v>
      </c>
      <c r="G671" s="2">
        <v>39</v>
      </c>
      <c r="H671" s="2">
        <v>280.22000000000003</v>
      </c>
      <c r="I671" t="s">
        <v>15</v>
      </c>
      <c r="J671" s="2">
        <v>1435</v>
      </c>
      <c r="K671" s="2">
        <v>5</v>
      </c>
    </row>
    <row r="672" spans="1:11" x14ac:dyDescent="0.25">
      <c r="A672" t="s">
        <v>718</v>
      </c>
      <c r="B672" t="s">
        <v>23</v>
      </c>
      <c r="C672" t="s">
        <v>31</v>
      </c>
      <c r="D672" t="s">
        <v>42</v>
      </c>
      <c r="E672" s="1">
        <v>45005</v>
      </c>
      <c r="F672" s="1">
        <v>45013</v>
      </c>
      <c r="G672" s="2">
        <v>28.1</v>
      </c>
      <c r="H672" s="2">
        <v>192.15</v>
      </c>
      <c r="I672" t="s">
        <v>15</v>
      </c>
      <c r="J672" s="2">
        <v>1431</v>
      </c>
      <c r="K672" s="2">
        <v>8</v>
      </c>
    </row>
    <row r="673" spans="1:11" x14ac:dyDescent="0.25">
      <c r="A673" t="s">
        <v>719</v>
      </c>
      <c r="B673" t="s">
        <v>12</v>
      </c>
      <c r="C673" t="s">
        <v>57</v>
      </c>
      <c r="D673" t="s">
        <v>18</v>
      </c>
      <c r="E673" s="1">
        <v>45219</v>
      </c>
      <c r="F673" s="1">
        <v>45233</v>
      </c>
      <c r="G673" s="2">
        <v>22.8</v>
      </c>
      <c r="H673" s="2">
        <v>362.33</v>
      </c>
      <c r="I673" t="s">
        <v>47</v>
      </c>
      <c r="J673" s="2">
        <v>2452</v>
      </c>
      <c r="K673" s="2">
        <v>5</v>
      </c>
    </row>
    <row r="674" spans="1:11" x14ac:dyDescent="0.25">
      <c r="A674" t="s">
        <v>720</v>
      </c>
      <c r="B674" t="s">
        <v>39</v>
      </c>
      <c r="C674" t="s">
        <v>40</v>
      </c>
      <c r="D674" t="s">
        <v>42</v>
      </c>
      <c r="E674" s="1">
        <v>45116</v>
      </c>
      <c r="F674" s="1">
        <v>45130</v>
      </c>
      <c r="G674" s="2">
        <v>25.5</v>
      </c>
      <c r="H674" s="2">
        <v>298.33</v>
      </c>
      <c r="I674" t="s">
        <v>47</v>
      </c>
      <c r="J674" s="2">
        <v>2427</v>
      </c>
      <c r="K674" s="2">
        <v>6</v>
      </c>
    </row>
    <row r="675" spans="1:11" x14ac:dyDescent="0.25">
      <c r="A675" t="s">
        <v>721</v>
      </c>
      <c r="B675" t="s">
        <v>51</v>
      </c>
      <c r="C675" t="s">
        <v>24</v>
      </c>
      <c r="D675" t="s">
        <v>42</v>
      </c>
      <c r="E675" s="1">
        <v>45089</v>
      </c>
      <c r="F675" s="1">
        <v>45094</v>
      </c>
      <c r="G675" s="2">
        <v>13.9</v>
      </c>
      <c r="H675" s="2">
        <v>131.13</v>
      </c>
      <c r="I675" t="s">
        <v>15</v>
      </c>
      <c r="J675" s="2">
        <v>872</v>
      </c>
      <c r="K675" s="2">
        <v>5</v>
      </c>
    </row>
    <row r="676" spans="1:11" x14ac:dyDescent="0.25">
      <c r="A676" t="s">
        <v>722</v>
      </c>
      <c r="B676" t="s">
        <v>30</v>
      </c>
      <c r="C676" t="s">
        <v>21</v>
      </c>
      <c r="D676" t="s">
        <v>18</v>
      </c>
      <c r="E676" s="1">
        <v>45031</v>
      </c>
      <c r="F676" s="1">
        <v>45037</v>
      </c>
      <c r="G676" s="2">
        <v>7.7</v>
      </c>
      <c r="H676" s="2">
        <v>234.65</v>
      </c>
      <c r="I676" t="s">
        <v>15</v>
      </c>
      <c r="J676" s="2">
        <v>1747</v>
      </c>
      <c r="K676" s="2">
        <v>6</v>
      </c>
    </row>
    <row r="677" spans="1:11" x14ac:dyDescent="0.25">
      <c r="A677" t="s">
        <v>723</v>
      </c>
      <c r="B677" t="s">
        <v>20</v>
      </c>
      <c r="C677" t="s">
        <v>21</v>
      </c>
      <c r="D677" t="s">
        <v>42</v>
      </c>
      <c r="E677" s="1">
        <v>45041</v>
      </c>
      <c r="F677" s="1">
        <v>45045</v>
      </c>
      <c r="G677" s="2">
        <v>37.799999999999997</v>
      </c>
      <c r="H677" s="2">
        <v>199.44</v>
      </c>
      <c r="I677" t="s">
        <v>15</v>
      </c>
      <c r="J677" s="2">
        <v>1314</v>
      </c>
      <c r="K677" s="2">
        <v>4</v>
      </c>
    </row>
    <row r="678" spans="1:11" x14ac:dyDescent="0.25">
      <c r="A678" t="s">
        <v>724</v>
      </c>
      <c r="B678" t="s">
        <v>12</v>
      </c>
      <c r="C678" t="s">
        <v>70</v>
      </c>
      <c r="D678" t="s">
        <v>18</v>
      </c>
      <c r="E678" s="1">
        <v>45226</v>
      </c>
      <c r="F678" s="1">
        <v>45231</v>
      </c>
      <c r="G678" s="2">
        <v>43.7</v>
      </c>
      <c r="H678" s="2">
        <v>401.12</v>
      </c>
      <c r="I678" t="s">
        <v>15</v>
      </c>
      <c r="J678" s="2">
        <v>2460</v>
      </c>
      <c r="K678" s="2">
        <v>5</v>
      </c>
    </row>
    <row r="679" spans="1:11" x14ac:dyDescent="0.25">
      <c r="A679" t="s">
        <v>725</v>
      </c>
      <c r="B679" t="s">
        <v>12</v>
      </c>
      <c r="C679" t="s">
        <v>31</v>
      </c>
      <c r="D679" t="s">
        <v>25</v>
      </c>
      <c r="E679" s="1">
        <v>45177</v>
      </c>
      <c r="F679" s="1">
        <v>45182</v>
      </c>
      <c r="G679" s="2">
        <v>20.6</v>
      </c>
      <c r="H679" s="2">
        <v>259.44</v>
      </c>
      <c r="I679" t="s">
        <v>15</v>
      </c>
      <c r="J679" s="2">
        <v>2189</v>
      </c>
      <c r="K679" s="2">
        <v>5</v>
      </c>
    </row>
    <row r="680" spans="1:11" x14ac:dyDescent="0.25">
      <c r="A680" t="s">
        <v>726</v>
      </c>
      <c r="B680" t="s">
        <v>49</v>
      </c>
      <c r="C680" t="s">
        <v>81</v>
      </c>
      <c r="D680" t="s">
        <v>32</v>
      </c>
      <c r="E680" s="1">
        <v>45201</v>
      </c>
      <c r="F680" s="1">
        <v>45207</v>
      </c>
      <c r="G680" s="2">
        <v>14</v>
      </c>
      <c r="H680" s="2">
        <v>295.69</v>
      </c>
      <c r="I680" t="s">
        <v>15</v>
      </c>
      <c r="J680" s="2">
        <v>2105</v>
      </c>
      <c r="K680" s="2">
        <v>6</v>
      </c>
    </row>
    <row r="681" spans="1:11" x14ac:dyDescent="0.25">
      <c r="A681" t="s">
        <v>727</v>
      </c>
      <c r="B681" t="s">
        <v>23</v>
      </c>
      <c r="C681" t="s">
        <v>54</v>
      </c>
      <c r="D681" t="s">
        <v>32</v>
      </c>
      <c r="E681" s="1">
        <v>44988</v>
      </c>
      <c r="F681" s="1">
        <v>44994</v>
      </c>
      <c r="G681" s="2">
        <v>6.5</v>
      </c>
      <c r="H681" s="2">
        <v>297.79000000000002</v>
      </c>
      <c r="I681" t="s">
        <v>15</v>
      </c>
      <c r="J681" s="2">
        <v>2185</v>
      </c>
      <c r="K681" s="2">
        <v>6</v>
      </c>
    </row>
    <row r="682" spans="1:11" x14ac:dyDescent="0.25">
      <c r="A682" t="s">
        <v>728</v>
      </c>
      <c r="B682" t="s">
        <v>30</v>
      </c>
      <c r="C682" t="s">
        <v>21</v>
      </c>
      <c r="D682" t="s">
        <v>32</v>
      </c>
      <c r="E682" s="1">
        <v>45153</v>
      </c>
      <c r="F682" s="1">
        <v>45158</v>
      </c>
      <c r="G682" s="2">
        <v>122.7</v>
      </c>
      <c r="H682" s="2">
        <v>432.92</v>
      </c>
      <c r="I682" t="s">
        <v>15</v>
      </c>
      <c r="J682" s="2">
        <v>1984</v>
      </c>
      <c r="K682" s="2">
        <v>5</v>
      </c>
    </row>
    <row r="683" spans="1:11" x14ac:dyDescent="0.25">
      <c r="A683" t="s">
        <v>729</v>
      </c>
      <c r="B683" t="s">
        <v>23</v>
      </c>
      <c r="C683" t="s">
        <v>52</v>
      </c>
      <c r="D683" t="s">
        <v>25</v>
      </c>
      <c r="E683" s="1">
        <v>45218</v>
      </c>
      <c r="F683" s="1">
        <v>45221</v>
      </c>
      <c r="G683" s="2">
        <v>13.6</v>
      </c>
      <c r="H683" s="2">
        <v>141.30000000000001</v>
      </c>
      <c r="I683" t="s">
        <v>15</v>
      </c>
      <c r="J683" s="2">
        <v>1123</v>
      </c>
      <c r="K683" s="2">
        <v>3</v>
      </c>
    </row>
    <row r="684" spans="1:11" x14ac:dyDescent="0.25">
      <c r="A684" t="s">
        <v>730</v>
      </c>
      <c r="B684" t="s">
        <v>30</v>
      </c>
      <c r="C684" t="s">
        <v>13</v>
      </c>
      <c r="D684" t="s">
        <v>25</v>
      </c>
      <c r="E684" s="1">
        <v>45050</v>
      </c>
      <c r="F684" s="1">
        <v>45052</v>
      </c>
      <c r="G684" s="2">
        <v>35.9</v>
      </c>
      <c r="H684" s="2">
        <v>89.84</v>
      </c>
      <c r="I684" t="s">
        <v>15</v>
      </c>
      <c r="J684" s="2">
        <v>348</v>
      </c>
      <c r="K684" s="2">
        <v>2</v>
      </c>
    </row>
    <row r="685" spans="1:11" x14ac:dyDescent="0.25">
      <c r="A685" t="s">
        <v>731</v>
      </c>
      <c r="B685" t="s">
        <v>20</v>
      </c>
      <c r="C685" t="s">
        <v>28</v>
      </c>
      <c r="D685" t="s">
        <v>37</v>
      </c>
      <c r="E685" s="1">
        <v>44928</v>
      </c>
      <c r="F685" s="1">
        <v>44931</v>
      </c>
      <c r="G685" s="2">
        <v>52.3</v>
      </c>
      <c r="H685" s="2">
        <v>222.33</v>
      </c>
      <c r="I685" t="s">
        <v>15</v>
      </c>
      <c r="J685" s="2">
        <v>1435</v>
      </c>
      <c r="K685" s="2">
        <v>3</v>
      </c>
    </row>
    <row r="686" spans="1:11" x14ac:dyDescent="0.25">
      <c r="A686" t="s">
        <v>732</v>
      </c>
      <c r="B686" t="s">
        <v>39</v>
      </c>
      <c r="C686" t="s">
        <v>40</v>
      </c>
      <c r="D686" t="s">
        <v>18</v>
      </c>
      <c r="E686" s="1">
        <v>44985</v>
      </c>
      <c r="F686" s="1">
        <v>44986</v>
      </c>
      <c r="G686" s="2">
        <v>14.6</v>
      </c>
      <c r="H686" s="2">
        <v>58.01</v>
      </c>
      <c r="I686" t="s">
        <v>15</v>
      </c>
      <c r="J686" s="2">
        <v>265</v>
      </c>
      <c r="K686" s="2">
        <v>1</v>
      </c>
    </row>
    <row r="687" spans="1:11" x14ac:dyDescent="0.25">
      <c r="A687" t="s">
        <v>733</v>
      </c>
      <c r="B687" t="s">
        <v>51</v>
      </c>
      <c r="C687" t="s">
        <v>17</v>
      </c>
      <c r="D687" t="s">
        <v>32</v>
      </c>
      <c r="E687" s="1">
        <v>44999</v>
      </c>
      <c r="F687" s="1">
        <v>45002</v>
      </c>
      <c r="G687" s="2">
        <v>36.799999999999997</v>
      </c>
      <c r="H687" s="2">
        <v>166.16</v>
      </c>
      <c r="I687" t="s">
        <v>15</v>
      </c>
      <c r="J687" s="2">
        <v>870</v>
      </c>
      <c r="K687" s="2">
        <v>3</v>
      </c>
    </row>
    <row r="688" spans="1:11" x14ac:dyDescent="0.25">
      <c r="A688" t="s">
        <v>734</v>
      </c>
      <c r="B688" t="s">
        <v>23</v>
      </c>
      <c r="C688" t="s">
        <v>36</v>
      </c>
      <c r="D688" t="s">
        <v>42</v>
      </c>
      <c r="E688" s="1">
        <v>45255</v>
      </c>
      <c r="F688" s="1">
        <v>45261</v>
      </c>
      <c r="G688" s="2">
        <v>25.8</v>
      </c>
      <c r="H688" s="2">
        <v>319.08999999999997</v>
      </c>
      <c r="I688" t="s">
        <v>60</v>
      </c>
      <c r="J688" s="2">
        <v>2008</v>
      </c>
      <c r="K688" s="2">
        <v>6</v>
      </c>
    </row>
    <row r="689" spans="1:11" x14ac:dyDescent="0.25">
      <c r="A689" t="s">
        <v>735</v>
      </c>
      <c r="B689" t="s">
        <v>20</v>
      </c>
      <c r="C689" t="s">
        <v>44</v>
      </c>
      <c r="D689" t="s">
        <v>59</v>
      </c>
      <c r="E689" s="1">
        <v>45096</v>
      </c>
      <c r="F689" s="1">
        <v>45099</v>
      </c>
      <c r="G689" s="2">
        <v>17.5</v>
      </c>
      <c r="H689" s="2">
        <v>165.72</v>
      </c>
      <c r="I689" t="s">
        <v>15</v>
      </c>
      <c r="J689" s="2">
        <v>1305</v>
      </c>
      <c r="K689" s="2">
        <v>3</v>
      </c>
    </row>
    <row r="690" spans="1:11" x14ac:dyDescent="0.25">
      <c r="A690" t="s">
        <v>736</v>
      </c>
      <c r="B690" t="s">
        <v>27</v>
      </c>
      <c r="C690" t="s">
        <v>36</v>
      </c>
      <c r="D690" t="s">
        <v>25</v>
      </c>
      <c r="E690" s="1">
        <v>45225</v>
      </c>
      <c r="F690" s="1">
        <v>45229</v>
      </c>
      <c r="G690" s="2">
        <v>50.1</v>
      </c>
      <c r="H690" s="2">
        <v>282.69</v>
      </c>
      <c r="I690" t="s">
        <v>15</v>
      </c>
      <c r="J690" s="2">
        <v>1646</v>
      </c>
      <c r="K690" s="2">
        <v>4</v>
      </c>
    </row>
    <row r="691" spans="1:11" x14ac:dyDescent="0.25">
      <c r="A691" t="s">
        <v>737</v>
      </c>
      <c r="B691" t="s">
        <v>35</v>
      </c>
      <c r="C691" t="s">
        <v>17</v>
      </c>
      <c r="D691" t="s">
        <v>42</v>
      </c>
      <c r="E691" s="1">
        <v>45001</v>
      </c>
      <c r="F691" s="1">
        <v>45006</v>
      </c>
      <c r="G691" s="2">
        <v>54</v>
      </c>
      <c r="H691" s="2">
        <v>326.08</v>
      </c>
      <c r="I691" t="s">
        <v>15</v>
      </c>
      <c r="J691" s="2">
        <v>2448</v>
      </c>
      <c r="K691" s="2">
        <v>5</v>
      </c>
    </row>
    <row r="692" spans="1:11" x14ac:dyDescent="0.25">
      <c r="A692" t="s">
        <v>738</v>
      </c>
      <c r="B692" t="s">
        <v>23</v>
      </c>
      <c r="C692" t="s">
        <v>28</v>
      </c>
      <c r="D692" t="s">
        <v>18</v>
      </c>
      <c r="E692" s="1">
        <v>44940</v>
      </c>
      <c r="F692" s="1">
        <v>44944</v>
      </c>
      <c r="G692" s="2">
        <v>9.6</v>
      </c>
      <c r="H692" s="2">
        <v>243.91</v>
      </c>
      <c r="I692" t="s">
        <v>15</v>
      </c>
      <c r="J692" s="2">
        <v>1854</v>
      </c>
      <c r="K692" s="2">
        <v>4</v>
      </c>
    </row>
    <row r="693" spans="1:11" x14ac:dyDescent="0.25">
      <c r="A693" t="s">
        <v>739</v>
      </c>
      <c r="B693" t="s">
        <v>23</v>
      </c>
      <c r="C693" t="s">
        <v>57</v>
      </c>
      <c r="D693" t="s">
        <v>37</v>
      </c>
      <c r="E693" s="1">
        <v>45084</v>
      </c>
      <c r="F693" s="1">
        <v>45087</v>
      </c>
      <c r="G693" s="2">
        <v>14.5</v>
      </c>
      <c r="H693" s="2">
        <v>174.22</v>
      </c>
      <c r="I693" t="s">
        <v>15</v>
      </c>
      <c r="J693" s="2">
        <v>1208</v>
      </c>
      <c r="K693" s="2">
        <v>3</v>
      </c>
    </row>
    <row r="694" spans="1:11" x14ac:dyDescent="0.25">
      <c r="A694" t="s">
        <v>740</v>
      </c>
      <c r="B694" t="s">
        <v>12</v>
      </c>
      <c r="C694" t="s">
        <v>28</v>
      </c>
      <c r="D694" t="s">
        <v>59</v>
      </c>
      <c r="E694" s="1">
        <v>44941</v>
      </c>
      <c r="F694" s="1">
        <v>44945</v>
      </c>
      <c r="G694" s="2">
        <v>14.5</v>
      </c>
      <c r="H694" s="2">
        <v>230.05</v>
      </c>
      <c r="I694" t="s">
        <v>15</v>
      </c>
      <c r="J694" s="2">
        <v>1753</v>
      </c>
      <c r="K694" s="2">
        <v>4</v>
      </c>
    </row>
    <row r="695" spans="1:11" x14ac:dyDescent="0.25">
      <c r="A695" t="s">
        <v>741</v>
      </c>
      <c r="B695" t="s">
        <v>12</v>
      </c>
      <c r="C695" t="s">
        <v>44</v>
      </c>
      <c r="D695" t="s">
        <v>59</v>
      </c>
      <c r="E695" s="1">
        <v>45002</v>
      </c>
      <c r="F695" s="1">
        <v>45019</v>
      </c>
      <c r="G695" s="2">
        <v>3.1</v>
      </c>
      <c r="H695" s="2">
        <v>124.09</v>
      </c>
      <c r="I695" t="s">
        <v>47</v>
      </c>
      <c r="J695" s="2">
        <v>1098</v>
      </c>
      <c r="K695" s="2">
        <v>6</v>
      </c>
    </row>
    <row r="696" spans="1:11" x14ac:dyDescent="0.25">
      <c r="A696" t="s">
        <v>742</v>
      </c>
      <c r="B696" t="s">
        <v>56</v>
      </c>
      <c r="C696" t="s">
        <v>81</v>
      </c>
      <c r="D696" t="s">
        <v>32</v>
      </c>
      <c r="E696" s="1">
        <v>44973</v>
      </c>
      <c r="F696" s="1">
        <v>44978</v>
      </c>
      <c r="G696" s="2">
        <v>108.4</v>
      </c>
      <c r="H696" s="2">
        <v>397.96</v>
      </c>
      <c r="I696" t="s">
        <v>15</v>
      </c>
      <c r="J696" s="2">
        <v>1964</v>
      </c>
      <c r="K696" s="2">
        <v>5</v>
      </c>
    </row>
    <row r="697" spans="1:11" x14ac:dyDescent="0.25">
      <c r="A697" t="s">
        <v>743</v>
      </c>
      <c r="B697" t="s">
        <v>56</v>
      </c>
      <c r="C697" t="s">
        <v>21</v>
      </c>
      <c r="D697" t="s">
        <v>37</v>
      </c>
      <c r="E697" s="1">
        <v>45092</v>
      </c>
      <c r="F697" s="1">
        <v>45097</v>
      </c>
      <c r="G697" s="2">
        <v>26.6</v>
      </c>
      <c r="H697" s="2">
        <v>231.19</v>
      </c>
      <c r="I697" t="s">
        <v>15</v>
      </c>
      <c r="J697" s="2">
        <v>1615</v>
      </c>
      <c r="K697" s="2">
        <v>5</v>
      </c>
    </row>
    <row r="698" spans="1:11" x14ac:dyDescent="0.25">
      <c r="A698" t="s">
        <v>744</v>
      </c>
      <c r="B698" t="s">
        <v>51</v>
      </c>
      <c r="C698" t="s">
        <v>17</v>
      </c>
      <c r="D698" t="s">
        <v>32</v>
      </c>
      <c r="E698" s="1">
        <v>45249</v>
      </c>
      <c r="F698" s="1">
        <v>45252</v>
      </c>
      <c r="G698" s="2">
        <v>7.2</v>
      </c>
      <c r="H698" s="2">
        <v>158.85</v>
      </c>
      <c r="I698" t="s">
        <v>15</v>
      </c>
      <c r="J698" s="2">
        <v>870</v>
      </c>
      <c r="K698" s="2">
        <v>3</v>
      </c>
    </row>
    <row r="699" spans="1:11" x14ac:dyDescent="0.25">
      <c r="A699" t="s">
        <v>745</v>
      </c>
      <c r="B699" t="s">
        <v>27</v>
      </c>
      <c r="C699" t="s">
        <v>40</v>
      </c>
      <c r="D699" t="s">
        <v>18</v>
      </c>
      <c r="E699" s="1">
        <v>45016</v>
      </c>
      <c r="F699" s="1">
        <v>45017</v>
      </c>
      <c r="G699" s="2">
        <v>17.100000000000001</v>
      </c>
      <c r="H699" s="2">
        <v>34.450000000000003</v>
      </c>
      <c r="I699" t="s">
        <v>15</v>
      </c>
      <c r="J699" s="2">
        <v>105</v>
      </c>
      <c r="K699" s="2">
        <v>1</v>
      </c>
    </row>
    <row r="700" spans="1:11" x14ac:dyDescent="0.25">
      <c r="A700" t="s">
        <v>746</v>
      </c>
      <c r="B700" t="s">
        <v>27</v>
      </c>
      <c r="C700" t="s">
        <v>17</v>
      </c>
      <c r="D700" t="s">
        <v>14</v>
      </c>
      <c r="E700" s="1">
        <v>44944</v>
      </c>
      <c r="F700" s="1">
        <v>44946</v>
      </c>
      <c r="G700" s="2">
        <v>21.9</v>
      </c>
      <c r="H700" s="2">
        <v>83.7</v>
      </c>
      <c r="I700" t="s">
        <v>15</v>
      </c>
      <c r="J700" s="2">
        <v>472</v>
      </c>
      <c r="K700" s="2">
        <v>2</v>
      </c>
    </row>
    <row r="701" spans="1:11" x14ac:dyDescent="0.25">
      <c r="A701" t="s">
        <v>747</v>
      </c>
      <c r="B701" t="s">
        <v>39</v>
      </c>
      <c r="C701" t="s">
        <v>28</v>
      </c>
      <c r="D701" t="s">
        <v>14</v>
      </c>
      <c r="E701" s="1">
        <v>44985</v>
      </c>
      <c r="F701" s="1">
        <v>44990</v>
      </c>
      <c r="G701" s="2">
        <v>78.2</v>
      </c>
      <c r="H701" s="2">
        <v>195.05</v>
      </c>
      <c r="I701" t="s">
        <v>47</v>
      </c>
      <c r="J701" s="2">
        <v>860</v>
      </c>
      <c r="K701" s="2">
        <v>3</v>
      </c>
    </row>
    <row r="702" spans="1:11" x14ac:dyDescent="0.25">
      <c r="A702" t="s">
        <v>748</v>
      </c>
      <c r="B702" t="s">
        <v>30</v>
      </c>
      <c r="C702" t="s">
        <v>24</v>
      </c>
      <c r="D702" t="s">
        <v>42</v>
      </c>
      <c r="E702" s="1">
        <v>44930</v>
      </c>
      <c r="F702" s="1">
        <v>44933</v>
      </c>
      <c r="G702" s="2">
        <v>14.5</v>
      </c>
      <c r="H702" s="2">
        <v>83.98</v>
      </c>
      <c r="I702" t="s">
        <v>15</v>
      </c>
      <c r="J702" s="2">
        <v>530</v>
      </c>
      <c r="K702" s="2">
        <v>3</v>
      </c>
    </row>
    <row r="703" spans="1:11" x14ac:dyDescent="0.25">
      <c r="A703" t="s">
        <v>749</v>
      </c>
      <c r="B703" t="s">
        <v>49</v>
      </c>
      <c r="C703" t="s">
        <v>24</v>
      </c>
      <c r="D703" t="s">
        <v>14</v>
      </c>
      <c r="E703" s="1">
        <v>45185</v>
      </c>
      <c r="F703" s="1">
        <v>45189</v>
      </c>
      <c r="G703" s="2">
        <v>17.7</v>
      </c>
      <c r="H703" s="2">
        <v>198.87</v>
      </c>
      <c r="I703" t="s">
        <v>15</v>
      </c>
      <c r="J703" s="2">
        <v>1498</v>
      </c>
      <c r="K703" s="2">
        <v>4</v>
      </c>
    </row>
    <row r="704" spans="1:11" x14ac:dyDescent="0.25">
      <c r="A704" t="s">
        <v>750</v>
      </c>
      <c r="B704" t="s">
        <v>35</v>
      </c>
      <c r="C704" t="s">
        <v>36</v>
      </c>
      <c r="D704" t="s">
        <v>25</v>
      </c>
      <c r="E704" s="1">
        <v>44962</v>
      </c>
      <c r="F704" s="1">
        <v>44963</v>
      </c>
      <c r="G704" s="2">
        <v>14.1</v>
      </c>
      <c r="H704" s="2">
        <v>33.49</v>
      </c>
      <c r="I704" t="s">
        <v>15</v>
      </c>
      <c r="J704" s="2">
        <v>154</v>
      </c>
      <c r="K704" s="2">
        <v>1</v>
      </c>
    </row>
    <row r="705" spans="1:11" x14ac:dyDescent="0.25">
      <c r="A705" t="s">
        <v>751</v>
      </c>
      <c r="B705" t="s">
        <v>30</v>
      </c>
      <c r="C705" t="s">
        <v>44</v>
      </c>
      <c r="D705" t="s">
        <v>59</v>
      </c>
      <c r="E705" s="1">
        <v>45165</v>
      </c>
      <c r="F705" s="1">
        <v>45166</v>
      </c>
      <c r="G705" s="2">
        <v>6.7</v>
      </c>
      <c r="H705" s="2">
        <v>52</v>
      </c>
      <c r="I705" t="s">
        <v>15</v>
      </c>
      <c r="J705" s="2">
        <v>357</v>
      </c>
      <c r="K705" s="2">
        <v>1</v>
      </c>
    </row>
    <row r="706" spans="1:11" x14ac:dyDescent="0.25">
      <c r="A706" t="s">
        <v>752</v>
      </c>
      <c r="B706" t="s">
        <v>23</v>
      </c>
      <c r="C706" t="s">
        <v>13</v>
      </c>
      <c r="D706" t="s">
        <v>32</v>
      </c>
      <c r="E706" s="1">
        <v>45063</v>
      </c>
      <c r="F706" s="1">
        <v>45068</v>
      </c>
      <c r="G706" s="2">
        <v>11.9</v>
      </c>
      <c r="H706" s="2">
        <v>34.31</v>
      </c>
      <c r="I706" t="s">
        <v>15</v>
      </c>
      <c r="J706" s="2">
        <v>2440</v>
      </c>
      <c r="K706" s="2">
        <v>5</v>
      </c>
    </row>
    <row r="707" spans="1:11" x14ac:dyDescent="0.25">
      <c r="A707" t="s">
        <v>753</v>
      </c>
      <c r="B707" t="s">
        <v>51</v>
      </c>
      <c r="C707" t="s">
        <v>36</v>
      </c>
      <c r="D707" t="s">
        <v>14</v>
      </c>
      <c r="E707" s="1">
        <v>45245</v>
      </c>
      <c r="F707" s="1">
        <v>45250</v>
      </c>
      <c r="G707" s="2">
        <v>60.4</v>
      </c>
      <c r="H707" s="2">
        <v>370.75</v>
      </c>
      <c r="I707" t="s">
        <v>15</v>
      </c>
      <c r="J707" s="2">
        <v>1846</v>
      </c>
      <c r="K707" s="2">
        <v>5</v>
      </c>
    </row>
    <row r="708" spans="1:11" x14ac:dyDescent="0.25">
      <c r="A708" t="s">
        <v>754</v>
      </c>
      <c r="B708" t="s">
        <v>51</v>
      </c>
      <c r="C708" t="s">
        <v>40</v>
      </c>
      <c r="D708" t="s">
        <v>59</v>
      </c>
      <c r="E708" s="1">
        <v>45129</v>
      </c>
      <c r="F708" s="1">
        <v>45132</v>
      </c>
      <c r="G708" s="2">
        <v>12.6</v>
      </c>
      <c r="H708" s="2">
        <v>75.73</v>
      </c>
      <c r="I708" t="s">
        <v>15</v>
      </c>
      <c r="J708" s="2">
        <v>497</v>
      </c>
      <c r="K708" s="2">
        <v>3</v>
      </c>
    </row>
    <row r="709" spans="1:11" x14ac:dyDescent="0.25">
      <c r="A709" t="s">
        <v>755</v>
      </c>
      <c r="B709" t="s">
        <v>23</v>
      </c>
      <c r="C709" t="s">
        <v>21</v>
      </c>
      <c r="D709" t="s">
        <v>18</v>
      </c>
      <c r="E709" s="1">
        <v>45044</v>
      </c>
      <c r="F709" s="1">
        <v>45047</v>
      </c>
      <c r="G709" s="2">
        <v>43.8</v>
      </c>
      <c r="H709" s="2">
        <v>143.51</v>
      </c>
      <c r="I709" t="s">
        <v>15</v>
      </c>
      <c r="J709" s="2">
        <v>632</v>
      </c>
      <c r="K709" s="2">
        <v>3</v>
      </c>
    </row>
    <row r="710" spans="1:11" x14ac:dyDescent="0.25">
      <c r="A710" t="s">
        <v>756</v>
      </c>
      <c r="B710" t="s">
        <v>49</v>
      </c>
      <c r="C710" t="s">
        <v>81</v>
      </c>
      <c r="D710" t="s">
        <v>25</v>
      </c>
      <c r="E710" s="1">
        <v>45260</v>
      </c>
      <c r="G710" s="2">
        <v>17</v>
      </c>
      <c r="H710" s="2">
        <v>174.48</v>
      </c>
      <c r="I710" t="s">
        <v>15</v>
      </c>
      <c r="J710" s="2">
        <v>1143</v>
      </c>
      <c r="K710" s="2">
        <v>5</v>
      </c>
    </row>
    <row r="711" spans="1:11" x14ac:dyDescent="0.25">
      <c r="A711" t="s">
        <v>757</v>
      </c>
      <c r="B711" t="s">
        <v>56</v>
      </c>
      <c r="C711" t="s">
        <v>46</v>
      </c>
      <c r="D711" t="s">
        <v>42</v>
      </c>
      <c r="E711" s="1">
        <v>45152</v>
      </c>
      <c r="F711" s="1">
        <v>45156</v>
      </c>
      <c r="G711" s="2">
        <v>27.5</v>
      </c>
      <c r="H711" s="2">
        <v>172.21</v>
      </c>
      <c r="I711" t="s">
        <v>15</v>
      </c>
      <c r="J711" s="2">
        <v>1086</v>
      </c>
      <c r="K711" s="2">
        <v>4</v>
      </c>
    </row>
    <row r="712" spans="1:11" x14ac:dyDescent="0.25">
      <c r="A712" t="s">
        <v>758</v>
      </c>
      <c r="B712" t="s">
        <v>30</v>
      </c>
      <c r="C712" t="s">
        <v>44</v>
      </c>
      <c r="D712" t="s">
        <v>14</v>
      </c>
      <c r="E712" s="1">
        <v>45260</v>
      </c>
      <c r="F712" s="1">
        <v>45262</v>
      </c>
      <c r="G712" s="2">
        <v>30.6</v>
      </c>
      <c r="H712" s="2">
        <v>89.12</v>
      </c>
      <c r="I712" t="s">
        <v>15</v>
      </c>
      <c r="J712" s="2">
        <v>284</v>
      </c>
      <c r="K712" s="2">
        <v>2</v>
      </c>
    </row>
    <row r="713" spans="1:11" x14ac:dyDescent="0.25">
      <c r="A713" t="s">
        <v>759</v>
      </c>
      <c r="B713" t="s">
        <v>51</v>
      </c>
      <c r="C713" t="s">
        <v>70</v>
      </c>
      <c r="D713" t="s">
        <v>42</v>
      </c>
      <c r="E713" s="1">
        <v>45229</v>
      </c>
      <c r="F713" s="1">
        <v>45233</v>
      </c>
      <c r="G713" s="2">
        <v>139.4</v>
      </c>
      <c r="H713" s="2">
        <v>415.94</v>
      </c>
      <c r="I713" t="s">
        <v>15</v>
      </c>
      <c r="J713" s="2">
        <v>1881</v>
      </c>
      <c r="K713" s="2">
        <v>4</v>
      </c>
    </row>
    <row r="714" spans="1:11" x14ac:dyDescent="0.25">
      <c r="A714" t="s">
        <v>760</v>
      </c>
      <c r="B714" t="s">
        <v>20</v>
      </c>
      <c r="C714" t="s">
        <v>40</v>
      </c>
      <c r="D714" t="s">
        <v>59</v>
      </c>
      <c r="E714" s="1">
        <v>45249</v>
      </c>
      <c r="F714" s="1">
        <v>45256</v>
      </c>
      <c r="G714" s="2">
        <v>3.8</v>
      </c>
      <c r="H714" s="2">
        <v>206.23</v>
      </c>
      <c r="I714" t="s">
        <v>15</v>
      </c>
      <c r="J714" s="2">
        <v>1465</v>
      </c>
      <c r="K714" s="2">
        <v>7</v>
      </c>
    </row>
    <row r="715" spans="1:11" x14ac:dyDescent="0.25">
      <c r="A715" t="s">
        <v>761</v>
      </c>
      <c r="B715" t="s">
        <v>49</v>
      </c>
      <c r="C715" t="s">
        <v>81</v>
      </c>
      <c r="D715" t="s">
        <v>14</v>
      </c>
      <c r="E715" s="1">
        <v>44980</v>
      </c>
      <c r="F715" s="1">
        <v>44984</v>
      </c>
      <c r="G715" s="2">
        <v>24.1</v>
      </c>
      <c r="H715" s="2">
        <v>148.09</v>
      </c>
      <c r="I715" t="s">
        <v>15</v>
      </c>
      <c r="J715" s="2">
        <v>1000</v>
      </c>
      <c r="K715" s="2">
        <v>4</v>
      </c>
    </row>
    <row r="716" spans="1:11" x14ac:dyDescent="0.25">
      <c r="A716" t="s">
        <v>762</v>
      </c>
      <c r="B716" t="s">
        <v>39</v>
      </c>
      <c r="C716" t="s">
        <v>31</v>
      </c>
      <c r="D716" t="s">
        <v>42</v>
      </c>
      <c r="E716" s="1">
        <v>44954</v>
      </c>
      <c r="F716" s="1">
        <v>44963</v>
      </c>
      <c r="G716" s="2">
        <v>66.5</v>
      </c>
      <c r="H716" s="2">
        <v>345.16</v>
      </c>
      <c r="I716" t="s">
        <v>47</v>
      </c>
      <c r="J716" s="2">
        <v>2301</v>
      </c>
      <c r="K716" s="2">
        <v>7</v>
      </c>
    </row>
    <row r="717" spans="1:11" x14ac:dyDescent="0.25">
      <c r="A717" t="s">
        <v>763</v>
      </c>
      <c r="B717" t="s">
        <v>20</v>
      </c>
      <c r="C717" t="s">
        <v>57</v>
      </c>
      <c r="D717" t="s">
        <v>42</v>
      </c>
      <c r="E717" s="1">
        <v>44997</v>
      </c>
      <c r="F717" s="1">
        <v>45003</v>
      </c>
      <c r="G717" s="2">
        <v>21.4</v>
      </c>
      <c r="H717" s="2">
        <v>92.29</v>
      </c>
      <c r="I717" t="s">
        <v>15</v>
      </c>
      <c r="J717" s="2">
        <v>623</v>
      </c>
      <c r="K717" s="2">
        <v>6</v>
      </c>
    </row>
    <row r="718" spans="1:11" x14ac:dyDescent="0.25">
      <c r="A718" t="s">
        <v>764</v>
      </c>
      <c r="B718" t="s">
        <v>35</v>
      </c>
      <c r="C718" t="s">
        <v>21</v>
      </c>
      <c r="D718" t="s">
        <v>42</v>
      </c>
      <c r="E718" s="1">
        <v>45169</v>
      </c>
      <c r="F718" s="1">
        <v>45177</v>
      </c>
      <c r="G718" s="2">
        <v>12</v>
      </c>
      <c r="H718" s="2">
        <v>321.79000000000002</v>
      </c>
      <c r="I718" t="s">
        <v>15</v>
      </c>
      <c r="J718" s="2">
        <v>2422</v>
      </c>
      <c r="K718" s="2">
        <v>8</v>
      </c>
    </row>
    <row r="719" spans="1:11" x14ac:dyDescent="0.25">
      <c r="A719" t="s">
        <v>765</v>
      </c>
      <c r="B719" t="s">
        <v>30</v>
      </c>
      <c r="C719" t="s">
        <v>40</v>
      </c>
      <c r="D719" t="s">
        <v>32</v>
      </c>
      <c r="E719" s="1">
        <v>45100</v>
      </c>
      <c r="F719" s="1">
        <v>45105</v>
      </c>
      <c r="G719" s="2">
        <v>19.7</v>
      </c>
      <c r="H719" s="2">
        <v>201.01</v>
      </c>
      <c r="I719" t="s">
        <v>15</v>
      </c>
      <c r="J719" s="2">
        <v>1284</v>
      </c>
      <c r="K719" s="2">
        <v>5</v>
      </c>
    </row>
    <row r="720" spans="1:11" x14ac:dyDescent="0.25">
      <c r="A720" t="s">
        <v>766</v>
      </c>
      <c r="B720" t="s">
        <v>20</v>
      </c>
      <c r="C720" t="s">
        <v>24</v>
      </c>
      <c r="D720" t="s">
        <v>37</v>
      </c>
      <c r="E720" s="1">
        <v>45143</v>
      </c>
      <c r="F720" s="1">
        <v>45113</v>
      </c>
      <c r="G720" s="2">
        <v>35</v>
      </c>
      <c r="I720" t="s">
        <v>15</v>
      </c>
      <c r="J720" s="2">
        <v>1135</v>
      </c>
      <c r="K720" s="2">
        <v>3</v>
      </c>
    </row>
    <row r="721" spans="1:11" x14ac:dyDescent="0.25">
      <c r="A721" t="s">
        <v>767</v>
      </c>
      <c r="B721" t="s">
        <v>56</v>
      </c>
      <c r="C721" t="s">
        <v>44</v>
      </c>
      <c r="D721" t="s">
        <v>18</v>
      </c>
      <c r="E721" s="1">
        <v>45186</v>
      </c>
      <c r="F721" s="1">
        <v>45192</v>
      </c>
      <c r="G721" s="2">
        <v>21.9</v>
      </c>
      <c r="I721" t="s">
        <v>15</v>
      </c>
      <c r="J721" s="2">
        <v>2344</v>
      </c>
      <c r="K721" s="2">
        <v>6</v>
      </c>
    </row>
    <row r="722" spans="1:11" x14ac:dyDescent="0.25">
      <c r="A722" t="s">
        <v>768</v>
      </c>
      <c r="B722" t="s">
        <v>49</v>
      </c>
      <c r="C722" t="s">
        <v>44</v>
      </c>
      <c r="D722" t="s">
        <v>18</v>
      </c>
      <c r="E722" s="1">
        <v>44930</v>
      </c>
      <c r="F722" s="1">
        <v>44936</v>
      </c>
      <c r="G722" s="2">
        <v>19</v>
      </c>
      <c r="H722" s="2">
        <v>117.94</v>
      </c>
      <c r="I722" t="s">
        <v>47</v>
      </c>
      <c r="J722" s="2">
        <v>593</v>
      </c>
      <c r="K722" s="2">
        <v>5</v>
      </c>
    </row>
    <row r="723" spans="1:11" x14ac:dyDescent="0.25">
      <c r="A723" t="s">
        <v>769</v>
      </c>
      <c r="B723" t="s">
        <v>51</v>
      </c>
      <c r="C723" t="s">
        <v>52</v>
      </c>
      <c r="D723" t="s">
        <v>18</v>
      </c>
      <c r="E723" s="1">
        <v>44979</v>
      </c>
      <c r="F723" s="1">
        <v>44984</v>
      </c>
      <c r="G723" s="2">
        <v>66.099999999999994</v>
      </c>
      <c r="H723" s="2">
        <v>181.39</v>
      </c>
      <c r="I723" t="s">
        <v>15</v>
      </c>
      <c r="J723" s="2">
        <v>796</v>
      </c>
      <c r="K723" s="2">
        <v>5</v>
      </c>
    </row>
    <row r="724" spans="1:11" x14ac:dyDescent="0.25">
      <c r="A724" t="s">
        <v>770</v>
      </c>
      <c r="B724" t="s">
        <v>27</v>
      </c>
      <c r="C724" t="s">
        <v>13</v>
      </c>
      <c r="D724" t="s">
        <v>59</v>
      </c>
      <c r="E724" s="1">
        <v>45291</v>
      </c>
      <c r="F724" s="1">
        <v>45296</v>
      </c>
      <c r="G724" s="2">
        <v>23.2</v>
      </c>
      <c r="H724" s="2">
        <v>295.97000000000003</v>
      </c>
      <c r="I724" t="s">
        <v>15</v>
      </c>
      <c r="J724" s="2">
        <v>2164</v>
      </c>
      <c r="K724" s="2">
        <v>5</v>
      </c>
    </row>
    <row r="725" spans="1:11" x14ac:dyDescent="0.25">
      <c r="A725" t="s">
        <v>771</v>
      </c>
      <c r="B725" t="s">
        <v>35</v>
      </c>
      <c r="C725" t="s">
        <v>46</v>
      </c>
      <c r="D725" t="s">
        <v>14</v>
      </c>
      <c r="E725" s="1">
        <v>45203</v>
      </c>
      <c r="F725" s="1">
        <v>45206</v>
      </c>
      <c r="G725" s="2">
        <v>16.2</v>
      </c>
      <c r="H725" s="2">
        <v>157.6</v>
      </c>
      <c r="I725" t="s">
        <v>15</v>
      </c>
      <c r="J725" s="2">
        <v>1217</v>
      </c>
      <c r="K725" s="2">
        <v>3</v>
      </c>
    </row>
    <row r="726" spans="1:11" x14ac:dyDescent="0.25">
      <c r="A726" t="s">
        <v>772</v>
      </c>
      <c r="B726" t="s">
        <v>35</v>
      </c>
      <c r="C726" t="s">
        <v>13</v>
      </c>
      <c r="D726" t="s">
        <v>59</v>
      </c>
      <c r="E726" s="1">
        <v>44934</v>
      </c>
      <c r="F726" s="1">
        <v>44936</v>
      </c>
      <c r="G726" s="2">
        <v>14.4</v>
      </c>
      <c r="H726" s="2">
        <v>34.450000000000003</v>
      </c>
      <c r="I726" t="s">
        <v>15</v>
      </c>
      <c r="J726" s="2">
        <v>140</v>
      </c>
      <c r="K726" s="2">
        <v>2</v>
      </c>
    </row>
    <row r="727" spans="1:11" x14ac:dyDescent="0.25">
      <c r="A727" t="s">
        <v>773</v>
      </c>
      <c r="B727" t="s">
        <v>51</v>
      </c>
      <c r="C727" t="s">
        <v>57</v>
      </c>
      <c r="D727" t="s">
        <v>59</v>
      </c>
      <c r="E727" s="1">
        <v>45121</v>
      </c>
      <c r="F727" s="1">
        <v>45126</v>
      </c>
      <c r="G727" s="2">
        <v>27.4</v>
      </c>
      <c r="H727" s="2">
        <v>178.29</v>
      </c>
      <c r="I727" t="s">
        <v>15</v>
      </c>
      <c r="J727" s="2">
        <v>1367</v>
      </c>
      <c r="K727" s="2">
        <v>5</v>
      </c>
    </row>
    <row r="728" spans="1:11" x14ac:dyDescent="0.25">
      <c r="A728" t="s">
        <v>774</v>
      </c>
      <c r="B728" t="s">
        <v>20</v>
      </c>
      <c r="C728" t="s">
        <v>44</v>
      </c>
      <c r="D728" t="s">
        <v>14</v>
      </c>
      <c r="E728" s="1">
        <v>45123</v>
      </c>
      <c r="F728" s="1">
        <v>45130</v>
      </c>
      <c r="G728" s="2">
        <v>27.4</v>
      </c>
      <c r="H728" s="2">
        <v>286.48</v>
      </c>
      <c r="I728" t="s">
        <v>15</v>
      </c>
      <c r="J728" s="2">
        <v>2072</v>
      </c>
      <c r="K728" s="2">
        <v>7</v>
      </c>
    </row>
    <row r="729" spans="1:11" x14ac:dyDescent="0.25">
      <c r="A729" t="s">
        <v>775</v>
      </c>
      <c r="B729" t="s">
        <v>56</v>
      </c>
      <c r="C729" t="s">
        <v>17</v>
      </c>
      <c r="D729" t="s">
        <v>59</v>
      </c>
      <c r="E729" s="1">
        <v>45053</v>
      </c>
      <c r="F729" s="1">
        <v>45058</v>
      </c>
      <c r="G729" s="2">
        <v>6.2</v>
      </c>
      <c r="H729" s="2">
        <v>25.02</v>
      </c>
      <c r="I729" t="s">
        <v>15</v>
      </c>
      <c r="J729" s="2">
        <v>150</v>
      </c>
      <c r="K729" s="2">
        <v>5</v>
      </c>
    </row>
    <row r="730" spans="1:11" x14ac:dyDescent="0.25">
      <c r="A730" t="s">
        <v>776</v>
      </c>
      <c r="B730" t="s">
        <v>23</v>
      </c>
      <c r="C730" t="s">
        <v>52</v>
      </c>
      <c r="D730" t="s">
        <v>18</v>
      </c>
      <c r="E730" s="1">
        <v>45211</v>
      </c>
      <c r="F730" s="1">
        <v>45214</v>
      </c>
      <c r="G730" s="2">
        <v>24.1</v>
      </c>
      <c r="H730" s="2">
        <v>204.04</v>
      </c>
      <c r="I730" t="s">
        <v>15</v>
      </c>
      <c r="J730" s="2">
        <v>1168</v>
      </c>
      <c r="K730" s="2">
        <v>3</v>
      </c>
    </row>
    <row r="731" spans="1:11" x14ac:dyDescent="0.25">
      <c r="A731" t="s">
        <v>777</v>
      </c>
      <c r="B731" t="s">
        <v>12</v>
      </c>
      <c r="C731" t="s">
        <v>81</v>
      </c>
      <c r="D731" t="s">
        <v>25</v>
      </c>
      <c r="E731" s="1">
        <v>45212</v>
      </c>
      <c r="F731" s="1">
        <v>45213</v>
      </c>
      <c r="G731" s="2">
        <v>28.8</v>
      </c>
      <c r="H731" s="2">
        <v>54.72</v>
      </c>
      <c r="I731" t="s">
        <v>15</v>
      </c>
      <c r="J731" s="2">
        <v>147</v>
      </c>
      <c r="K731" s="2">
        <v>1</v>
      </c>
    </row>
    <row r="732" spans="1:11" x14ac:dyDescent="0.25">
      <c r="A732" t="s">
        <v>778</v>
      </c>
      <c r="B732" t="s">
        <v>51</v>
      </c>
      <c r="C732" t="s">
        <v>44</v>
      </c>
      <c r="D732" t="s">
        <v>42</v>
      </c>
      <c r="E732" s="1">
        <v>45175</v>
      </c>
      <c r="F732" s="1">
        <v>45178</v>
      </c>
      <c r="G732" s="2">
        <v>12.5</v>
      </c>
      <c r="H732" s="2">
        <v>106.43</v>
      </c>
      <c r="I732" t="s">
        <v>15</v>
      </c>
      <c r="J732" s="2">
        <v>790</v>
      </c>
      <c r="K732" s="2">
        <v>3</v>
      </c>
    </row>
    <row r="733" spans="1:11" x14ac:dyDescent="0.25">
      <c r="A733" t="s">
        <v>779</v>
      </c>
      <c r="B733" t="s">
        <v>20</v>
      </c>
      <c r="C733" t="s">
        <v>70</v>
      </c>
      <c r="D733" t="s">
        <v>18</v>
      </c>
      <c r="E733" s="1">
        <v>44985</v>
      </c>
      <c r="F733" s="1">
        <v>44987</v>
      </c>
      <c r="G733" s="2">
        <v>48.5</v>
      </c>
      <c r="H733" s="2">
        <v>84.38</v>
      </c>
      <c r="I733" t="s">
        <v>15</v>
      </c>
      <c r="J733" s="2">
        <v>159</v>
      </c>
      <c r="K733" s="2">
        <v>2</v>
      </c>
    </row>
    <row r="734" spans="1:11" x14ac:dyDescent="0.25">
      <c r="A734" t="s">
        <v>780</v>
      </c>
      <c r="B734" t="s">
        <v>27</v>
      </c>
      <c r="C734" t="s">
        <v>28</v>
      </c>
      <c r="D734" t="s">
        <v>42</v>
      </c>
      <c r="E734" s="1">
        <v>45254</v>
      </c>
      <c r="F734" s="1">
        <v>45263</v>
      </c>
      <c r="G734" s="2">
        <v>15</v>
      </c>
      <c r="H734" s="2">
        <v>266.52999999999997</v>
      </c>
      <c r="I734" t="s">
        <v>47</v>
      </c>
      <c r="J734" s="2">
        <v>1632</v>
      </c>
      <c r="K734" s="2">
        <v>5</v>
      </c>
    </row>
    <row r="735" spans="1:11" x14ac:dyDescent="0.25">
      <c r="A735" t="s">
        <v>781</v>
      </c>
      <c r="B735" t="s">
        <v>56</v>
      </c>
      <c r="C735" t="s">
        <v>70</v>
      </c>
      <c r="D735" t="s">
        <v>25</v>
      </c>
      <c r="E735" s="1">
        <v>44939</v>
      </c>
      <c r="F735" s="1">
        <v>44941</v>
      </c>
      <c r="G735" s="2">
        <v>12</v>
      </c>
      <c r="H735" s="2">
        <v>95.74</v>
      </c>
      <c r="I735" t="s">
        <v>15</v>
      </c>
      <c r="J735" s="2">
        <v>607</v>
      </c>
      <c r="K735" s="2">
        <v>2</v>
      </c>
    </row>
    <row r="736" spans="1:11" x14ac:dyDescent="0.25">
      <c r="A736" t="s">
        <v>782</v>
      </c>
      <c r="B736" t="s">
        <v>27</v>
      </c>
      <c r="C736" t="s">
        <v>40</v>
      </c>
      <c r="D736" t="s">
        <v>32</v>
      </c>
      <c r="E736" s="1">
        <v>45237</v>
      </c>
      <c r="F736" s="1">
        <v>45242</v>
      </c>
      <c r="G736" s="2">
        <v>39.9</v>
      </c>
      <c r="H736" s="2">
        <v>138.47</v>
      </c>
      <c r="I736" t="s">
        <v>15</v>
      </c>
      <c r="J736" s="2">
        <v>475</v>
      </c>
      <c r="K736" s="2">
        <v>5</v>
      </c>
    </row>
    <row r="737" spans="1:11" x14ac:dyDescent="0.25">
      <c r="A737" t="s">
        <v>783</v>
      </c>
      <c r="B737" t="s">
        <v>23</v>
      </c>
      <c r="C737" t="s">
        <v>21</v>
      </c>
      <c r="D737" t="s">
        <v>32</v>
      </c>
      <c r="E737" s="1">
        <v>45071</v>
      </c>
      <c r="F737" s="1">
        <v>45075</v>
      </c>
      <c r="G737" s="2">
        <v>6.6</v>
      </c>
      <c r="H737" s="2">
        <v>199.12</v>
      </c>
      <c r="I737" t="s">
        <v>15</v>
      </c>
      <c r="J737" s="2">
        <v>1370</v>
      </c>
      <c r="K737" s="2">
        <v>4</v>
      </c>
    </row>
    <row r="738" spans="1:11" x14ac:dyDescent="0.25">
      <c r="A738" t="s">
        <v>784</v>
      </c>
      <c r="B738" t="s">
        <v>56</v>
      </c>
      <c r="C738" t="s">
        <v>70</v>
      </c>
      <c r="D738" t="s">
        <v>42</v>
      </c>
      <c r="E738" s="1">
        <v>45226</v>
      </c>
      <c r="F738" s="1">
        <v>45232</v>
      </c>
      <c r="G738" s="2">
        <v>474.2</v>
      </c>
      <c r="H738" s="2">
        <v>341.15</v>
      </c>
      <c r="I738" t="s">
        <v>15</v>
      </c>
      <c r="J738" s="2">
        <v>2200</v>
      </c>
      <c r="K738" s="2">
        <v>6</v>
      </c>
    </row>
    <row r="739" spans="1:11" x14ac:dyDescent="0.25">
      <c r="A739" t="s">
        <v>785</v>
      </c>
      <c r="B739" t="s">
        <v>30</v>
      </c>
      <c r="C739" t="s">
        <v>54</v>
      </c>
      <c r="D739" t="s">
        <v>59</v>
      </c>
      <c r="E739" s="1">
        <v>45119</v>
      </c>
      <c r="F739" s="1">
        <v>45125</v>
      </c>
      <c r="G739" s="2">
        <v>15.1</v>
      </c>
      <c r="H739" s="2">
        <v>236.63</v>
      </c>
      <c r="I739" t="s">
        <v>62</v>
      </c>
      <c r="J739" s="2">
        <v>1795</v>
      </c>
      <c r="K739" s="2">
        <v>6</v>
      </c>
    </row>
    <row r="740" spans="1:11" x14ac:dyDescent="0.25">
      <c r="A740" t="s">
        <v>786</v>
      </c>
      <c r="B740" t="s">
        <v>56</v>
      </c>
      <c r="C740" t="s">
        <v>52</v>
      </c>
      <c r="D740" t="s">
        <v>32</v>
      </c>
      <c r="E740" s="1">
        <v>44981</v>
      </c>
      <c r="F740" s="1">
        <v>44986</v>
      </c>
      <c r="G740" s="2">
        <v>32</v>
      </c>
      <c r="H740" s="2">
        <v>340.57</v>
      </c>
      <c r="I740" t="s">
        <v>15</v>
      </c>
      <c r="J740" s="2">
        <v>2208</v>
      </c>
      <c r="K740" s="2">
        <v>5</v>
      </c>
    </row>
    <row r="741" spans="1:11" x14ac:dyDescent="0.25">
      <c r="A741" t="s">
        <v>787</v>
      </c>
      <c r="B741" t="s">
        <v>39</v>
      </c>
      <c r="C741" t="s">
        <v>46</v>
      </c>
      <c r="D741" t="s">
        <v>59</v>
      </c>
      <c r="E741" s="1">
        <v>45230</v>
      </c>
      <c r="F741" s="1">
        <v>45232</v>
      </c>
      <c r="G741" s="2">
        <v>14.5</v>
      </c>
      <c r="H741" s="2">
        <v>86.35</v>
      </c>
      <c r="I741" t="s">
        <v>15</v>
      </c>
      <c r="J741" s="2">
        <v>585</v>
      </c>
      <c r="K741" s="2">
        <v>2</v>
      </c>
    </row>
    <row r="742" spans="1:11" x14ac:dyDescent="0.25">
      <c r="A742" t="s">
        <v>788</v>
      </c>
      <c r="B742" t="s">
        <v>56</v>
      </c>
      <c r="C742" t="s">
        <v>52</v>
      </c>
      <c r="D742" t="s">
        <v>37</v>
      </c>
      <c r="E742" s="1">
        <v>45278</v>
      </c>
      <c r="F742" s="1">
        <v>45287</v>
      </c>
      <c r="G742" s="2">
        <v>9.1999999999999993</v>
      </c>
      <c r="H742" s="2">
        <v>141.68</v>
      </c>
      <c r="I742" t="s">
        <v>47</v>
      </c>
      <c r="J742" s="2">
        <v>974</v>
      </c>
      <c r="K742" s="2">
        <v>3</v>
      </c>
    </row>
    <row r="743" spans="1:11" x14ac:dyDescent="0.25">
      <c r="A743" t="s">
        <v>789</v>
      </c>
      <c r="B743" t="s">
        <v>20</v>
      </c>
      <c r="C743" t="s">
        <v>17</v>
      </c>
      <c r="D743" t="s">
        <v>32</v>
      </c>
      <c r="E743" s="1">
        <v>45106</v>
      </c>
      <c r="F743" s="1">
        <v>45111</v>
      </c>
      <c r="G743" s="2">
        <v>32.200000000000003</v>
      </c>
      <c r="H743" s="2">
        <v>247.76</v>
      </c>
      <c r="I743" t="s">
        <v>15</v>
      </c>
      <c r="J743" s="2">
        <v>1610</v>
      </c>
      <c r="K743" s="2">
        <v>5</v>
      </c>
    </row>
    <row r="744" spans="1:11" x14ac:dyDescent="0.25">
      <c r="A744" t="s">
        <v>790</v>
      </c>
      <c r="B744" t="s">
        <v>39</v>
      </c>
      <c r="C744" t="s">
        <v>81</v>
      </c>
      <c r="D744" t="s">
        <v>32</v>
      </c>
      <c r="E744" s="1">
        <v>45226</v>
      </c>
      <c r="F744" s="1">
        <v>45230</v>
      </c>
      <c r="G744" s="2">
        <v>27.1</v>
      </c>
      <c r="H744" s="2">
        <v>165.65</v>
      </c>
      <c r="I744" t="s">
        <v>15</v>
      </c>
      <c r="J744" s="2">
        <v>1030</v>
      </c>
      <c r="K744" s="2">
        <v>4</v>
      </c>
    </row>
    <row r="745" spans="1:11" x14ac:dyDescent="0.25">
      <c r="A745" t="s">
        <v>791</v>
      </c>
      <c r="B745" t="s">
        <v>39</v>
      </c>
      <c r="C745" t="s">
        <v>46</v>
      </c>
      <c r="D745" t="s">
        <v>42</v>
      </c>
      <c r="E745" s="1">
        <v>45048</v>
      </c>
      <c r="F745" s="1">
        <v>45057</v>
      </c>
      <c r="G745" s="2">
        <v>22.8</v>
      </c>
      <c r="H745" s="2">
        <v>342.44</v>
      </c>
      <c r="I745" t="s">
        <v>15</v>
      </c>
      <c r="J745" s="2">
        <v>2380</v>
      </c>
      <c r="K745" s="2">
        <v>9</v>
      </c>
    </row>
    <row r="746" spans="1:11" x14ac:dyDescent="0.25">
      <c r="A746" t="s">
        <v>792</v>
      </c>
      <c r="B746" t="s">
        <v>39</v>
      </c>
      <c r="C746" t="s">
        <v>17</v>
      </c>
      <c r="D746" t="s">
        <v>32</v>
      </c>
      <c r="E746" s="1">
        <v>44995</v>
      </c>
      <c r="F746" s="1">
        <v>44997</v>
      </c>
      <c r="G746" s="2">
        <v>10.199999999999999</v>
      </c>
      <c r="H746" s="2">
        <v>111.08</v>
      </c>
      <c r="I746" t="s">
        <v>15</v>
      </c>
      <c r="J746" s="2">
        <v>800</v>
      </c>
      <c r="K746" s="2">
        <v>2</v>
      </c>
    </row>
    <row r="747" spans="1:11" x14ac:dyDescent="0.25">
      <c r="A747" t="s">
        <v>793</v>
      </c>
      <c r="B747" t="s">
        <v>51</v>
      </c>
      <c r="C747" t="s">
        <v>54</v>
      </c>
      <c r="D747" t="s">
        <v>37</v>
      </c>
      <c r="E747" s="1">
        <v>45148</v>
      </c>
      <c r="F747" s="1">
        <v>45152</v>
      </c>
      <c r="G747" s="2">
        <v>30.8</v>
      </c>
      <c r="H747" s="2">
        <v>255.81</v>
      </c>
      <c r="I747" t="s">
        <v>15</v>
      </c>
      <c r="J747" s="2">
        <v>1692</v>
      </c>
      <c r="K747" s="2">
        <v>4</v>
      </c>
    </row>
    <row r="748" spans="1:11" x14ac:dyDescent="0.25">
      <c r="A748" t="s">
        <v>794</v>
      </c>
      <c r="B748" t="s">
        <v>23</v>
      </c>
      <c r="C748" t="s">
        <v>54</v>
      </c>
      <c r="D748" t="s">
        <v>59</v>
      </c>
      <c r="E748" s="1">
        <v>45019</v>
      </c>
      <c r="F748" s="1">
        <v>45021</v>
      </c>
      <c r="G748" s="2">
        <v>11.9</v>
      </c>
      <c r="H748" s="2">
        <v>139.28</v>
      </c>
      <c r="I748" t="s">
        <v>15</v>
      </c>
      <c r="J748" s="2">
        <v>1032</v>
      </c>
      <c r="K748" s="2">
        <v>2</v>
      </c>
    </row>
    <row r="749" spans="1:11" x14ac:dyDescent="0.25">
      <c r="A749" t="s">
        <v>795</v>
      </c>
      <c r="B749" t="s">
        <v>30</v>
      </c>
      <c r="C749" t="s">
        <v>70</v>
      </c>
      <c r="D749" t="s">
        <v>59</v>
      </c>
      <c r="E749" s="1">
        <v>44951</v>
      </c>
      <c r="F749" s="1">
        <v>44953</v>
      </c>
      <c r="G749" s="2">
        <v>16.8</v>
      </c>
      <c r="H749" s="2">
        <v>124.3</v>
      </c>
      <c r="I749" t="s">
        <v>15</v>
      </c>
      <c r="J749" s="2">
        <v>1003</v>
      </c>
      <c r="K749" s="2">
        <v>2</v>
      </c>
    </row>
    <row r="750" spans="1:11" x14ac:dyDescent="0.25">
      <c r="A750" t="s">
        <v>796</v>
      </c>
      <c r="B750" t="s">
        <v>27</v>
      </c>
      <c r="C750" t="s">
        <v>52</v>
      </c>
      <c r="D750" t="s">
        <v>14</v>
      </c>
      <c r="E750" s="1">
        <v>45212</v>
      </c>
      <c r="F750" s="1">
        <v>45214</v>
      </c>
      <c r="G750" s="2">
        <v>7.2</v>
      </c>
      <c r="H750" s="2">
        <v>59.98</v>
      </c>
      <c r="I750" t="s">
        <v>15</v>
      </c>
      <c r="J750" s="2">
        <v>367</v>
      </c>
      <c r="K750" s="2">
        <v>2</v>
      </c>
    </row>
    <row r="751" spans="1:11" x14ac:dyDescent="0.25">
      <c r="A751" t="s">
        <v>797</v>
      </c>
      <c r="B751" t="s">
        <v>49</v>
      </c>
      <c r="C751" t="s">
        <v>54</v>
      </c>
      <c r="D751" t="s">
        <v>42</v>
      </c>
      <c r="E751" s="1">
        <v>45290</v>
      </c>
      <c r="F751" s="1">
        <v>45297</v>
      </c>
      <c r="G751" s="2">
        <v>11.6</v>
      </c>
      <c r="H751" s="2">
        <v>264.5</v>
      </c>
      <c r="I751" t="s">
        <v>15</v>
      </c>
      <c r="J751" s="2">
        <v>1614</v>
      </c>
      <c r="K751" s="2">
        <v>7</v>
      </c>
    </row>
    <row r="752" spans="1:11" x14ac:dyDescent="0.25">
      <c r="A752" t="s">
        <v>798</v>
      </c>
      <c r="B752" t="s">
        <v>20</v>
      </c>
      <c r="C752" t="s">
        <v>36</v>
      </c>
      <c r="D752" t="s">
        <v>42</v>
      </c>
      <c r="E752" s="1">
        <v>45052</v>
      </c>
      <c r="F752" s="1">
        <v>45057</v>
      </c>
      <c r="G752" s="2">
        <v>7.8</v>
      </c>
      <c r="H752" s="2">
        <v>53.18</v>
      </c>
      <c r="I752" t="s">
        <v>15</v>
      </c>
      <c r="J752" s="2">
        <v>402</v>
      </c>
      <c r="K752" s="2">
        <v>5</v>
      </c>
    </row>
    <row r="753" spans="1:11" x14ac:dyDescent="0.25">
      <c r="A753" t="s">
        <v>799</v>
      </c>
      <c r="B753" t="s">
        <v>23</v>
      </c>
      <c r="C753" t="s">
        <v>52</v>
      </c>
      <c r="D753" t="s">
        <v>42</v>
      </c>
      <c r="E753" s="1">
        <v>45160</v>
      </c>
      <c r="F753" s="1">
        <v>45171</v>
      </c>
      <c r="G753" s="2">
        <v>43.8</v>
      </c>
      <c r="H753" s="2">
        <v>138.22999999999999</v>
      </c>
      <c r="I753" t="s">
        <v>47</v>
      </c>
      <c r="J753" s="2">
        <v>691</v>
      </c>
      <c r="K753" s="2">
        <v>3</v>
      </c>
    </row>
    <row r="754" spans="1:11" x14ac:dyDescent="0.25">
      <c r="A754" t="s">
        <v>800</v>
      </c>
      <c r="B754" t="s">
        <v>56</v>
      </c>
      <c r="C754" t="s">
        <v>54</v>
      </c>
      <c r="D754" t="s">
        <v>59</v>
      </c>
      <c r="E754" s="1">
        <v>45127</v>
      </c>
      <c r="F754" s="1">
        <v>45129</v>
      </c>
      <c r="G754" s="2">
        <v>10.1</v>
      </c>
      <c r="H754" s="2">
        <v>61.2</v>
      </c>
      <c r="I754" t="s">
        <v>15</v>
      </c>
      <c r="J754" s="2">
        <v>469</v>
      </c>
      <c r="K754" s="2">
        <v>2</v>
      </c>
    </row>
    <row r="755" spans="1:11" x14ac:dyDescent="0.25">
      <c r="A755" t="s">
        <v>801</v>
      </c>
      <c r="B755" t="s">
        <v>12</v>
      </c>
      <c r="C755" t="s">
        <v>40</v>
      </c>
      <c r="D755" t="s">
        <v>59</v>
      </c>
      <c r="E755" s="1">
        <v>45160</v>
      </c>
      <c r="F755" s="1">
        <v>45168</v>
      </c>
      <c r="G755" s="2">
        <v>24.7</v>
      </c>
      <c r="H755" s="2">
        <v>280.23</v>
      </c>
      <c r="I755" t="s">
        <v>15</v>
      </c>
      <c r="J755" s="2">
        <v>2030</v>
      </c>
      <c r="K755" s="2">
        <v>8</v>
      </c>
    </row>
    <row r="756" spans="1:11" x14ac:dyDescent="0.25">
      <c r="A756" t="s">
        <v>802</v>
      </c>
      <c r="B756" t="s">
        <v>56</v>
      </c>
      <c r="C756" t="s">
        <v>57</v>
      </c>
      <c r="D756" t="s">
        <v>32</v>
      </c>
      <c r="E756" s="1">
        <v>45206</v>
      </c>
      <c r="F756" s="1">
        <v>45209</v>
      </c>
      <c r="G756" s="2">
        <v>26.5</v>
      </c>
      <c r="H756" s="2">
        <v>155.19999999999999</v>
      </c>
      <c r="I756" t="s">
        <v>15</v>
      </c>
      <c r="J756" s="2">
        <v>810</v>
      </c>
      <c r="K756" s="2">
        <v>3</v>
      </c>
    </row>
    <row r="757" spans="1:11" x14ac:dyDescent="0.25">
      <c r="A757" t="s">
        <v>803</v>
      </c>
      <c r="B757" t="s">
        <v>20</v>
      </c>
      <c r="C757" t="s">
        <v>13</v>
      </c>
      <c r="D757" t="s">
        <v>42</v>
      </c>
      <c r="E757" s="1">
        <v>45266</v>
      </c>
      <c r="F757" s="1">
        <v>45269</v>
      </c>
      <c r="G757" s="2">
        <v>6.2</v>
      </c>
      <c r="H757" s="2">
        <v>111.44</v>
      </c>
      <c r="I757" t="s">
        <v>15</v>
      </c>
      <c r="J757" s="2">
        <v>735</v>
      </c>
      <c r="K757" s="2">
        <v>3</v>
      </c>
    </row>
    <row r="758" spans="1:11" x14ac:dyDescent="0.25">
      <c r="A758" t="s">
        <v>804</v>
      </c>
      <c r="B758" t="s">
        <v>56</v>
      </c>
      <c r="C758" t="s">
        <v>57</v>
      </c>
      <c r="D758" t="s">
        <v>18</v>
      </c>
      <c r="E758" s="1">
        <v>45029</v>
      </c>
      <c r="F758" s="1">
        <v>45031</v>
      </c>
      <c r="G758" s="2">
        <v>10</v>
      </c>
      <c r="H758" s="2">
        <v>45.28</v>
      </c>
      <c r="I758" t="s">
        <v>15</v>
      </c>
      <c r="J758" s="2">
        <v>236</v>
      </c>
      <c r="K758" s="2">
        <v>2</v>
      </c>
    </row>
    <row r="759" spans="1:11" x14ac:dyDescent="0.25">
      <c r="A759" t="s">
        <v>805</v>
      </c>
      <c r="B759" t="s">
        <v>49</v>
      </c>
      <c r="C759" t="s">
        <v>52</v>
      </c>
      <c r="D759" t="s">
        <v>18</v>
      </c>
      <c r="E759" s="1">
        <v>45028</v>
      </c>
      <c r="F759" s="1">
        <v>45033</v>
      </c>
      <c r="G759" s="2">
        <v>9.5</v>
      </c>
      <c r="H759" s="2">
        <v>194.71</v>
      </c>
      <c r="I759" t="s">
        <v>15</v>
      </c>
      <c r="J759" s="2">
        <v>1346</v>
      </c>
      <c r="K759" s="2">
        <v>5</v>
      </c>
    </row>
    <row r="760" spans="1:11" x14ac:dyDescent="0.25">
      <c r="A760" t="s">
        <v>806</v>
      </c>
      <c r="B760" t="s">
        <v>39</v>
      </c>
      <c r="C760" t="s">
        <v>81</v>
      </c>
      <c r="D760" t="s">
        <v>14</v>
      </c>
      <c r="E760" s="1">
        <v>45043</v>
      </c>
      <c r="G760" s="2">
        <v>12.1</v>
      </c>
      <c r="H760" s="2">
        <v>140.94</v>
      </c>
      <c r="I760" t="s">
        <v>15</v>
      </c>
      <c r="J760" s="2">
        <v>1030</v>
      </c>
      <c r="K760" s="2">
        <v>3</v>
      </c>
    </row>
    <row r="761" spans="1:11" x14ac:dyDescent="0.25">
      <c r="A761" t="s">
        <v>807</v>
      </c>
      <c r="B761" t="s">
        <v>49</v>
      </c>
      <c r="C761" t="s">
        <v>44</v>
      </c>
      <c r="D761" t="s">
        <v>59</v>
      </c>
      <c r="E761" s="1">
        <v>45162</v>
      </c>
      <c r="F761" s="1">
        <v>45166</v>
      </c>
      <c r="G761" s="2">
        <v>71</v>
      </c>
      <c r="H761" s="2">
        <v>148.26</v>
      </c>
      <c r="I761" t="s">
        <v>15</v>
      </c>
      <c r="J761" s="2">
        <v>706</v>
      </c>
      <c r="K761" s="2">
        <v>4</v>
      </c>
    </row>
    <row r="762" spans="1:11" x14ac:dyDescent="0.25">
      <c r="A762" t="s">
        <v>808</v>
      </c>
      <c r="B762" t="s">
        <v>23</v>
      </c>
      <c r="C762" t="s">
        <v>54</v>
      </c>
      <c r="D762" t="s">
        <v>18</v>
      </c>
      <c r="E762" s="1">
        <v>45156</v>
      </c>
      <c r="F762" s="1">
        <v>45164</v>
      </c>
      <c r="G762" s="2">
        <v>35.299999999999997</v>
      </c>
      <c r="H762" s="2">
        <v>212.84</v>
      </c>
      <c r="I762" t="s">
        <v>15</v>
      </c>
      <c r="J762" s="2">
        <v>1056</v>
      </c>
      <c r="K762" s="2">
        <v>8</v>
      </c>
    </row>
    <row r="763" spans="1:11" x14ac:dyDescent="0.25">
      <c r="A763" t="s">
        <v>809</v>
      </c>
      <c r="B763" t="s">
        <v>56</v>
      </c>
      <c r="C763" t="s">
        <v>54</v>
      </c>
      <c r="D763" t="s">
        <v>18</v>
      </c>
      <c r="E763" s="1">
        <v>45114</v>
      </c>
      <c r="F763" s="1">
        <v>45119</v>
      </c>
      <c r="G763" s="2">
        <v>18.100000000000001</v>
      </c>
      <c r="H763" s="2">
        <v>229.06</v>
      </c>
      <c r="I763" t="s">
        <v>15</v>
      </c>
      <c r="J763" s="2">
        <v>1660</v>
      </c>
      <c r="K763" s="2">
        <v>5</v>
      </c>
    </row>
    <row r="764" spans="1:11" x14ac:dyDescent="0.25">
      <c r="A764" t="s">
        <v>810</v>
      </c>
      <c r="B764" t="s">
        <v>39</v>
      </c>
      <c r="C764" t="s">
        <v>70</v>
      </c>
      <c r="D764" t="s">
        <v>14</v>
      </c>
      <c r="E764" s="1">
        <v>45234</v>
      </c>
      <c r="F764" s="1">
        <v>45240</v>
      </c>
      <c r="G764" s="2">
        <v>10.3</v>
      </c>
      <c r="H764" s="2">
        <v>332.84</v>
      </c>
      <c r="I764" t="s">
        <v>15</v>
      </c>
      <c r="J764" s="2">
        <v>2174</v>
      </c>
      <c r="K764" s="2">
        <v>6</v>
      </c>
    </row>
    <row r="765" spans="1:11" x14ac:dyDescent="0.25">
      <c r="A765" t="s">
        <v>811</v>
      </c>
      <c r="B765" t="s">
        <v>20</v>
      </c>
      <c r="C765" t="s">
        <v>44</v>
      </c>
      <c r="D765" t="s">
        <v>37</v>
      </c>
      <c r="E765" s="1">
        <v>45035</v>
      </c>
      <c r="F765" s="1">
        <v>45039</v>
      </c>
      <c r="G765" s="2">
        <v>72.900000000000006</v>
      </c>
      <c r="H765" s="2">
        <v>236.99</v>
      </c>
      <c r="I765" t="s">
        <v>15</v>
      </c>
      <c r="J765" s="2">
        <v>1270</v>
      </c>
      <c r="K765" s="2">
        <v>4</v>
      </c>
    </row>
    <row r="766" spans="1:11" x14ac:dyDescent="0.25">
      <c r="A766" t="s">
        <v>812</v>
      </c>
      <c r="B766" t="s">
        <v>56</v>
      </c>
      <c r="C766" t="s">
        <v>36</v>
      </c>
      <c r="D766" t="s">
        <v>59</v>
      </c>
      <c r="E766" s="1">
        <v>44946</v>
      </c>
      <c r="F766" s="1">
        <v>44951</v>
      </c>
      <c r="G766" s="2">
        <v>18.7</v>
      </c>
      <c r="H766" s="2">
        <v>312.02</v>
      </c>
      <c r="I766" t="s">
        <v>15</v>
      </c>
      <c r="J766" s="2">
        <v>2308</v>
      </c>
      <c r="K766" s="2">
        <v>5</v>
      </c>
    </row>
    <row r="767" spans="1:11" x14ac:dyDescent="0.25">
      <c r="A767" t="s">
        <v>813</v>
      </c>
      <c r="B767" t="s">
        <v>23</v>
      </c>
      <c r="C767" t="s">
        <v>21</v>
      </c>
      <c r="D767" t="s">
        <v>42</v>
      </c>
      <c r="E767" s="1">
        <v>44940</v>
      </c>
      <c r="F767" s="1">
        <v>44942</v>
      </c>
      <c r="G767" s="2">
        <v>39.6</v>
      </c>
      <c r="H767" s="2">
        <v>90.47</v>
      </c>
      <c r="I767" t="s">
        <v>15</v>
      </c>
      <c r="J767" s="2">
        <v>307</v>
      </c>
      <c r="K767" s="2">
        <v>2</v>
      </c>
    </row>
    <row r="768" spans="1:11" x14ac:dyDescent="0.25">
      <c r="A768" t="s">
        <v>814</v>
      </c>
      <c r="B768" t="s">
        <v>12</v>
      </c>
      <c r="C768" t="s">
        <v>52</v>
      </c>
      <c r="D768" t="s">
        <v>42</v>
      </c>
      <c r="E768" s="1">
        <v>45063</v>
      </c>
      <c r="F768" s="1">
        <v>45067</v>
      </c>
      <c r="G768" s="2">
        <v>10.8</v>
      </c>
      <c r="H768" s="2">
        <v>125.78</v>
      </c>
      <c r="I768" t="s">
        <v>15</v>
      </c>
      <c r="J768" s="2">
        <v>912</v>
      </c>
      <c r="K768" s="2">
        <v>4</v>
      </c>
    </row>
    <row r="769" spans="1:11" x14ac:dyDescent="0.25">
      <c r="A769" t="s">
        <v>815</v>
      </c>
      <c r="B769" t="s">
        <v>20</v>
      </c>
      <c r="C769" t="s">
        <v>28</v>
      </c>
      <c r="D769" t="s">
        <v>32</v>
      </c>
      <c r="E769" s="1">
        <v>44942</v>
      </c>
      <c r="F769" s="1">
        <v>44947</v>
      </c>
      <c r="G769" s="2">
        <v>48.5</v>
      </c>
      <c r="H769" s="2">
        <v>261.64</v>
      </c>
      <c r="I769" t="s">
        <v>15</v>
      </c>
      <c r="J769" s="2">
        <v>1435</v>
      </c>
      <c r="K769" s="2">
        <v>5</v>
      </c>
    </row>
    <row r="770" spans="1:11" x14ac:dyDescent="0.25">
      <c r="A770" t="s">
        <v>816</v>
      </c>
      <c r="B770" t="s">
        <v>12</v>
      </c>
      <c r="C770" t="s">
        <v>44</v>
      </c>
      <c r="D770" t="s">
        <v>18</v>
      </c>
      <c r="E770" s="1">
        <v>45162</v>
      </c>
      <c r="F770" s="1">
        <v>45167</v>
      </c>
      <c r="G770" s="2">
        <v>57.5</v>
      </c>
      <c r="H770" s="2">
        <v>257.60000000000002</v>
      </c>
      <c r="I770" t="s">
        <v>47</v>
      </c>
      <c r="J770" s="2">
        <v>1260</v>
      </c>
      <c r="K770" s="2">
        <v>3</v>
      </c>
    </row>
    <row r="771" spans="1:11" x14ac:dyDescent="0.25">
      <c r="A771" t="s">
        <v>817</v>
      </c>
      <c r="B771" t="s">
        <v>56</v>
      </c>
      <c r="C771" t="s">
        <v>31</v>
      </c>
      <c r="D771" t="s">
        <v>59</v>
      </c>
      <c r="E771" s="1">
        <v>45113</v>
      </c>
      <c r="F771" s="1">
        <v>45117</v>
      </c>
      <c r="G771" s="2">
        <v>13.6</v>
      </c>
      <c r="H771" s="2">
        <v>204.17</v>
      </c>
      <c r="I771" t="s">
        <v>15</v>
      </c>
      <c r="J771" s="2">
        <v>1646</v>
      </c>
      <c r="K771" s="2">
        <v>4</v>
      </c>
    </row>
    <row r="772" spans="1:11" x14ac:dyDescent="0.25">
      <c r="A772" t="s">
        <v>818</v>
      </c>
      <c r="B772" t="s">
        <v>35</v>
      </c>
      <c r="C772" t="s">
        <v>46</v>
      </c>
      <c r="D772" t="s">
        <v>14</v>
      </c>
      <c r="E772" s="1">
        <v>45031</v>
      </c>
      <c r="F772" s="1">
        <v>45037</v>
      </c>
      <c r="G772" s="2">
        <v>7.7</v>
      </c>
      <c r="H772" s="2">
        <v>284.58999999999997</v>
      </c>
      <c r="I772" t="s">
        <v>15</v>
      </c>
      <c r="J772" s="2">
        <v>2012</v>
      </c>
      <c r="K772" s="2">
        <v>6</v>
      </c>
    </row>
    <row r="773" spans="1:11" x14ac:dyDescent="0.25">
      <c r="A773" t="s">
        <v>819</v>
      </c>
      <c r="B773" t="s">
        <v>35</v>
      </c>
      <c r="C773" t="s">
        <v>40</v>
      </c>
      <c r="D773" t="s">
        <v>32</v>
      </c>
      <c r="E773" s="1">
        <v>45154</v>
      </c>
      <c r="F773" s="1">
        <v>45156</v>
      </c>
      <c r="G773" s="2">
        <v>41.8</v>
      </c>
      <c r="H773" s="2">
        <v>84.62</v>
      </c>
      <c r="I773" t="s">
        <v>15</v>
      </c>
      <c r="J773" s="2">
        <v>283</v>
      </c>
      <c r="K773" s="2">
        <v>2</v>
      </c>
    </row>
    <row r="774" spans="1:11" x14ac:dyDescent="0.25">
      <c r="A774" t="s">
        <v>820</v>
      </c>
      <c r="B774" t="s">
        <v>20</v>
      </c>
      <c r="C774" t="s">
        <v>13</v>
      </c>
      <c r="D774" t="s">
        <v>59</v>
      </c>
      <c r="E774" s="1">
        <v>45078</v>
      </c>
      <c r="F774" s="1">
        <v>45081</v>
      </c>
      <c r="G774" s="2">
        <v>43.9</v>
      </c>
      <c r="H774" s="2">
        <v>222.74</v>
      </c>
      <c r="I774" t="s">
        <v>15</v>
      </c>
      <c r="J774" s="2">
        <v>1342</v>
      </c>
      <c r="K774" s="2">
        <v>3</v>
      </c>
    </row>
    <row r="775" spans="1:11" x14ac:dyDescent="0.25">
      <c r="A775" t="s">
        <v>821</v>
      </c>
      <c r="B775" t="s">
        <v>49</v>
      </c>
      <c r="C775" t="s">
        <v>52</v>
      </c>
      <c r="D775" t="s">
        <v>14</v>
      </c>
      <c r="E775" s="1">
        <v>45136</v>
      </c>
      <c r="F775" s="1">
        <v>45142</v>
      </c>
      <c r="G775" s="2">
        <v>30</v>
      </c>
      <c r="H775" s="2">
        <v>266.62</v>
      </c>
      <c r="I775" t="s">
        <v>15</v>
      </c>
      <c r="J775" s="2">
        <v>2030</v>
      </c>
      <c r="K775" s="2">
        <v>6</v>
      </c>
    </row>
    <row r="776" spans="1:11" x14ac:dyDescent="0.25">
      <c r="A776" t="s">
        <v>822</v>
      </c>
      <c r="B776" t="s">
        <v>49</v>
      </c>
      <c r="C776" t="s">
        <v>31</v>
      </c>
      <c r="D776" t="s">
        <v>18</v>
      </c>
      <c r="E776" s="1">
        <v>45027</v>
      </c>
      <c r="F776" s="1">
        <v>45043</v>
      </c>
      <c r="G776" s="2">
        <v>73.599999999999994</v>
      </c>
      <c r="H776" s="2">
        <v>437.29</v>
      </c>
      <c r="I776" t="s">
        <v>47</v>
      </c>
      <c r="J776" s="2">
        <v>2241</v>
      </c>
      <c r="K776" s="2">
        <v>6</v>
      </c>
    </row>
    <row r="777" spans="1:11" x14ac:dyDescent="0.25">
      <c r="A777" t="s">
        <v>823</v>
      </c>
      <c r="B777" t="s">
        <v>12</v>
      </c>
      <c r="C777" t="s">
        <v>54</v>
      </c>
      <c r="D777" t="s">
        <v>42</v>
      </c>
      <c r="E777" s="1">
        <v>45232</v>
      </c>
      <c r="F777" s="1">
        <v>45237</v>
      </c>
      <c r="G777" s="2">
        <v>23.2</v>
      </c>
      <c r="H777" s="2">
        <v>51.9</v>
      </c>
      <c r="I777" t="s">
        <v>15</v>
      </c>
      <c r="J777" s="2">
        <v>147</v>
      </c>
      <c r="K777" s="2">
        <v>5</v>
      </c>
    </row>
    <row r="778" spans="1:11" x14ac:dyDescent="0.25">
      <c r="A778" t="s">
        <v>824</v>
      </c>
      <c r="B778" t="s">
        <v>27</v>
      </c>
      <c r="C778" t="s">
        <v>44</v>
      </c>
      <c r="D778" t="s">
        <v>37</v>
      </c>
      <c r="E778" s="1">
        <v>45178</v>
      </c>
      <c r="F778" s="1">
        <v>45182</v>
      </c>
      <c r="G778" s="2">
        <v>23.2</v>
      </c>
      <c r="H778" s="2">
        <v>191.94</v>
      </c>
      <c r="I778" t="s">
        <v>15</v>
      </c>
      <c r="J778" s="2">
        <v>1277</v>
      </c>
      <c r="K778" s="2">
        <v>4</v>
      </c>
    </row>
    <row r="779" spans="1:11" x14ac:dyDescent="0.25">
      <c r="A779" t="s">
        <v>825</v>
      </c>
      <c r="B779" t="s">
        <v>30</v>
      </c>
      <c r="C779" t="s">
        <v>46</v>
      </c>
      <c r="D779" t="s">
        <v>14</v>
      </c>
      <c r="E779" s="1">
        <v>45200</v>
      </c>
      <c r="F779" s="1">
        <v>45212</v>
      </c>
      <c r="G779" s="2">
        <v>38</v>
      </c>
      <c r="H779" s="2">
        <v>108.83</v>
      </c>
      <c r="I779" t="s">
        <v>47</v>
      </c>
      <c r="J779" s="2">
        <v>527</v>
      </c>
      <c r="K779" s="2">
        <v>2</v>
      </c>
    </row>
    <row r="780" spans="1:11" x14ac:dyDescent="0.25">
      <c r="A780" t="s">
        <v>826</v>
      </c>
      <c r="B780" t="s">
        <v>23</v>
      </c>
      <c r="C780" t="s">
        <v>36</v>
      </c>
      <c r="D780" t="s">
        <v>25</v>
      </c>
      <c r="E780" s="1">
        <v>45195</v>
      </c>
      <c r="F780" s="1">
        <v>45199</v>
      </c>
      <c r="G780" s="2">
        <v>12.8</v>
      </c>
      <c r="H780" s="2">
        <v>147.18</v>
      </c>
      <c r="I780" t="s">
        <v>15</v>
      </c>
      <c r="J780" s="2">
        <v>1012</v>
      </c>
      <c r="K780" s="2">
        <v>4</v>
      </c>
    </row>
    <row r="781" spans="1:11" x14ac:dyDescent="0.25">
      <c r="A781" t="s">
        <v>827</v>
      </c>
      <c r="B781" t="s">
        <v>30</v>
      </c>
      <c r="C781" t="s">
        <v>36</v>
      </c>
      <c r="D781" t="s">
        <v>59</v>
      </c>
      <c r="E781" s="1">
        <v>44981</v>
      </c>
      <c r="F781" s="1">
        <v>44984</v>
      </c>
      <c r="G781" s="2">
        <v>103.4</v>
      </c>
      <c r="H781" s="2">
        <v>226.95</v>
      </c>
      <c r="I781" t="s">
        <v>15</v>
      </c>
      <c r="J781" s="2">
        <v>779</v>
      </c>
      <c r="K781" s="2">
        <v>3</v>
      </c>
    </row>
    <row r="782" spans="1:11" x14ac:dyDescent="0.25">
      <c r="A782" t="s">
        <v>828</v>
      </c>
      <c r="B782" t="s">
        <v>30</v>
      </c>
      <c r="C782" t="s">
        <v>44</v>
      </c>
      <c r="D782" t="s">
        <v>37</v>
      </c>
      <c r="E782" s="1">
        <v>45211</v>
      </c>
      <c r="F782" s="1">
        <v>45220</v>
      </c>
      <c r="G782" s="2">
        <v>44.1</v>
      </c>
      <c r="H782" s="2">
        <v>319.83999999999997</v>
      </c>
      <c r="I782" t="s">
        <v>15</v>
      </c>
      <c r="J782" s="2">
        <v>2372</v>
      </c>
      <c r="K782" s="2">
        <v>9</v>
      </c>
    </row>
    <row r="783" spans="1:11" x14ac:dyDescent="0.25">
      <c r="A783" t="s">
        <v>829</v>
      </c>
      <c r="B783" t="s">
        <v>27</v>
      </c>
      <c r="C783" t="s">
        <v>28</v>
      </c>
      <c r="D783" t="s">
        <v>42</v>
      </c>
      <c r="E783" s="1">
        <v>45282</v>
      </c>
      <c r="F783" s="1">
        <v>45286</v>
      </c>
      <c r="G783" s="2">
        <v>22.3</v>
      </c>
      <c r="H783" s="2">
        <v>223.83</v>
      </c>
      <c r="I783" t="s">
        <v>15</v>
      </c>
      <c r="J783" s="2">
        <v>1234</v>
      </c>
      <c r="K783" s="2">
        <v>4</v>
      </c>
    </row>
    <row r="784" spans="1:11" x14ac:dyDescent="0.25">
      <c r="A784" t="s">
        <v>830</v>
      </c>
      <c r="B784" t="s">
        <v>51</v>
      </c>
      <c r="C784" t="s">
        <v>21</v>
      </c>
      <c r="D784" t="s">
        <v>25</v>
      </c>
      <c r="E784" s="1">
        <v>45263</v>
      </c>
      <c r="F784" s="1">
        <v>45267</v>
      </c>
      <c r="G784" s="2">
        <v>17.3</v>
      </c>
      <c r="H784" s="2">
        <v>218.41</v>
      </c>
      <c r="I784" t="s">
        <v>15</v>
      </c>
      <c r="J784" s="2">
        <v>1246</v>
      </c>
      <c r="K784" s="2">
        <v>4</v>
      </c>
    </row>
    <row r="785" spans="1:11" x14ac:dyDescent="0.25">
      <c r="A785" t="s">
        <v>831</v>
      </c>
      <c r="B785" t="s">
        <v>23</v>
      </c>
      <c r="C785" t="s">
        <v>28</v>
      </c>
      <c r="D785" t="s">
        <v>42</v>
      </c>
      <c r="E785" s="1">
        <v>45154</v>
      </c>
      <c r="F785" s="1">
        <v>45157</v>
      </c>
      <c r="G785" s="2">
        <v>19.3</v>
      </c>
      <c r="H785" s="2">
        <v>147.72999999999999</v>
      </c>
      <c r="I785" t="s">
        <v>15</v>
      </c>
      <c r="J785" s="2">
        <v>1068</v>
      </c>
      <c r="K785" s="2">
        <v>3</v>
      </c>
    </row>
    <row r="786" spans="1:11" x14ac:dyDescent="0.25">
      <c r="A786" t="s">
        <v>832</v>
      </c>
      <c r="B786" t="s">
        <v>56</v>
      </c>
      <c r="C786" t="s">
        <v>52</v>
      </c>
      <c r="D786" t="s">
        <v>59</v>
      </c>
      <c r="E786" s="1">
        <v>45001</v>
      </c>
      <c r="F786" s="1">
        <v>45006</v>
      </c>
      <c r="G786" s="2">
        <v>22.5</v>
      </c>
      <c r="I786" t="s">
        <v>15</v>
      </c>
      <c r="J786" s="2">
        <v>1164</v>
      </c>
      <c r="K786" s="2">
        <v>5</v>
      </c>
    </row>
    <row r="787" spans="1:11" x14ac:dyDescent="0.25">
      <c r="A787" t="s">
        <v>833</v>
      </c>
      <c r="B787" t="s">
        <v>30</v>
      </c>
      <c r="C787" t="s">
        <v>81</v>
      </c>
      <c r="D787" t="s">
        <v>42</v>
      </c>
      <c r="E787" s="1">
        <v>44958</v>
      </c>
      <c r="F787" s="1">
        <v>44962</v>
      </c>
      <c r="G787" s="2">
        <v>34</v>
      </c>
      <c r="H787" s="2">
        <v>193.6</v>
      </c>
      <c r="I787" t="s">
        <v>60</v>
      </c>
      <c r="J787" s="2">
        <v>1192</v>
      </c>
      <c r="K787" s="2">
        <v>4</v>
      </c>
    </row>
    <row r="788" spans="1:11" x14ac:dyDescent="0.25">
      <c r="A788" t="s">
        <v>834</v>
      </c>
      <c r="B788" t="s">
        <v>56</v>
      </c>
      <c r="C788" t="s">
        <v>28</v>
      </c>
      <c r="D788" t="s">
        <v>18</v>
      </c>
      <c r="E788" s="1">
        <v>45036</v>
      </c>
      <c r="F788" s="1">
        <v>45040</v>
      </c>
      <c r="G788" s="2">
        <v>18.600000000000001</v>
      </c>
      <c r="H788" s="2">
        <v>144.94999999999999</v>
      </c>
      <c r="I788" t="s">
        <v>67</v>
      </c>
      <c r="J788" s="2">
        <v>923</v>
      </c>
      <c r="K788" s="2">
        <v>4</v>
      </c>
    </row>
    <row r="789" spans="1:11" x14ac:dyDescent="0.25">
      <c r="A789" t="s">
        <v>835</v>
      </c>
      <c r="B789" t="s">
        <v>30</v>
      </c>
      <c r="C789" t="s">
        <v>21</v>
      </c>
      <c r="D789" t="s">
        <v>18</v>
      </c>
      <c r="E789" s="1">
        <v>44975</v>
      </c>
      <c r="F789" s="1">
        <v>44978</v>
      </c>
      <c r="G789" s="2">
        <v>16.899999999999999</v>
      </c>
      <c r="H789" s="2">
        <v>208.26</v>
      </c>
      <c r="I789" t="s">
        <v>15</v>
      </c>
      <c r="J789" s="2">
        <v>1434</v>
      </c>
      <c r="K789" s="2">
        <v>3</v>
      </c>
    </row>
    <row r="790" spans="1:11" x14ac:dyDescent="0.25">
      <c r="A790" t="s">
        <v>836</v>
      </c>
      <c r="B790" t="s">
        <v>23</v>
      </c>
      <c r="C790" t="s">
        <v>52</v>
      </c>
      <c r="D790" t="s">
        <v>42</v>
      </c>
      <c r="E790" s="1">
        <v>45255</v>
      </c>
      <c r="F790" s="1">
        <v>45262</v>
      </c>
      <c r="G790" s="2">
        <v>36.9</v>
      </c>
      <c r="H790" s="2">
        <v>307.39999999999998</v>
      </c>
      <c r="I790" t="s">
        <v>15</v>
      </c>
      <c r="J790" s="2">
        <v>1682</v>
      </c>
      <c r="K790" s="2">
        <v>7</v>
      </c>
    </row>
    <row r="791" spans="1:11" x14ac:dyDescent="0.25">
      <c r="A791" t="s">
        <v>837</v>
      </c>
      <c r="B791" t="s">
        <v>20</v>
      </c>
      <c r="C791" t="s">
        <v>28</v>
      </c>
      <c r="D791" t="s">
        <v>25</v>
      </c>
      <c r="E791" s="1">
        <v>45042</v>
      </c>
      <c r="F791" s="1">
        <v>45046</v>
      </c>
      <c r="G791" s="2">
        <v>26.3</v>
      </c>
      <c r="H791" s="2">
        <v>200.48</v>
      </c>
      <c r="I791" t="s">
        <v>15</v>
      </c>
      <c r="J791" s="2">
        <v>1435</v>
      </c>
      <c r="K791" s="2">
        <v>4</v>
      </c>
    </row>
    <row r="792" spans="1:11" x14ac:dyDescent="0.25">
      <c r="A792" t="s">
        <v>838</v>
      </c>
      <c r="B792" t="s">
        <v>20</v>
      </c>
      <c r="C792" t="s">
        <v>81</v>
      </c>
      <c r="D792" t="s">
        <v>32</v>
      </c>
      <c r="E792" s="1">
        <v>45019</v>
      </c>
      <c r="F792" s="1">
        <v>45024</v>
      </c>
      <c r="G792" s="2">
        <v>12.5</v>
      </c>
      <c r="H792" s="2">
        <v>326.12</v>
      </c>
      <c r="I792" t="s">
        <v>15</v>
      </c>
      <c r="J792" s="2">
        <v>2386</v>
      </c>
      <c r="K792" s="2">
        <v>5</v>
      </c>
    </row>
    <row r="793" spans="1:11" x14ac:dyDescent="0.25">
      <c r="A793" t="s">
        <v>839</v>
      </c>
      <c r="B793" t="s">
        <v>51</v>
      </c>
      <c r="C793" t="s">
        <v>70</v>
      </c>
      <c r="D793" t="s">
        <v>32</v>
      </c>
      <c r="E793" s="1">
        <v>45167</v>
      </c>
      <c r="F793" s="1">
        <v>45171</v>
      </c>
      <c r="G793" s="2">
        <v>6.8</v>
      </c>
      <c r="H793" s="2">
        <v>155.94999999999999</v>
      </c>
      <c r="I793" t="s">
        <v>15</v>
      </c>
      <c r="J793" s="2">
        <v>1007</v>
      </c>
      <c r="K793" s="2">
        <v>4</v>
      </c>
    </row>
    <row r="794" spans="1:11" x14ac:dyDescent="0.25">
      <c r="A794" t="s">
        <v>840</v>
      </c>
      <c r="B794" t="s">
        <v>12</v>
      </c>
      <c r="C794" t="s">
        <v>31</v>
      </c>
      <c r="D794" t="s">
        <v>14</v>
      </c>
      <c r="E794" s="1">
        <v>45105</v>
      </c>
      <c r="F794" s="1">
        <v>45109</v>
      </c>
      <c r="G794" s="2">
        <v>15.4</v>
      </c>
      <c r="H794" s="2">
        <v>238.58</v>
      </c>
      <c r="I794" t="s">
        <v>15</v>
      </c>
      <c r="J794" s="2">
        <v>1636</v>
      </c>
      <c r="K794" s="2">
        <v>4</v>
      </c>
    </row>
    <row r="795" spans="1:11" x14ac:dyDescent="0.25">
      <c r="A795" t="s">
        <v>841</v>
      </c>
      <c r="B795" t="s">
        <v>30</v>
      </c>
      <c r="C795" t="s">
        <v>46</v>
      </c>
      <c r="D795" t="s">
        <v>42</v>
      </c>
      <c r="E795" s="1">
        <v>45201</v>
      </c>
      <c r="F795" s="1">
        <v>45216</v>
      </c>
      <c r="G795" s="2">
        <v>46.9</v>
      </c>
      <c r="H795" s="2">
        <v>180.87</v>
      </c>
      <c r="I795" t="s">
        <v>47</v>
      </c>
      <c r="J795" s="2">
        <v>993</v>
      </c>
      <c r="K795" s="2">
        <v>3</v>
      </c>
    </row>
    <row r="796" spans="1:11" x14ac:dyDescent="0.25">
      <c r="A796" t="s">
        <v>842</v>
      </c>
      <c r="B796" t="s">
        <v>12</v>
      </c>
      <c r="C796" t="s">
        <v>40</v>
      </c>
      <c r="D796" t="s">
        <v>42</v>
      </c>
      <c r="E796" s="1">
        <v>45049</v>
      </c>
      <c r="F796" s="1">
        <v>45053</v>
      </c>
      <c r="G796" s="2">
        <v>19.2</v>
      </c>
      <c r="H796" s="2">
        <v>132.01</v>
      </c>
      <c r="I796" t="s">
        <v>15</v>
      </c>
      <c r="J796" s="2">
        <v>810</v>
      </c>
      <c r="K796" s="2">
        <v>4</v>
      </c>
    </row>
    <row r="797" spans="1:11" x14ac:dyDescent="0.25">
      <c r="A797" t="s">
        <v>843</v>
      </c>
      <c r="B797" t="s">
        <v>39</v>
      </c>
      <c r="C797" t="s">
        <v>44</v>
      </c>
      <c r="D797" t="s">
        <v>18</v>
      </c>
      <c r="E797" s="1">
        <v>44964</v>
      </c>
      <c r="F797" s="1">
        <v>44972</v>
      </c>
      <c r="G797" s="2">
        <v>77.7</v>
      </c>
      <c r="I797" t="s">
        <v>15</v>
      </c>
      <c r="J797" s="2">
        <v>2113</v>
      </c>
      <c r="K797" s="2">
        <v>8</v>
      </c>
    </row>
    <row r="798" spans="1:11" x14ac:dyDescent="0.25">
      <c r="A798" t="s">
        <v>844</v>
      </c>
      <c r="B798" t="s">
        <v>20</v>
      </c>
      <c r="C798" t="s">
        <v>44</v>
      </c>
      <c r="D798" t="s">
        <v>37</v>
      </c>
      <c r="E798" s="1">
        <v>45159</v>
      </c>
      <c r="F798" s="1">
        <v>45163</v>
      </c>
      <c r="G798" s="2">
        <v>12.4</v>
      </c>
      <c r="H798" s="2">
        <v>228.09</v>
      </c>
      <c r="I798" t="s">
        <v>15</v>
      </c>
      <c r="J798" s="2">
        <v>1640</v>
      </c>
      <c r="K798" s="2">
        <v>4</v>
      </c>
    </row>
    <row r="799" spans="1:11" x14ac:dyDescent="0.25">
      <c r="A799" t="s">
        <v>845</v>
      </c>
      <c r="B799" t="s">
        <v>39</v>
      </c>
      <c r="C799" t="s">
        <v>24</v>
      </c>
      <c r="D799" t="s">
        <v>18</v>
      </c>
      <c r="E799" s="1">
        <v>45097</v>
      </c>
      <c r="F799" s="1">
        <v>45101</v>
      </c>
      <c r="G799" s="2">
        <v>9.6999999999999993</v>
      </c>
      <c r="H799" s="2">
        <v>233.83</v>
      </c>
      <c r="I799" t="s">
        <v>15</v>
      </c>
      <c r="J799" s="2">
        <v>1517</v>
      </c>
      <c r="K799" s="2">
        <v>4</v>
      </c>
    </row>
    <row r="800" spans="1:11" x14ac:dyDescent="0.25">
      <c r="A800" t="s">
        <v>846</v>
      </c>
      <c r="B800" t="s">
        <v>39</v>
      </c>
      <c r="C800" t="s">
        <v>57</v>
      </c>
      <c r="D800" t="s">
        <v>37</v>
      </c>
      <c r="E800" s="1">
        <v>45056</v>
      </c>
      <c r="F800" s="1">
        <v>45062</v>
      </c>
      <c r="G800" s="2">
        <v>12.3</v>
      </c>
      <c r="H800" s="2">
        <v>306.2</v>
      </c>
      <c r="I800" t="s">
        <v>15</v>
      </c>
      <c r="J800" s="2">
        <v>2458</v>
      </c>
      <c r="K800" s="2">
        <v>6</v>
      </c>
    </row>
    <row r="801" spans="1:11" x14ac:dyDescent="0.25">
      <c r="A801" t="s">
        <v>847</v>
      </c>
      <c r="B801" t="s">
        <v>35</v>
      </c>
      <c r="C801" t="s">
        <v>40</v>
      </c>
      <c r="D801" t="s">
        <v>25</v>
      </c>
      <c r="E801" s="1">
        <v>44946</v>
      </c>
      <c r="G801" s="2">
        <v>70</v>
      </c>
      <c r="H801" s="2">
        <v>123.86</v>
      </c>
      <c r="I801" t="s">
        <v>15</v>
      </c>
      <c r="J801" s="2">
        <v>283</v>
      </c>
      <c r="K801" s="2">
        <v>3</v>
      </c>
    </row>
    <row r="802" spans="1:11" x14ac:dyDescent="0.25">
      <c r="A802" t="s">
        <v>848</v>
      </c>
      <c r="B802" t="s">
        <v>39</v>
      </c>
      <c r="C802" t="s">
        <v>54</v>
      </c>
      <c r="D802" t="s">
        <v>14</v>
      </c>
      <c r="E802" s="1">
        <v>45089</v>
      </c>
      <c r="F802" s="1">
        <v>45094</v>
      </c>
      <c r="G802" s="2">
        <v>9.9</v>
      </c>
      <c r="H802" s="2">
        <v>282.29000000000002</v>
      </c>
      <c r="I802" t="s">
        <v>15</v>
      </c>
      <c r="J802" s="2">
        <v>2114</v>
      </c>
      <c r="K802" s="2">
        <v>5</v>
      </c>
    </row>
    <row r="803" spans="1:11" x14ac:dyDescent="0.25">
      <c r="A803" t="s">
        <v>849</v>
      </c>
      <c r="B803" t="s">
        <v>27</v>
      </c>
      <c r="C803" t="s">
        <v>46</v>
      </c>
      <c r="D803" t="s">
        <v>37</v>
      </c>
      <c r="E803" s="1">
        <v>45078</v>
      </c>
      <c r="F803" s="1">
        <v>45084</v>
      </c>
      <c r="G803" s="2">
        <v>24.8</v>
      </c>
      <c r="H803" s="2">
        <v>213.13</v>
      </c>
      <c r="I803" t="s">
        <v>15</v>
      </c>
      <c r="J803" s="2">
        <v>1683</v>
      </c>
      <c r="K803" s="2">
        <v>6</v>
      </c>
    </row>
    <row r="804" spans="1:11" x14ac:dyDescent="0.25">
      <c r="A804" t="s">
        <v>850</v>
      </c>
      <c r="B804" t="s">
        <v>56</v>
      </c>
      <c r="C804" t="s">
        <v>28</v>
      </c>
      <c r="D804" t="s">
        <v>59</v>
      </c>
      <c r="E804" s="1">
        <v>45226</v>
      </c>
      <c r="F804" s="1">
        <v>45228</v>
      </c>
      <c r="G804" s="2">
        <v>4.5999999999999996</v>
      </c>
      <c r="H804" s="2">
        <v>44.35</v>
      </c>
      <c r="I804" t="s">
        <v>15</v>
      </c>
      <c r="J804" s="2">
        <v>345</v>
      </c>
      <c r="K804" s="2">
        <v>2</v>
      </c>
    </row>
    <row r="805" spans="1:11" x14ac:dyDescent="0.25">
      <c r="A805" t="s">
        <v>851</v>
      </c>
      <c r="B805" t="s">
        <v>12</v>
      </c>
      <c r="C805" t="s">
        <v>40</v>
      </c>
      <c r="D805" t="s">
        <v>25</v>
      </c>
      <c r="E805" s="1">
        <v>45016</v>
      </c>
      <c r="F805" s="1">
        <v>45022</v>
      </c>
      <c r="G805" s="2">
        <v>4.8</v>
      </c>
      <c r="H805" s="2">
        <v>287.60000000000002</v>
      </c>
      <c r="I805" t="s">
        <v>15</v>
      </c>
      <c r="J805" s="2">
        <v>2470</v>
      </c>
      <c r="K805" s="2">
        <v>6</v>
      </c>
    </row>
    <row r="806" spans="1:11" x14ac:dyDescent="0.25">
      <c r="A806" t="s">
        <v>852</v>
      </c>
      <c r="B806" t="s">
        <v>23</v>
      </c>
      <c r="C806" t="s">
        <v>44</v>
      </c>
      <c r="D806" t="s">
        <v>18</v>
      </c>
      <c r="E806" s="1">
        <v>45080</v>
      </c>
      <c r="F806" s="1">
        <v>45082</v>
      </c>
      <c r="G806" s="2">
        <v>19.2</v>
      </c>
      <c r="I806" t="s">
        <v>15</v>
      </c>
      <c r="J806" s="2">
        <v>285</v>
      </c>
      <c r="K806" s="2">
        <v>2</v>
      </c>
    </row>
    <row r="807" spans="1:11" x14ac:dyDescent="0.25">
      <c r="A807" t="s">
        <v>853</v>
      </c>
      <c r="B807" t="s">
        <v>39</v>
      </c>
      <c r="C807" t="s">
        <v>44</v>
      </c>
      <c r="D807" t="s">
        <v>14</v>
      </c>
      <c r="E807" s="1">
        <v>44965</v>
      </c>
      <c r="F807" s="1">
        <v>44972</v>
      </c>
      <c r="G807" s="2">
        <v>40.1</v>
      </c>
      <c r="H807" s="2">
        <v>104.23</v>
      </c>
      <c r="I807" t="s">
        <v>47</v>
      </c>
      <c r="J807" s="2">
        <v>428</v>
      </c>
      <c r="K807" s="2">
        <v>2</v>
      </c>
    </row>
    <row r="808" spans="1:11" x14ac:dyDescent="0.25">
      <c r="A808" t="s">
        <v>854</v>
      </c>
      <c r="B808" t="s">
        <v>12</v>
      </c>
      <c r="C808" t="s">
        <v>44</v>
      </c>
      <c r="D808" t="s">
        <v>37</v>
      </c>
      <c r="E808" s="1">
        <v>44979</v>
      </c>
      <c r="F808" s="1">
        <v>44985</v>
      </c>
      <c r="G808" s="2">
        <v>38.4</v>
      </c>
      <c r="H808" s="2">
        <v>276.83</v>
      </c>
      <c r="I808" t="s">
        <v>15</v>
      </c>
      <c r="J808" s="2">
        <v>1780</v>
      </c>
      <c r="K808" s="2">
        <v>6</v>
      </c>
    </row>
    <row r="809" spans="1:11" x14ac:dyDescent="0.25">
      <c r="A809" t="s">
        <v>855</v>
      </c>
      <c r="B809" t="s">
        <v>27</v>
      </c>
      <c r="C809" t="s">
        <v>24</v>
      </c>
      <c r="D809" t="s">
        <v>59</v>
      </c>
      <c r="E809" s="1">
        <v>45149</v>
      </c>
      <c r="F809" s="1">
        <v>45154</v>
      </c>
      <c r="G809" s="2">
        <v>30.3</v>
      </c>
      <c r="H809" s="2">
        <v>247.69</v>
      </c>
      <c r="I809" t="s">
        <v>15</v>
      </c>
      <c r="J809" s="2">
        <v>2049</v>
      </c>
      <c r="K809" s="2">
        <v>5</v>
      </c>
    </row>
    <row r="810" spans="1:11" x14ac:dyDescent="0.25">
      <c r="A810" t="s">
        <v>856</v>
      </c>
      <c r="B810" t="s">
        <v>49</v>
      </c>
      <c r="C810" t="s">
        <v>52</v>
      </c>
      <c r="D810" t="s">
        <v>32</v>
      </c>
      <c r="E810" s="1">
        <v>45285</v>
      </c>
      <c r="F810" s="1">
        <v>45294</v>
      </c>
      <c r="G810" s="2">
        <v>14.1</v>
      </c>
      <c r="H810" s="2">
        <v>430.99</v>
      </c>
      <c r="I810" t="s">
        <v>15</v>
      </c>
      <c r="J810" s="2">
        <v>2363</v>
      </c>
      <c r="K810" s="2">
        <v>9</v>
      </c>
    </row>
    <row r="811" spans="1:11" x14ac:dyDescent="0.25">
      <c r="A811" t="s">
        <v>857</v>
      </c>
      <c r="B811" t="s">
        <v>49</v>
      </c>
      <c r="C811" t="s">
        <v>44</v>
      </c>
      <c r="D811" t="s">
        <v>25</v>
      </c>
      <c r="E811" s="1">
        <v>45256</v>
      </c>
      <c r="F811" s="1">
        <v>45263</v>
      </c>
      <c r="G811" s="2">
        <v>6.2</v>
      </c>
      <c r="H811" s="2">
        <v>314.26</v>
      </c>
      <c r="I811" t="s">
        <v>15</v>
      </c>
      <c r="J811" s="2">
        <v>2315</v>
      </c>
      <c r="K811" s="2">
        <v>7</v>
      </c>
    </row>
    <row r="812" spans="1:11" x14ac:dyDescent="0.25">
      <c r="A812" t="s">
        <v>858</v>
      </c>
      <c r="B812" t="s">
        <v>12</v>
      </c>
      <c r="C812" t="s">
        <v>40</v>
      </c>
      <c r="D812" t="s">
        <v>37</v>
      </c>
      <c r="E812" s="1">
        <v>45016</v>
      </c>
      <c r="F812" s="1">
        <v>45019</v>
      </c>
      <c r="G812" s="2">
        <v>51.8</v>
      </c>
      <c r="H812" s="2">
        <v>231.8</v>
      </c>
      <c r="I812" t="s">
        <v>15</v>
      </c>
      <c r="J812" s="2">
        <v>1415</v>
      </c>
      <c r="K812" s="2">
        <v>3</v>
      </c>
    </row>
    <row r="813" spans="1:11" x14ac:dyDescent="0.25">
      <c r="A813" t="s">
        <v>859</v>
      </c>
      <c r="B813" t="s">
        <v>12</v>
      </c>
      <c r="C813" t="s">
        <v>44</v>
      </c>
      <c r="D813" t="s">
        <v>59</v>
      </c>
      <c r="E813" s="1">
        <v>45177</v>
      </c>
      <c r="F813" s="1">
        <v>45180</v>
      </c>
      <c r="G813" s="2">
        <v>24.6</v>
      </c>
      <c r="H813" s="2">
        <v>87.65</v>
      </c>
      <c r="I813" t="s">
        <v>62</v>
      </c>
      <c r="J813" s="2">
        <v>454</v>
      </c>
      <c r="K813" s="2">
        <v>3</v>
      </c>
    </row>
    <row r="814" spans="1:11" x14ac:dyDescent="0.25">
      <c r="A814" t="s">
        <v>860</v>
      </c>
      <c r="B814" t="s">
        <v>12</v>
      </c>
      <c r="C814" t="s">
        <v>36</v>
      </c>
      <c r="D814" t="s">
        <v>42</v>
      </c>
      <c r="E814" s="1">
        <v>45232</v>
      </c>
      <c r="F814" s="1">
        <v>45234</v>
      </c>
      <c r="G814" s="2">
        <v>18.399999999999999</v>
      </c>
      <c r="H814" s="2">
        <v>151.66999999999999</v>
      </c>
      <c r="I814" t="s">
        <v>15</v>
      </c>
      <c r="J814" s="2">
        <v>862</v>
      </c>
      <c r="K814" s="2">
        <v>2</v>
      </c>
    </row>
    <row r="815" spans="1:11" x14ac:dyDescent="0.25">
      <c r="A815" t="s">
        <v>861</v>
      </c>
      <c r="B815" t="s">
        <v>56</v>
      </c>
      <c r="C815" t="s">
        <v>46</v>
      </c>
      <c r="D815" t="s">
        <v>25</v>
      </c>
      <c r="E815" s="1">
        <v>45256</v>
      </c>
      <c r="F815" s="1">
        <v>45262</v>
      </c>
      <c r="G815" s="2">
        <v>14.5</v>
      </c>
      <c r="H815" s="2">
        <v>301.8</v>
      </c>
      <c r="I815" t="s">
        <v>15</v>
      </c>
      <c r="J815" s="2">
        <v>1889</v>
      </c>
      <c r="K815" s="2">
        <v>6</v>
      </c>
    </row>
    <row r="816" spans="1:11" x14ac:dyDescent="0.25">
      <c r="A816" t="s">
        <v>862</v>
      </c>
      <c r="B816" t="s">
        <v>51</v>
      </c>
      <c r="C816" t="s">
        <v>70</v>
      </c>
      <c r="D816" t="s">
        <v>42</v>
      </c>
      <c r="E816" s="1">
        <v>45157</v>
      </c>
      <c r="F816" s="1">
        <v>45160</v>
      </c>
      <c r="G816" s="2">
        <v>14.7</v>
      </c>
      <c r="H816" s="2">
        <v>124.34</v>
      </c>
      <c r="I816" t="s">
        <v>15</v>
      </c>
      <c r="J816" s="2">
        <v>909</v>
      </c>
      <c r="K816" s="2">
        <v>3</v>
      </c>
    </row>
    <row r="817" spans="1:11" x14ac:dyDescent="0.25">
      <c r="A817" t="s">
        <v>863</v>
      </c>
      <c r="B817" t="s">
        <v>35</v>
      </c>
      <c r="C817" t="s">
        <v>36</v>
      </c>
      <c r="D817" t="s">
        <v>42</v>
      </c>
      <c r="E817" s="1">
        <v>45194</v>
      </c>
      <c r="F817" s="1">
        <v>45196</v>
      </c>
      <c r="G817" s="2">
        <v>46.3</v>
      </c>
      <c r="H817" s="2">
        <v>140.84</v>
      </c>
      <c r="I817" t="s">
        <v>15</v>
      </c>
      <c r="J817" s="2">
        <v>675</v>
      </c>
      <c r="K817" s="2">
        <v>2</v>
      </c>
    </row>
    <row r="818" spans="1:11" x14ac:dyDescent="0.25">
      <c r="A818" t="s">
        <v>864</v>
      </c>
      <c r="B818" t="s">
        <v>23</v>
      </c>
      <c r="C818" t="s">
        <v>31</v>
      </c>
      <c r="D818" t="s">
        <v>42</v>
      </c>
      <c r="E818" s="1">
        <v>45254</v>
      </c>
      <c r="F818" s="1">
        <v>45258</v>
      </c>
      <c r="G818" s="2">
        <v>17</v>
      </c>
      <c r="H818" s="2">
        <v>113.42</v>
      </c>
      <c r="I818" t="s">
        <v>60</v>
      </c>
      <c r="J818" s="2">
        <v>677</v>
      </c>
      <c r="K818" s="2">
        <v>4</v>
      </c>
    </row>
    <row r="819" spans="1:11" x14ac:dyDescent="0.25">
      <c r="A819" t="s">
        <v>865</v>
      </c>
      <c r="B819" t="s">
        <v>30</v>
      </c>
      <c r="C819" t="s">
        <v>52</v>
      </c>
      <c r="D819" t="s">
        <v>59</v>
      </c>
      <c r="E819" s="1">
        <v>45237</v>
      </c>
      <c r="F819" s="1">
        <v>45242</v>
      </c>
      <c r="G819" s="2">
        <v>36.1</v>
      </c>
      <c r="H819" s="2">
        <v>234.42</v>
      </c>
      <c r="I819" t="s">
        <v>15</v>
      </c>
      <c r="J819" s="2">
        <v>1315</v>
      </c>
      <c r="K819" s="2">
        <v>5</v>
      </c>
    </row>
    <row r="820" spans="1:11" x14ac:dyDescent="0.25">
      <c r="A820" t="s">
        <v>866</v>
      </c>
      <c r="B820" t="s">
        <v>35</v>
      </c>
      <c r="C820" t="s">
        <v>24</v>
      </c>
      <c r="D820" t="s">
        <v>42</v>
      </c>
      <c r="E820" s="1">
        <v>45190</v>
      </c>
      <c r="F820" s="1">
        <v>45192</v>
      </c>
      <c r="G820" s="2">
        <v>57.5</v>
      </c>
      <c r="H820" s="2">
        <v>82.81</v>
      </c>
      <c r="I820" t="s">
        <v>15</v>
      </c>
      <c r="J820" s="2">
        <v>105</v>
      </c>
      <c r="K820" s="2">
        <v>2</v>
      </c>
    </row>
    <row r="821" spans="1:11" x14ac:dyDescent="0.25">
      <c r="A821" t="s">
        <v>867</v>
      </c>
      <c r="B821" t="s">
        <v>20</v>
      </c>
      <c r="C821" t="s">
        <v>31</v>
      </c>
      <c r="D821" t="s">
        <v>59</v>
      </c>
      <c r="E821" s="1">
        <v>45243</v>
      </c>
      <c r="F821" s="1">
        <v>45248</v>
      </c>
      <c r="G821" s="2">
        <v>25.2</v>
      </c>
      <c r="H821" s="2">
        <v>283.73</v>
      </c>
      <c r="I821" t="s">
        <v>15</v>
      </c>
      <c r="J821" s="2">
        <v>1791</v>
      </c>
      <c r="K821" s="2">
        <v>5</v>
      </c>
    </row>
    <row r="822" spans="1:11" x14ac:dyDescent="0.25">
      <c r="A822" t="s">
        <v>868</v>
      </c>
      <c r="B822" t="s">
        <v>39</v>
      </c>
      <c r="C822" t="s">
        <v>21</v>
      </c>
      <c r="D822" t="s">
        <v>59</v>
      </c>
      <c r="E822" s="1">
        <v>45131</v>
      </c>
      <c r="F822" s="1">
        <v>45136</v>
      </c>
      <c r="G822" s="2">
        <v>97.3</v>
      </c>
      <c r="H822" s="2">
        <v>286.39</v>
      </c>
      <c r="I822" t="s">
        <v>15</v>
      </c>
      <c r="J822" s="2">
        <v>1778</v>
      </c>
      <c r="K822" s="2">
        <v>5</v>
      </c>
    </row>
    <row r="823" spans="1:11" x14ac:dyDescent="0.25">
      <c r="A823" t="s">
        <v>869</v>
      </c>
      <c r="B823" t="s">
        <v>30</v>
      </c>
      <c r="C823" t="s">
        <v>54</v>
      </c>
      <c r="D823" t="s">
        <v>59</v>
      </c>
      <c r="E823" s="1">
        <v>44997</v>
      </c>
      <c r="F823" s="1">
        <v>44999</v>
      </c>
      <c r="G823" s="2">
        <v>7.3</v>
      </c>
      <c r="H823" s="2">
        <v>35.270000000000003</v>
      </c>
      <c r="I823" t="s">
        <v>15</v>
      </c>
      <c r="J823" s="2">
        <v>209</v>
      </c>
      <c r="K823" s="2">
        <v>2</v>
      </c>
    </row>
    <row r="824" spans="1:11" x14ac:dyDescent="0.25">
      <c r="A824" t="s">
        <v>870</v>
      </c>
      <c r="B824" t="s">
        <v>51</v>
      </c>
      <c r="C824" t="s">
        <v>28</v>
      </c>
      <c r="D824" t="s">
        <v>25</v>
      </c>
      <c r="E824" s="1">
        <v>45077</v>
      </c>
      <c r="F824" s="1">
        <v>45081</v>
      </c>
      <c r="G824" s="2">
        <v>21.4</v>
      </c>
      <c r="H824" s="2">
        <v>73.84</v>
      </c>
      <c r="I824" t="s">
        <v>15</v>
      </c>
      <c r="J824" s="2">
        <v>350</v>
      </c>
      <c r="K824" s="2">
        <v>4</v>
      </c>
    </row>
    <row r="825" spans="1:11" x14ac:dyDescent="0.25">
      <c r="A825" t="s">
        <v>871</v>
      </c>
      <c r="B825" t="s">
        <v>56</v>
      </c>
      <c r="C825" t="s">
        <v>57</v>
      </c>
      <c r="D825" t="s">
        <v>18</v>
      </c>
      <c r="E825" s="1">
        <v>44944</v>
      </c>
      <c r="F825" s="1">
        <v>44950</v>
      </c>
      <c r="G825" s="2">
        <v>50.2</v>
      </c>
      <c r="H825" s="2">
        <v>326.57</v>
      </c>
      <c r="I825" t="s">
        <v>15</v>
      </c>
      <c r="J825" s="2">
        <v>1802</v>
      </c>
      <c r="K825" s="2">
        <v>6</v>
      </c>
    </row>
    <row r="826" spans="1:11" x14ac:dyDescent="0.25">
      <c r="A826" t="s">
        <v>872</v>
      </c>
      <c r="B826" t="s">
        <v>30</v>
      </c>
      <c r="C826" t="s">
        <v>57</v>
      </c>
      <c r="D826" t="s">
        <v>59</v>
      </c>
      <c r="E826" s="1">
        <v>45218</v>
      </c>
      <c r="F826" s="1">
        <v>45221</v>
      </c>
      <c r="G826" s="2">
        <v>5.8</v>
      </c>
      <c r="H826" s="2">
        <v>120.42</v>
      </c>
      <c r="I826" t="s">
        <v>15</v>
      </c>
      <c r="J826" s="2">
        <v>1093</v>
      </c>
      <c r="K826" s="2">
        <v>3</v>
      </c>
    </row>
    <row r="827" spans="1:11" x14ac:dyDescent="0.25">
      <c r="A827" t="s">
        <v>873</v>
      </c>
      <c r="B827" t="s">
        <v>51</v>
      </c>
      <c r="C827" t="s">
        <v>17</v>
      </c>
      <c r="D827" t="s">
        <v>32</v>
      </c>
      <c r="E827" s="1">
        <v>45243</v>
      </c>
      <c r="F827" s="1">
        <v>45249</v>
      </c>
      <c r="G827" s="2">
        <v>9.6999999999999993</v>
      </c>
      <c r="H827" s="2">
        <v>162.41999999999999</v>
      </c>
      <c r="I827" t="s">
        <v>15</v>
      </c>
      <c r="J827" s="2">
        <v>870</v>
      </c>
      <c r="K827" s="2">
        <v>6</v>
      </c>
    </row>
    <row r="828" spans="1:11" x14ac:dyDescent="0.25">
      <c r="A828" t="s">
        <v>874</v>
      </c>
      <c r="B828" t="s">
        <v>20</v>
      </c>
      <c r="C828" t="s">
        <v>70</v>
      </c>
      <c r="D828" t="s">
        <v>32</v>
      </c>
      <c r="E828" s="1">
        <v>45179</v>
      </c>
      <c r="F828" s="1">
        <v>45183</v>
      </c>
      <c r="G828" s="2">
        <v>39.1</v>
      </c>
      <c r="H828" s="2">
        <v>277.98</v>
      </c>
      <c r="I828" t="s">
        <v>15</v>
      </c>
      <c r="J828" s="2">
        <v>1645</v>
      </c>
      <c r="K828" s="2">
        <v>4</v>
      </c>
    </row>
    <row r="829" spans="1:11" x14ac:dyDescent="0.25">
      <c r="A829" t="s">
        <v>875</v>
      </c>
      <c r="B829" t="s">
        <v>51</v>
      </c>
      <c r="C829" t="s">
        <v>40</v>
      </c>
      <c r="D829" t="s">
        <v>18</v>
      </c>
      <c r="E829" s="1">
        <v>45162</v>
      </c>
      <c r="F829" s="1">
        <v>45164</v>
      </c>
      <c r="G829" s="2">
        <v>27.7</v>
      </c>
      <c r="H829" s="2">
        <v>51.34</v>
      </c>
      <c r="I829" t="s">
        <v>15</v>
      </c>
      <c r="J829" s="2">
        <v>121</v>
      </c>
      <c r="K829" s="2">
        <v>2</v>
      </c>
    </row>
    <row r="830" spans="1:11" x14ac:dyDescent="0.25">
      <c r="A830" t="s">
        <v>876</v>
      </c>
      <c r="B830" t="s">
        <v>39</v>
      </c>
      <c r="C830" t="s">
        <v>17</v>
      </c>
      <c r="D830" t="s">
        <v>59</v>
      </c>
      <c r="E830" s="1">
        <v>44942</v>
      </c>
      <c r="F830" s="1">
        <v>44944</v>
      </c>
      <c r="G830" s="2">
        <v>38.4</v>
      </c>
      <c r="H830" s="2">
        <v>125.03</v>
      </c>
      <c r="I830" t="s">
        <v>15</v>
      </c>
      <c r="J830" s="2">
        <v>800</v>
      </c>
      <c r="K830" s="2">
        <v>2</v>
      </c>
    </row>
    <row r="831" spans="1:11" x14ac:dyDescent="0.25">
      <c r="A831" t="s">
        <v>877</v>
      </c>
      <c r="B831" t="s">
        <v>35</v>
      </c>
      <c r="C831" t="s">
        <v>40</v>
      </c>
      <c r="D831" t="s">
        <v>25</v>
      </c>
      <c r="E831" s="1">
        <v>44960</v>
      </c>
      <c r="F831" s="1">
        <v>44961</v>
      </c>
      <c r="G831" s="2">
        <v>0</v>
      </c>
      <c r="H831" s="2">
        <v>35.85</v>
      </c>
      <c r="I831" t="s">
        <v>15</v>
      </c>
      <c r="J831" s="2">
        <v>283</v>
      </c>
      <c r="K831" s="2">
        <v>1</v>
      </c>
    </row>
    <row r="832" spans="1:11" x14ac:dyDescent="0.25">
      <c r="A832" t="s">
        <v>878</v>
      </c>
      <c r="B832" t="s">
        <v>39</v>
      </c>
      <c r="C832" t="s">
        <v>57</v>
      </c>
      <c r="D832" t="s">
        <v>25</v>
      </c>
      <c r="E832" s="1">
        <v>44990</v>
      </c>
      <c r="F832" s="1">
        <v>44991</v>
      </c>
      <c r="G832" s="2">
        <v>12.8</v>
      </c>
      <c r="H832" s="2">
        <v>41.3</v>
      </c>
      <c r="I832" t="s">
        <v>15</v>
      </c>
      <c r="J832" s="2">
        <v>205</v>
      </c>
      <c r="K832" s="2">
        <v>1</v>
      </c>
    </row>
    <row r="833" spans="1:11" x14ac:dyDescent="0.25">
      <c r="A833" t="s">
        <v>879</v>
      </c>
      <c r="B833" t="s">
        <v>35</v>
      </c>
      <c r="C833" t="s">
        <v>44</v>
      </c>
      <c r="D833" t="s">
        <v>59</v>
      </c>
      <c r="E833" s="1">
        <v>45038</v>
      </c>
      <c r="F833" s="1">
        <v>45042</v>
      </c>
      <c r="G833" s="2">
        <v>42.2</v>
      </c>
      <c r="H833" s="2">
        <v>271.44</v>
      </c>
      <c r="I833" t="s">
        <v>15</v>
      </c>
      <c r="J833" s="2">
        <v>1943</v>
      </c>
      <c r="K833" s="2">
        <v>4</v>
      </c>
    </row>
    <row r="834" spans="1:11" x14ac:dyDescent="0.25">
      <c r="A834" t="s">
        <v>880</v>
      </c>
      <c r="B834" t="s">
        <v>20</v>
      </c>
      <c r="C834" t="s">
        <v>21</v>
      </c>
      <c r="D834" t="s">
        <v>37</v>
      </c>
      <c r="E834" s="1">
        <v>45176</v>
      </c>
      <c r="F834" s="1">
        <v>45179</v>
      </c>
      <c r="G834" s="2">
        <v>13.3</v>
      </c>
      <c r="H834" s="2">
        <v>179.74</v>
      </c>
      <c r="I834" t="s">
        <v>15</v>
      </c>
      <c r="J834" s="2">
        <v>1317</v>
      </c>
      <c r="K834" s="2">
        <v>3</v>
      </c>
    </row>
    <row r="835" spans="1:11" x14ac:dyDescent="0.25">
      <c r="A835" t="s">
        <v>881</v>
      </c>
      <c r="B835" t="s">
        <v>12</v>
      </c>
      <c r="C835" t="s">
        <v>31</v>
      </c>
      <c r="D835" t="s">
        <v>18</v>
      </c>
      <c r="E835" s="1">
        <v>45117</v>
      </c>
      <c r="F835" s="1">
        <v>45118</v>
      </c>
      <c r="G835" s="2">
        <v>12.4</v>
      </c>
      <c r="H835" s="2">
        <v>47.25</v>
      </c>
      <c r="I835" t="s">
        <v>15</v>
      </c>
      <c r="J835" s="2">
        <v>237</v>
      </c>
      <c r="K835" s="2">
        <v>1</v>
      </c>
    </row>
    <row r="836" spans="1:11" x14ac:dyDescent="0.25">
      <c r="A836" t="s">
        <v>882</v>
      </c>
      <c r="B836" t="s">
        <v>23</v>
      </c>
      <c r="C836" t="s">
        <v>40</v>
      </c>
      <c r="D836" t="s">
        <v>59</v>
      </c>
      <c r="E836" s="1">
        <v>44982</v>
      </c>
      <c r="F836" s="1">
        <v>44984</v>
      </c>
      <c r="G836" s="2">
        <v>12.2</v>
      </c>
      <c r="H836" s="2">
        <v>70.06</v>
      </c>
      <c r="I836" t="s">
        <v>15</v>
      </c>
      <c r="J836" s="2">
        <v>489</v>
      </c>
      <c r="K836" s="2">
        <v>2</v>
      </c>
    </row>
    <row r="837" spans="1:11" x14ac:dyDescent="0.25">
      <c r="A837" t="s">
        <v>883</v>
      </c>
      <c r="B837" t="s">
        <v>35</v>
      </c>
      <c r="C837" t="s">
        <v>52</v>
      </c>
      <c r="D837" t="s">
        <v>42</v>
      </c>
      <c r="E837" s="1">
        <v>45097</v>
      </c>
      <c r="F837" s="1">
        <v>45101</v>
      </c>
      <c r="G837" s="2">
        <v>28.6</v>
      </c>
      <c r="H837" s="2">
        <v>223.2</v>
      </c>
      <c r="I837" t="s">
        <v>15</v>
      </c>
      <c r="J837" s="2">
        <v>1752</v>
      </c>
      <c r="K837" s="2">
        <v>4</v>
      </c>
    </row>
    <row r="838" spans="1:11" x14ac:dyDescent="0.25">
      <c r="A838" t="s">
        <v>884</v>
      </c>
      <c r="B838" t="s">
        <v>35</v>
      </c>
      <c r="C838" t="s">
        <v>54</v>
      </c>
      <c r="D838" t="s">
        <v>32</v>
      </c>
      <c r="E838" s="1">
        <v>45068</v>
      </c>
      <c r="F838" s="1">
        <v>45071</v>
      </c>
      <c r="G838" s="2">
        <v>12.3</v>
      </c>
      <c r="H838" s="2">
        <v>199.26</v>
      </c>
      <c r="I838" t="s">
        <v>15</v>
      </c>
      <c r="J838" s="2">
        <v>1350</v>
      </c>
      <c r="K838" s="2">
        <v>3</v>
      </c>
    </row>
    <row r="839" spans="1:11" x14ac:dyDescent="0.25">
      <c r="A839" t="s">
        <v>885</v>
      </c>
      <c r="B839" t="s">
        <v>56</v>
      </c>
      <c r="C839" t="s">
        <v>13</v>
      </c>
      <c r="D839" t="s">
        <v>59</v>
      </c>
      <c r="E839" s="1">
        <v>45089</v>
      </c>
      <c r="F839" s="1">
        <v>45093</v>
      </c>
      <c r="G839" s="2">
        <v>7.5</v>
      </c>
      <c r="H839" s="2">
        <v>165.29</v>
      </c>
      <c r="I839" t="s">
        <v>15</v>
      </c>
      <c r="J839" s="2">
        <v>1323</v>
      </c>
      <c r="K839" s="2">
        <v>4</v>
      </c>
    </row>
    <row r="840" spans="1:11" x14ac:dyDescent="0.25">
      <c r="A840" t="s">
        <v>886</v>
      </c>
      <c r="B840" t="s">
        <v>23</v>
      </c>
      <c r="C840" t="s">
        <v>13</v>
      </c>
      <c r="D840" t="s">
        <v>25</v>
      </c>
      <c r="E840" s="1">
        <v>45157</v>
      </c>
      <c r="F840" s="1">
        <v>45163</v>
      </c>
      <c r="G840" s="2">
        <v>10.4</v>
      </c>
      <c r="H840" s="2">
        <v>45.53</v>
      </c>
      <c r="I840" t="s">
        <v>15</v>
      </c>
      <c r="J840" s="2">
        <v>255</v>
      </c>
      <c r="K840" s="2">
        <v>6</v>
      </c>
    </row>
    <row r="841" spans="1:11" x14ac:dyDescent="0.25">
      <c r="A841" t="s">
        <v>887</v>
      </c>
      <c r="B841" t="s">
        <v>20</v>
      </c>
      <c r="C841" t="s">
        <v>31</v>
      </c>
      <c r="D841" t="s">
        <v>14</v>
      </c>
      <c r="E841" s="1">
        <v>45193</v>
      </c>
      <c r="F841" s="1">
        <v>45196</v>
      </c>
      <c r="G841" s="2">
        <v>33.5</v>
      </c>
      <c r="H841" s="2">
        <v>88.12</v>
      </c>
      <c r="I841" t="s">
        <v>15</v>
      </c>
      <c r="J841" s="2">
        <v>420</v>
      </c>
      <c r="K841" s="2">
        <v>3</v>
      </c>
    </row>
    <row r="842" spans="1:11" x14ac:dyDescent="0.25">
      <c r="A842" t="s">
        <v>888</v>
      </c>
      <c r="B842" t="s">
        <v>35</v>
      </c>
      <c r="C842" t="s">
        <v>17</v>
      </c>
      <c r="D842" t="s">
        <v>42</v>
      </c>
      <c r="E842" s="1">
        <v>45151</v>
      </c>
      <c r="F842" s="1">
        <v>45157</v>
      </c>
      <c r="G842" s="2">
        <v>16.899999999999999</v>
      </c>
      <c r="H842" s="2">
        <v>192.93</v>
      </c>
      <c r="I842" t="s">
        <v>15</v>
      </c>
      <c r="J842" s="2">
        <v>1506</v>
      </c>
      <c r="K842" s="2">
        <v>6</v>
      </c>
    </row>
    <row r="843" spans="1:11" x14ac:dyDescent="0.25">
      <c r="A843" t="s">
        <v>889</v>
      </c>
      <c r="B843" t="s">
        <v>12</v>
      </c>
      <c r="C843" t="s">
        <v>52</v>
      </c>
      <c r="D843" t="s">
        <v>42</v>
      </c>
      <c r="E843" s="1">
        <v>45238</v>
      </c>
      <c r="F843" s="1">
        <v>45243</v>
      </c>
      <c r="G843" s="2">
        <v>25.9</v>
      </c>
      <c r="H843" s="2">
        <v>272</v>
      </c>
      <c r="I843" t="s">
        <v>15</v>
      </c>
      <c r="J843" s="2">
        <v>1763</v>
      </c>
      <c r="K843" s="2">
        <v>5</v>
      </c>
    </row>
    <row r="844" spans="1:11" x14ac:dyDescent="0.25">
      <c r="A844" t="s">
        <v>890</v>
      </c>
      <c r="B844" t="s">
        <v>23</v>
      </c>
      <c r="C844" t="s">
        <v>46</v>
      </c>
      <c r="D844" t="s">
        <v>32</v>
      </c>
      <c r="E844" s="1">
        <v>45005</v>
      </c>
      <c r="F844" s="1">
        <v>45009</v>
      </c>
      <c r="G844" s="2">
        <v>6.2</v>
      </c>
      <c r="H844" s="2">
        <v>217.1</v>
      </c>
      <c r="I844" t="s">
        <v>15</v>
      </c>
      <c r="J844" s="2">
        <v>1483</v>
      </c>
      <c r="K844" s="2">
        <v>4</v>
      </c>
    </row>
    <row r="845" spans="1:11" x14ac:dyDescent="0.25">
      <c r="A845" t="s">
        <v>891</v>
      </c>
      <c r="B845" t="s">
        <v>30</v>
      </c>
      <c r="C845" t="s">
        <v>46</v>
      </c>
      <c r="D845" t="s">
        <v>32</v>
      </c>
      <c r="E845" s="1">
        <v>45010</v>
      </c>
      <c r="F845" s="1">
        <v>45015</v>
      </c>
      <c r="G845" s="2">
        <v>7.3</v>
      </c>
      <c r="H845" s="2">
        <v>238.37</v>
      </c>
      <c r="I845" t="s">
        <v>15</v>
      </c>
      <c r="J845" s="2">
        <v>1921</v>
      </c>
      <c r="K845" s="2">
        <v>5</v>
      </c>
    </row>
    <row r="846" spans="1:11" x14ac:dyDescent="0.25">
      <c r="A846" t="s">
        <v>892</v>
      </c>
      <c r="B846" t="s">
        <v>27</v>
      </c>
      <c r="C846" t="s">
        <v>17</v>
      </c>
      <c r="D846" t="s">
        <v>42</v>
      </c>
      <c r="E846" s="1">
        <v>45152</v>
      </c>
      <c r="F846" s="1">
        <v>45157</v>
      </c>
      <c r="G846" s="2">
        <v>30.8</v>
      </c>
      <c r="H846" s="2">
        <v>251.75</v>
      </c>
      <c r="I846" t="s">
        <v>15</v>
      </c>
      <c r="J846" s="2">
        <v>1737</v>
      </c>
      <c r="K846" s="2">
        <v>5</v>
      </c>
    </row>
    <row r="847" spans="1:11" x14ac:dyDescent="0.25">
      <c r="A847" t="s">
        <v>893</v>
      </c>
      <c r="B847" t="s">
        <v>23</v>
      </c>
      <c r="C847" t="s">
        <v>54</v>
      </c>
      <c r="D847" t="s">
        <v>25</v>
      </c>
      <c r="E847" s="1">
        <v>44946</v>
      </c>
      <c r="F847" s="1">
        <v>44949</v>
      </c>
      <c r="G847" s="2">
        <v>3.6</v>
      </c>
      <c r="H847" s="2">
        <v>68.650000000000006</v>
      </c>
      <c r="I847" t="s">
        <v>67</v>
      </c>
      <c r="J847" s="2">
        <v>560</v>
      </c>
      <c r="K847" s="2">
        <v>3</v>
      </c>
    </row>
    <row r="848" spans="1:11" x14ac:dyDescent="0.25">
      <c r="A848" t="s">
        <v>894</v>
      </c>
      <c r="B848" t="s">
        <v>39</v>
      </c>
      <c r="C848" t="s">
        <v>28</v>
      </c>
      <c r="D848" t="s">
        <v>25</v>
      </c>
      <c r="E848" s="1">
        <v>44934</v>
      </c>
      <c r="F848" s="1">
        <v>44937</v>
      </c>
      <c r="G848" s="2">
        <v>63.5</v>
      </c>
      <c r="H848" s="2">
        <v>192.27</v>
      </c>
      <c r="I848" t="s">
        <v>15</v>
      </c>
      <c r="J848" s="2">
        <v>1118</v>
      </c>
      <c r="K848" s="2">
        <v>3</v>
      </c>
    </row>
    <row r="849" spans="1:11" x14ac:dyDescent="0.25">
      <c r="A849" t="s">
        <v>895</v>
      </c>
      <c r="B849" t="s">
        <v>35</v>
      </c>
      <c r="C849" t="s">
        <v>40</v>
      </c>
      <c r="D849" t="s">
        <v>32</v>
      </c>
      <c r="E849" s="1">
        <v>44972</v>
      </c>
      <c r="F849" s="1">
        <v>44973</v>
      </c>
      <c r="G849" s="2">
        <v>53.7</v>
      </c>
      <c r="H849" s="2">
        <v>113.89</v>
      </c>
      <c r="I849" t="s">
        <v>15</v>
      </c>
      <c r="J849" s="2">
        <v>283</v>
      </c>
      <c r="K849" s="2">
        <v>1</v>
      </c>
    </row>
    <row r="850" spans="1:11" x14ac:dyDescent="0.25">
      <c r="A850" t="s">
        <v>896</v>
      </c>
      <c r="B850" t="s">
        <v>56</v>
      </c>
      <c r="C850" t="s">
        <v>24</v>
      </c>
      <c r="D850" t="s">
        <v>37</v>
      </c>
      <c r="E850" s="1">
        <v>45008</v>
      </c>
      <c r="F850" s="1">
        <v>45014</v>
      </c>
      <c r="G850" s="2">
        <v>10.3</v>
      </c>
      <c r="H850" s="2">
        <v>312.01</v>
      </c>
      <c r="I850" t="s">
        <v>15</v>
      </c>
      <c r="J850" s="2">
        <v>2287</v>
      </c>
      <c r="K850" s="2">
        <v>6</v>
      </c>
    </row>
    <row r="851" spans="1:11" x14ac:dyDescent="0.25">
      <c r="A851" t="s">
        <v>897</v>
      </c>
      <c r="B851" t="s">
        <v>51</v>
      </c>
      <c r="C851" t="s">
        <v>57</v>
      </c>
      <c r="D851" t="s">
        <v>18</v>
      </c>
      <c r="E851" s="1">
        <v>45001</v>
      </c>
      <c r="F851" s="1">
        <v>45004</v>
      </c>
      <c r="G851" s="2">
        <v>23.7</v>
      </c>
      <c r="H851" s="2">
        <v>105.39</v>
      </c>
      <c r="I851" t="s">
        <v>15</v>
      </c>
      <c r="J851" s="2">
        <v>475</v>
      </c>
      <c r="K851" s="2">
        <v>3</v>
      </c>
    </row>
    <row r="852" spans="1:11" x14ac:dyDescent="0.25">
      <c r="A852" t="s">
        <v>898</v>
      </c>
      <c r="B852" t="s">
        <v>12</v>
      </c>
      <c r="C852" t="s">
        <v>17</v>
      </c>
      <c r="D852" t="s">
        <v>32</v>
      </c>
      <c r="E852" s="1">
        <v>45276</v>
      </c>
      <c r="F852" s="1">
        <v>45290</v>
      </c>
      <c r="G852" s="2">
        <v>12.4</v>
      </c>
      <c r="H852" s="2">
        <v>55.37</v>
      </c>
      <c r="I852" t="s">
        <v>47</v>
      </c>
      <c r="J852" s="2">
        <v>253</v>
      </c>
      <c r="K852" s="2">
        <v>1</v>
      </c>
    </row>
    <row r="853" spans="1:11" x14ac:dyDescent="0.25">
      <c r="A853" t="s">
        <v>899</v>
      </c>
      <c r="B853" t="s">
        <v>35</v>
      </c>
      <c r="C853" t="s">
        <v>17</v>
      </c>
      <c r="D853" t="s">
        <v>14</v>
      </c>
      <c r="E853" s="1">
        <v>45214</v>
      </c>
      <c r="F853" s="1">
        <v>45218</v>
      </c>
      <c r="G853" s="2">
        <v>21.5</v>
      </c>
      <c r="H853" s="2">
        <v>163.13</v>
      </c>
      <c r="I853" t="s">
        <v>15</v>
      </c>
      <c r="J853" s="2">
        <v>976</v>
      </c>
      <c r="K853" s="2">
        <v>4</v>
      </c>
    </row>
    <row r="854" spans="1:11" x14ac:dyDescent="0.25">
      <c r="A854" t="s">
        <v>900</v>
      </c>
      <c r="B854" t="s">
        <v>39</v>
      </c>
      <c r="C854" t="s">
        <v>81</v>
      </c>
      <c r="D854" t="s">
        <v>32</v>
      </c>
      <c r="E854" s="1">
        <v>45208</v>
      </c>
      <c r="F854" s="1">
        <v>45211</v>
      </c>
      <c r="G854" s="2">
        <v>13.7</v>
      </c>
      <c r="H854" s="2">
        <v>151.52000000000001</v>
      </c>
      <c r="I854" t="s">
        <v>15</v>
      </c>
      <c r="J854" s="2">
        <v>1030</v>
      </c>
      <c r="K854" s="2">
        <v>3</v>
      </c>
    </row>
    <row r="855" spans="1:11" x14ac:dyDescent="0.25">
      <c r="A855" t="s">
        <v>901</v>
      </c>
      <c r="B855" t="s">
        <v>23</v>
      </c>
      <c r="C855" t="s">
        <v>44</v>
      </c>
      <c r="D855" t="s">
        <v>59</v>
      </c>
      <c r="E855" s="1">
        <v>44973</v>
      </c>
      <c r="F855" s="1">
        <v>44977</v>
      </c>
      <c r="G855" s="2">
        <v>11.5</v>
      </c>
      <c r="H855" s="2">
        <v>215.48</v>
      </c>
      <c r="I855" t="s">
        <v>15</v>
      </c>
      <c r="J855" s="2">
        <v>1702</v>
      </c>
      <c r="K855" s="2">
        <v>4</v>
      </c>
    </row>
    <row r="856" spans="1:11" x14ac:dyDescent="0.25">
      <c r="A856" t="s">
        <v>902</v>
      </c>
      <c r="B856" t="s">
        <v>56</v>
      </c>
      <c r="C856" t="s">
        <v>70</v>
      </c>
      <c r="D856" t="s">
        <v>32</v>
      </c>
      <c r="E856" s="1">
        <v>45284</v>
      </c>
      <c r="F856" s="1">
        <v>45288</v>
      </c>
      <c r="G856" s="2">
        <v>7.2</v>
      </c>
      <c r="H856" s="2">
        <v>340.75</v>
      </c>
      <c r="I856" t="s">
        <v>67</v>
      </c>
      <c r="J856" s="2">
        <v>2010</v>
      </c>
      <c r="K856" s="2">
        <v>4</v>
      </c>
    </row>
    <row r="857" spans="1:11" x14ac:dyDescent="0.25">
      <c r="A857" t="s">
        <v>903</v>
      </c>
      <c r="B857" t="s">
        <v>39</v>
      </c>
      <c r="C857" t="s">
        <v>24</v>
      </c>
      <c r="D857" t="s">
        <v>37</v>
      </c>
      <c r="E857" s="1">
        <v>44984</v>
      </c>
      <c r="F857" s="1">
        <v>44990</v>
      </c>
      <c r="G857" s="2">
        <v>12.9</v>
      </c>
      <c r="H857" s="2">
        <v>311.31</v>
      </c>
      <c r="I857" t="s">
        <v>15</v>
      </c>
      <c r="J857" s="2">
        <v>2323</v>
      </c>
      <c r="K857" s="2">
        <v>6</v>
      </c>
    </row>
    <row r="858" spans="1:11" x14ac:dyDescent="0.25">
      <c r="A858" t="s">
        <v>904</v>
      </c>
      <c r="B858" t="s">
        <v>51</v>
      </c>
      <c r="C858" t="s">
        <v>40</v>
      </c>
      <c r="D858" t="s">
        <v>37</v>
      </c>
      <c r="E858" s="1">
        <v>44993</v>
      </c>
      <c r="F858" s="1">
        <v>44998</v>
      </c>
      <c r="G858" s="2">
        <v>16.3</v>
      </c>
      <c r="H858" s="2">
        <v>299.25</v>
      </c>
      <c r="I858" t="s">
        <v>15</v>
      </c>
      <c r="J858" s="2">
        <v>2263</v>
      </c>
      <c r="K858" s="2">
        <v>5</v>
      </c>
    </row>
    <row r="859" spans="1:11" x14ac:dyDescent="0.25">
      <c r="A859" t="s">
        <v>905</v>
      </c>
      <c r="B859" t="s">
        <v>49</v>
      </c>
      <c r="C859" t="s">
        <v>57</v>
      </c>
      <c r="D859" t="s">
        <v>32</v>
      </c>
      <c r="E859" s="1">
        <v>45244</v>
      </c>
      <c r="F859" s="1">
        <v>45247</v>
      </c>
      <c r="G859" s="2">
        <v>8.3000000000000007</v>
      </c>
      <c r="H859" s="2">
        <v>166.12</v>
      </c>
      <c r="I859" t="s">
        <v>15</v>
      </c>
      <c r="J859" s="2">
        <v>1054</v>
      </c>
      <c r="K859" s="2">
        <v>3</v>
      </c>
    </row>
    <row r="860" spans="1:11" x14ac:dyDescent="0.25">
      <c r="A860" t="s">
        <v>906</v>
      </c>
      <c r="B860" t="s">
        <v>27</v>
      </c>
      <c r="C860" t="s">
        <v>52</v>
      </c>
      <c r="D860" t="s">
        <v>32</v>
      </c>
      <c r="E860" s="1">
        <v>45224</v>
      </c>
      <c r="F860" s="1">
        <v>45228</v>
      </c>
      <c r="G860" s="2">
        <v>11.6</v>
      </c>
      <c r="H860" s="2">
        <v>147.12</v>
      </c>
      <c r="I860" t="s">
        <v>15</v>
      </c>
      <c r="J860" s="2">
        <v>905</v>
      </c>
      <c r="K860" s="2">
        <v>4</v>
      </c>
    </row>
    <row r="861" spans="1:11" x14ac:dyDescent="0.25">
      <c r="A861" t="s">
        <v>907</v>
      </c>
      <c r="B861" t="s">
        <v>56</v>
      </c>
      <c r="C861" t="s">
        <v>17</v>
      </c>
      <c r="D861" t="s">
        <v>59</v>
      </c>
      <c r="E861" s="1">
        <v>45142</v>
      </c>
      <c r="F861" s="1">
        <v>45147</v>
      </c>
      <c r="G861" s="2">
        <v>9.1</v>
      </c>
      <c r="H861" s="2">
        <v>144.68</v>
      </c>
      <c r="I861" t="s">
        <v>15</v>
      </c>
      <c r="J861" s="2">
        <v>1069</v>
      </c>
      <c r="K861" s="2">
        <v>5</v>
      </c>
    </row>
    <row r="862" spans="1:11" x14ac:dyDescent="0.25">
      <c r="A862" t="s">
        <v>908</v>
      </c>
      <c r="B862" t="s">
        <v>23</v>
      </c>
      <c r="C862" t="s">
        <v>28</v>
      </c>
      <c r="D862" t="s">
        <v>14</v>
      </c>
      <c r="E862" s="1">
        <v>44968</v>
      </c>
      <c r="F862" s="1">
        <v>44974</v>
      </c>
      <c r="G862" s="2">
        <v>26.8</v>
      </c>
      <c r="H862" s="2">
        <v>317.7</v>
      </c>
      <c r="I862" t="s">
        <v>15</v>
      </c>
      <c r="J862" s="2">
        <v>2274</v>
      </c>
      <c r="K862" s="2">
        <v>6</v>
      </c>
    </row>
    <row r="863" spans="1:11" x14ac:dyDescent="0.25">
      <c r="A863" t="s">
        <v>909</v>
      </c>
      <c r="B863" t="s">
        <v>27</v>
      </c>
      <c r="C863" t="s">
        <v>17</v>
      </c>
      <c r="D863" t="s">
        <v>14</v>
      </c>
      <c r="E863" s="1">
        <v>45233</v>
      </c>
      <c r="F863" s="1">
        <v>45235</v>
      </c>
      <c r="G863" s="2">
        <v>14.9</v>
      </c>
      <c r="H863" s="2">
        <v>50</v>
      </c>
      <c r="I863" t="s">
        <v>15</v>
      </c>
      <c r="J863" s="2">
        <v>161</v>
      </c>
      <c r="K863" s="2">
        <v>2</v>
      </c>
    </row>
    <row r="864" spans="1:11" x14ac:dyDescent="0.25">
      <c r="A864" t="s">
        <v>910</v>
      </c>
      <c r="B864" t="s">
        <v>12</v>
      </c>
      <c r="C864" t="s">
        <v>21</v>
      </c>
      <c r="D864" t="s">
        <v>25</v>
      </c>
      <c r="E864" s="1">
        <v>45189</v>
      </c>
      <c r="F864" s="1">
        <v>45193</v>
      </c>
      <c r="G864" s="2">
        <v>139.30000000000001</v>
      </c>
      <c r="H864" s="2">
        <v>235.27</v>
      </c>
      <c r="I864" t="s">
        <v>15</v>
      </c>
      <c r="J864" s="2">
        <v>547</v>
      </c>
      <c r="K864" s="2">
        <v>4</v>
      </c>
    </row>
    <row r="865" spans="1:11" x14ac:dyDescent="0.25">
      <c r="A865" t="s">
        <v>911</v>
      </c>
      <c r="B865" t="s">
        <v>51</v>
      </c>
      <c r="C865" t="s">
        <v>46</v>
      </c>
      <c r="D865" t="s">
        <v>37</v>
      </c>
      <c r="E865" s="1">
        <v>45059</v>
      </c>
      <c r="F865" s="1">
        <v>45061</v>
      </c>
      <c r="G865" s="2">
        <v>85.2</v>
      </c>
      <c r="H865" s="2">
        <v>135.66999999999999</v>
      </c>
      <c r="I865" t="s">
        <v>15</v>
      </c>
      <c r="J865" s="2">
        <v>215</v>
      </c>
      <c r="K865" s="2">
        <v>2</v>
      </c>
    </row>
    <row r="866" spans="1:11" x14ac:dyDescent="0.25">
      <c r="A866" t="s">
        <v>912</v>
      </c>
      <c r="B866" t="s">
        <v>39</v>
      </c>
      <c r="C866" t="s">
        <v>46</v>
      </c>
      <c r="D866" t="s">
        <v>32</v>
      </c>
      <c r="E866" s="1">
        <v>45202</v>
      </c>
      <c r="F866" s="1">
        <v>45208</v>
      </c>
      <c r="G866" s="2">
        <v>61.4</v>
      </c>
      <c r="H866" s="2">
        <v>405.09</v>
      </c>
      <c r="I866" t="s">
        <v>15</v>
      </c>
      <c r="J866" s="2">
        <v>2282</v>
      </c>
      <c r="K866" s="2">
        <v>6</v>
      </c>
    </row>
    <row r="867" spans="1:11" x14ac:dyDescent="0.25">
      <c r="A867" t="s">
        <v>913</v>
      </c>
      <c r="B867" t="s">
        <v>30</v>
      </c>
      <c r="C867" t="s">
        <v>44</v>
      </c>
      <c r="D867" t="s">
        <v>37</v>
      </c>
      <c r="E867" s="1">
        <v>45161</v>
      </c>
      <c r="F867" s="1">
        <v>45172</v>
      </c>
      <c r="G867" s="2">
        <v>72.5</v>
      </c>
      <c r="H867" s="2">
        <v>350.54</v>
      </c>
      <c r="I867" t="s">
        <v>47</v>
      </c>
      <c r="J867" s="2">
        <v>2411</v>
      </c>
      <c r="K867" s="2">
        <v>7</v>
      </c>
    </row>
    <row r="868" spans="1:11" x14ac:dyDescent="0.25">
      <c r="A868" t="s">
        <v>914</v>
      </c>
      <c r="B868" t="s">
        <v>49</v>
      </c>
      <c r="C868" t="s">
        <v>28</v>
      </c>
      <c r="D868" t="s">
        <v>18</v>
      </c>
      <c r="E868" s="1">
        <v>45106</v>
      </c>
      <c r="F868" s="1">
        <v>45109</v>
      </c>
      <c r="G868" s="2">
        <v>26.8</v>
      </c>
      <c r="H868" s="2">
        <v>176.88</v>
      </c>
      <c r="I868" t="s">
        <v>15</v>
      </c>
      <c r="J868" s="2">
        <v>1008</v>
      </c>
      <c r="K868" s="2">
        <v>3</v>
      </c>
    </row>
    <row r="869" spans="1:11" x14ac:dyDescent="0.25">
      <c r="A869" t="s">
        <v>915</v>
      </c>
      <c r="B869" t="s">
        <v>30</v>
      </c>
      <c r="C869" t="s">
        <v>13</v>
      </c>
      <c r="D869" t="s">
        <v>32</v>
      </c>
      <c r="E869" s="1">
        <v>45115</v>
      </c>
      <c r="F869" s="1">
        <v>45125</v>
      </c>
      <c r="G869" s="2">
        <v>34.200000000000003</v>
      </c>
      <c r="H869" s="2">
        <v>93.52</v>
      </c>
      <c r="I869" t="s">
        <v>47</v>
      </c>
      <c r="J869" s="2">
        <v>439</v>
      </c>
      <c r="K869" s="2">
        <v>3</v>
      </c>
    </row>
    <row r="870" spans="1:11" x14ac:dyDescent="0.25">
      <c r="A870" t="s">
        <v>916</v>
      </c>
      <c r="B870" t="s">
        <v>30</v>
      </c>
      <c r="C870" t="s">
        <v>44</v>
      </c>
      <c r="D870" t="s">
        <v>32</v>
      </c>
      <c r="E870" s="1">
        <v>44994</v>
      </c>
      <c r="G870" s="2">
        <v>45.4</v>
      </c>
      <c r="H870" s="2">
        <v>84.91</v>
      </c>
      <c r="I870" t="s">
        <v>15</v>
      </c>
      <c r="J870" s="2">
        <v>151</v>
      </c>
      <c r="K870" s="2">
        <v>2</v>
      </c>
    </row>
    <row r="871" spans="1:11" x14ac:dyDescent="0.25">
      <c r="A871" t="s">
        <v>917</v>
      </c>
      <c r="B871" t="s">
        <v>12</v>
      </c>
      <c r="C871" t="s">
        <v>24</v>
      </c>
      <c r="D871" t="s">
        <v>42</v>
      </c>
      <c r="E871" s="1">
        <v>45115</v>
      </c>
      <c r="F871" s="1">
        <v>45120</v>
      </c>
      <c r="G871" s="2">
        <v>64</v>
      </c>
      <c r="H871" s="2">
        <v>233.21</v>
      </c>
      <c r="I871" t="s">
        <v>15</v>
      </c>
      <c r="J871" s="2">
        <v>1235</v>
      </c>
      <c r="K871" s="2">
        <v>5</v>
      </c>
    </row>
    <row r="872" spans="1:11" x14ac:dyDescent="0.25">
      <c r="A872" t="s">
        <v>918</v>
      </c>
      <c r="B872" t="s">
        <v>30</v>
      </c>
      <c r="C872" t="s">
        <v>46</v>
      </c>
      <c r="D872" t="s">
        <v>37</v>
      </c>
      <c r="E872" s="1">
        <v>45178</v>
      </c>
      <c r="F872" s="1">
        <v>45182</v>
      </c>
      <c r="G872" s="2">
        <v>32.9</v>
      </c>
      <c r="H872" s="2">
        <v>227.09</v>
      </c>
      <c r="I872" t="s">
        <v>62</v>
      </c>
      <c r="J872" s="2">
        <v>1512</v>
      </c>
      <c r="K872" s="2">
        <v>4</v>
      </c>
    </row>
    <row r="873" spans="1:11" x14ac:dyDescent="0.25">
      <c r="A873" t="s">
        <v>919</v>
      </c>
      <c r="B873" t="s">
        <v>12</v>
      </c>
      <c r="C873" t="s">
        <v>24</v>
      </c>
      <c r="D873" t="s">
        <v>37</v>
      </c>
      <c r="E873" s="1">
        <v>45081</v>
      </c>
      <c r="F873" s="1">
        <v>45087</v>
      </c>
      <c r="G873" s="2">
        <v>81.900000000000006</v>
      </c>
      <c r="H873" s="2">
        <v>300.38</v>
      </c>
      <c r="I873" t="s">
        <v>15</v>
      </c>
      <c r="J873" s="2">
        <v>1836</v>
      </c>
      <c r="K873" s="2">
        <v>6</v>
      </c>
    </row>
    <row r="874" spans="1:11" x14ac:dyDescent="0.25">
      <c r="A874" t="s">
        <v>920</v>
      </c>
      <c r="B874" t="s">
        <v>12</v>
      </c>
      <c r="C874" t="s">
        <v>46</v>
      </c>
      <c r="D874" t="s">
        <v>25</v>
      </c>
      <c r="E874" s="1">
        <v>45017</v>
      </c>
      <c r="F874" s="1">
        <v>45024</v>
      </c>
      <c r="G874" s="2">
        <v>16.7</v>
      </c>
      <c r="H874" s="2">
        <v>340.65</v>
      </c>
      <c r="I874" t="s">
        <v>15</v>
      </c>
      <c r="J874" s="2">
        <v>2415</v>
      </c>
      <c r="K874" s="2">
        <v>7</v>
      </c>
    </row>
    <row r="875" spans="1:11" x14ac:dyDescent="0.25">
      <c r="A875" t="s">
        <v>921</v>
      </c>
      <c r="B875" t="s">
        <v>27</v>
      </c>
      <c r="C875" t="s">
        <v>24</v>
      </c>
      <c r="D875" t="s">
        <v>37</v>
      </c>
      <c r="E875" s="1">
        <v>44952</v>
      </c>
      <c r="F875" s="1">
        <v>44958</v>
      </c>
      <c r="G875" s="2">
        <v>17.399999999999999</v>
      </c>
      <c r="H875" s="2">
        <v>249.13</v>
      </c>
      <c r="I875" t="s">
        <v>47</v>
      </c>
      <c r="J875" s="2">
        <v>1969</v>
      </c>
      <c r="K875" s="2">
        <v>5</v>
      </c>
    </row>
    <row r="876" spans="1:11" x14ac:dyDescent="0.25">
      <c r="A876" t="s">
        <v>922</v>
      </c>
      <c r="B876" t="s">
        <v>56</v>
      </c>
      <c r="C876" t="s">
        <v>17</v>
      </c>
      <c r="D876" t="s">
        <v>25</v>
      </c>
      <c r="E876" s="1">
        <v>45137</v>
      </c>
      <c r="F876" s="1">
        <v>45140</v>
      </c>
      <c r="G876" s="2">
        <v>108.8</v>
      </c>
      <c r="H876" s="2">
        <v>204.71</v>
      </c>
      <c r="I876" t="s">
        <v>15</v>
      </c>
      <c r="J876" s="2">
        <v>784</v>
      </c>
      <c r="K876" s="2">
        <v>3</v>
      </c>
    </row>
    <row r="877" spans="1:11" x14ac:dyDescent="0.25">
      <c r="A877" t="s">
        <v>923</v>
      </c>
      <c r="B877" t="s">
        <v>30</v>
      </c>
      <c r="C877" t="s">
        <v>13</v>
      </c>
      <c r="D877" t="s">
        <v>42</v>
      </c>
      <c r="E877" s="1">
        <v>44954</v>
      </c>
      <c r="F877" s="1">
        <v>44959</v>
      </c>
      <c r="G877" s="2">
        <v>25.7</v>
      </c>
      <c r="H877" s="2">
        <v>227.68</v>
      </c>
      <c r="I877" t="s">
        <v>15</v>
      </c>
      <c r="J877" s="2">
        <v>1687</v>
      </c>
      <c r="K877" s="2">
        <v>5</v>
      </c>
    </row>
    <row r="878" spans="1:11" x14ac:dyDescent="0.25">
      <c r="A878" t="s">
        <v>924</v>
      </c>
      <c r="B878" t="s">
        <v>23</v>
      </c>
      <c r="C878" t="s">
        <v>21</v>
      </c>
      <c r="D878" t="s">
        <v>59</v>
      </c>
      <c r="E878" s="1">
        <v>45080</v>
      </c>
      <c r="F878" s="1">
        <v>45085</v>
      </c>
      <c r="G878" s="2">
        <v>11.6</v>
      </c>
      <c r="H878" s="2">
        <v>214.12</v>
      </c>
      <c r="I878" t="s">
        <v>15</v>
      </c>
      <c r="J878" s="2">
        <v>1624</v>
      </c>
      <c r="K878" s="2">
        <v>5</v>
      </c>
    </row>
    <row r="879" spans="1:11" x14ac:dyDescent="0.25">
      <c r="A879" t="s">
        <v>925</v>
      </c>
      <c r="B879" t="s">
        <v>30</v>
      </c>
      <c r="C879" t="s">
        <v>13</v>
      </c>
      <c r="D879" t="s">
        <v>37</v>
      </c>
      <c r="E879" s="1">
        <v>45137</v>
      </c>
      <c r="F879" s="1">
        <v>45139</v>
      </c>
      <c r="G879" s="2">
        <v>27.3</v>
      </c>
      <c r="H879" s="2">
        <v>70.849999999999994</v>
      </c>
      <c r="I879" t="s">
        <v>15</v>
      </c>
      <c r="J879" s="2">
        <v>337</v>
      </c>
      <c r="K879" s="2">
        <v>2</v>
      </c>
    </row>
    <row r="880" spans="1:11" x14ac:dyDescent="0.25">
      <c r="A880" t="s">
        <v>926</v>
      </c>
      <c r="B880" t="s">
        <v>27</v>
      </c>
      <c r="C880" t="s">
        <v>36</v>
      </c>
      <c r="D880" t="s">
        <v>37</v>
      </c>
      <c r="E880" s="1">
        <v>45019</v>
      </c>
      <c r="F880" s="1">
        <v>45024</v>
      </c>
      <c r="G880" s="2">
        <v>11.9</v>
      </c>
      <c r="H880" s="2">
        <v>260.02</v>
      </c>
      <c r="I880" t="s">
        <v>15</v>
      </c>
      <c r="J880" s="2">
        <v>2131</v>
      </c>
      <c r="K880" s="2">
        <v>5</v>
      </c>
    </row>
    <row r="881" spans="1:11" x14ac:dyDescent="0.25">
      <c r="A881" t="s">
        <v>927</v>
      </c>
      <c r="B881" t="s">
        <v>30</v>
      </c>
      <c r="C881" t="s">
        <v>70</v>
      </c>
      <c r="D881" t="s">
        <v>25</v>
      </c>
      <c r="E881" s="1">
        <v>45203</v>
      </c>
      <c r="F881" s="1">
        <v>45208</v>
      </c>
      <c r="G881" s="2">
        <v>125.8</v>
      </c>
      <c r="H881" s="2">
        <v>154.81</v>
      </c>
      <c r="I881" t="s">
        <v>15</v>
      </c>
      <c r="J881" s="2">
        <v>144</v>
      </c>
      <c r="K881" s="2">
        <v>5</v>
      </c>
    </row>
    <row r="882" spans="1:11" x14ac:dyDescent="0.25">
      <c r="A882" t="s">
        <v>928</v>
      </c>
      <c r="B882" t="s">
        <v>39</v>
      </c>
      <c r="C882" t="s">
        <v>52</v>
      </c>
      <c r="D882" t="s">
        <v>42</v>
      </c>
      <c r="E882" s="1">
        <v>45002</v>
      </c>
      <c r="F882" s="1">
        <v>45006</v>
      </c>
      <c r="G882" s="2">
        <v>24.7</v>
      </c>
      <c r="H882" s="2">
        <v>73.47</v>
      </c>
      <c r="I882" t="s">
        <v>15</v>
      </c>
      <c r="J882" s="2">
        <v>371</v>
      </c>
      <c r="K882" s="2">
        <v>4</v>
      </c>
    </row>
    <row r="883" spans="1:11" x14ac:dyDescent="0.25">
      <c r="A883" t="s">
        <v>929</v>
      </c>
      <c r="B883" t="s">
        <v>56</v>
      </c>
      <c r="C883" t="s">
        <v>57</v>
      </c>
      <c r="D883" t="s">
        <v>59</v>
      </c>
      <c r="E883" s="1">
        <v>45133</v>
      </c>
      <c r="F883" s="1">
        <v>45138</v>
      </c>
      <c r="G883" s="2">
        <v>22.8</v>
      </c>
      <c r="H883" s="2">
        <v>287.85000000000002</v>
      </c>
      <c r="I883" t="s">
        <v>15</v>
      </c>
      <c r="J883" s="2">
        <v>2393</v>
      </c>
      <c r="K883" s="2">
        <v>5</v>
      </c>
    </row>
    <row r="884" spans="1:11" x14ac:dyDescent="0.25">
      <c r="A884" t="s">
        <v>930</v>
      </c>
      <c r="B884" t="s">
        <v>27</v>
      </c>
      <c r="C884" t="s">
        <v>46</v>
      </c>
      <c r="D884" t="s">
        <v>18</v>
      </c>
      <c r="E884" s="1">
        <v>45054</v>
      </c>
      <c r="F884" s="1">
        <v>45059</v>
      </c>
      <c r="G884" s="2">
        <v>18.100000000000001</v>
      </c>
      <c r="H884" s="2">
        <v>236.64</v>
      </c>
      <c r="I884" t="s">
        <v>15</v>
      </c>
      <c r="J884" s="2">
        <v>1504</v>
      </c>
      <c r="K884" s="2">
        <v>5</v>
      </c>
    </row>
    <row r="885" spans="1:11" x14ac:dyDescent="0.25">
      <c r="A885" t="s">
        <v>931</v>
      </c>
      <c r="B885" t="s">
        <v>56</v>
      </c>
      <c r="C885" t="s">
        <v>44</v>
      </c>
      <c r="D885" t="s">
        <v>37</v>
      </c>
      <c r="E885" s="1">
        <v>45222</v>
      </c>
      <c r="F885" s="1">
        <v>45229</v>
      </c>
      <c r="G885" s="2">
        <v>8.6999999999999993</v>
      </c>
      <c r="H885" s="2">
        <v>296.81</v>
      </c>
      <c r="I885" t="s">
        <v>15</v>
      </c>
      <c r="J885" s="2">
        <v>2333</v>
      </c>
      <c r="K885" s="2">
        <v>7</v>
      </c>
    </row>
    <row r="886" spans="1:11" x14ac:dyDescent="0.25">
      <c r="A886" t="s">
        <v>932</v>
      </c>
      <c r="B886" t="s">
        <v>49</v>
      </c>
      <c r="C886" t="s">
        <v>28</v>
      </c>
      <c r="D886" t="s">
        <v>32</v>
      </c>
      <c r="E886" s="1">
        <v>45225</v>
      </c>
      <c r="F886" s="1">
        <v>45226</v>
      </c>
      <c r="G886" s="2">
        <v>27.5</v>
      </c>
      <c r="H886" s="2">
        <v>68.709999999999994</v>
      </c>
      <c r="I886" t="s">
        <v>15</v>
      </c>
      <c r="J886" s="2">
        <v>303</v>
      </c>
      <c r="K886" s="2">
        <v>1</v>
      </c>
    </row>
    <row r="887" spans="1:11" x14ac:dyDescent="0.25">
      <c r="A887" t="s">
        <v>933</v>
      </c>
      <c r="B887" t="s">
        <v>39</v>
      </c>
      <c r="C887" t="s">
        <v>24</v>
      </c>
      <c r="D887" t="s">
        <v>42</v>
      </c>
      <c r="E887" s="1">
        <v>45270</v>
      </c>
      <c r="F887" s="1">
        <v>45275</v>
      </c>
      <c r="G887" s="2">
        <v>10.5</v>
      </c>
      <c r="H887" s="2">
        <v>308.36</v>
      </c>
      <c r="I887" t="s">
        <v>62</v>
      </c>
      <c r="J887" s="2">
        <v>2147</v>
      </c>
      <c r="K887" s="2">
        <v>5</v>
      </c>
    </row>
    <row r="888" spans="1:11" x14ac:dyDescent="0.25">
      <c r="A888" t="s">
        <v>934</v>
      </c>
      <c r="B888" t="s">
        <v>56</v>
      </c>
      <c r="C888" t="s">
        <v>31</v>
      </c>
      <c r="D888" t="s">
        <v>59</v>
      </c>
      <c r="E888" s="1">
        <v>45285</v>
      </c>
      <c r="F888" s="1">
        <v>45297</v>
      </c>
      <c r="G888" s="2">
        <v>24.8</v>
      </c>
      <c r="H888" s="2">
        <v>54.1</v>
      </c>
      <c r="I888" t="s">
        <v>47</v>
      </c>
      <c r="J888" s="2">
        <v>118</v>
      </c>
      <c r="K888" s="2">
        <v>1</v>
      </c>
    </row>
    <row r="889" spans="1:11" x14ac:dyDescent="0.25">
      <c r="A889" t="s">
        <v>935</v>
      </c>
      <c r="B889" t="s">
        <v>30</v>
      </c>
      <c r="C889" t="s">
        <v>46</v>
      </c>
      <c r="D889" t="s">
        <v>37</v>
      </c>
      <c r="E889" s="1">
        <v>45247</v>
      </c>
      <c r="F889" s="1">
        <v>45253</v>
      </c>
      <c r="G889" s="2">
        <v>42.3</v>
      </c>
      <c r="H889" s="2">
        <v>378.62</v>
      </c>
      <c r="I889" t="s">
        <v>15</v>
      </c>
      <c r="J889" s="2">
        <v>2282</v>
      </c>
      <c r="K889" s="2">
        <v>6</v>
      </c>
    </row>
    <row r="890" spans="1:11" x14ac:dyDescent="0.25">
      <c r="A890" t="s">
        <v>936</v>
      </c>
      <c r="B890" t="s">
        <v>35</v>
      </c>
      <c r="C890" t="s">
        <v>17</v>
      </c>
      <c r="D890" t="s">
        <v>59</v>
      </c>
      <c r="E890" s="1">
        <v>44982</v>
      </c>
      <c r="F890" s="1">
        <v>44989</v>
      </c>
      <c r="G890" s="2">
        <v>13.5</v>
      </c>
      <c r="H890" s="2">
        <v>246</v>
      </c>
      <c r="I890" t="s">
        <v>15</v>
      </c>
      <c r="J890" s="2">
        <v>2106</v>
      </c>
      <c r="K890" s="2">
        <v>7</v>
      </c>
    </row>
    <row r="891" spans="1:11" x14ac:dyDescent="0.25">
      <c r="A891" t="s">
        <v>937</v>
      </c>
      <c r="B891" t="s">
        <v>20</v>
      </c>
      <c r="C891" t="s">
        <v>52</v>
      </c>
      <c r="D891" t="s">
        <v>25</v>
      </c>
      <c r="E891" s="1">
        <v>45076</v>
      </c>
      <c r="F891" s="1">
        <v>45079</v>
      </c>
      <c r="G891" s="2">
        <v>9.4</v>
      </c>
      <c r="H891" s="2">
        <v>61.04</v>
      </c>
      <c r="I891" t="s">
        <v>15</v>
      </c>
      <c r="J891" s="2">
        <v>373</v>
      </c>
      <c r="K891" s="2">
        <v>3</v>
      </c>
    </row>
    <row r="892" spans="1:11" x14ac:dyDescent="0.25">
      <c r="A892" t="s">
        <v>938</v>
      </c>
      <c r="B892" t="s">
        <v>56</v>
      </c>
      <c r="C892" t="s">
        <v>13</v>
      </c>
      <c r="D892" t="s">
        <v>25</v>
      </c>
      <c r="E892" s="1">
        <v>45063</v>
      </c>
      <c r="F892" s="1">
        <v>45067</v>
      </c>
      <c r="G892" s="2">
        <v>20.6</v>
      </c>
      <c r="H892" s="2">
        <v>219.02</v>
      </c>
      <c r="I892" t="s">
        <v>15</v>
      </c>
      <c r="J892" s="2">
        <v>1611</v>
      </c>
      <c r="K892" s="2">
        <v>4</v>
      </c>
    </row>
    <row r="893" spans="1:11" x14ac:dyDescent="0.25">
      <c r="A893" t="s">
        <v>939</v>
      </c>
      <c r="B893" t="s">
        <v>51</v>
      </c>
      <c r="C893" t="s">
        <v>17</v>
      </c>
      <c r="D893" t="s">
        <v>42</v>
      </c>
      <c r="E893" s="1">
        <v>45214</v>
      </c>
      <c r="F893" s="1">
        <v>45218</v>
      </c>
      <c r="G893" s="2">
        <v>75.7</v>
      </c>
      <c r="H893" s="2">
        <v>211.3</v>
      </c>
      <c r="I893" t="s">
        <v>15</v>
      </c>
      <c r="J893" s="2">
        <v>870</v>
      </c>
      <c r="K893" s="2">
        <v>4</v>
      </c>
    </row>
    <row r="894" spans="1:11" x14ac:dyDescent="0.25">
      <c r="A894" t="s">
        <v>940</v>
      </c>
      <c r="B894" t="s">
        <v>27</v>
      </c>
      <c r="C894" t="s">
        <v>31</v>
      </c>
      <c r="D894" t="s">
        <v>42</v>
      </c>
      <c r="E894" s="1">
        <v>45260</v>
      </c>
      <c r="F894" s="1">
        <v>45261</v>
      </c>
      <c r="G894" s="2">
        <v>11.3</v>
      </c>
      <c r="H894" s="2">
        <v>29.98</v>
      </c>
      <c r="I894" t="s">
        <v>15</v>
      </c>
      <c r="J894" s="2">
        <v>104</v>
      </c>
      <c r="K894" s="2">
        <v>1</v>
      </c>
    </row>
    <row r="895" spans="1:11" x14ac:dyDescent="0.25">
      <c r="A895" t="s">
        <v>941</v>
      </c>
      <c r="B895" t="s">
        <v>27</v>
      </c>
      <c r="C895" t="s">
        <v>28</v>
      </c>
      <c r="D895" t="s">
        <v>25</v>
      </c>
      <c r="E895" s="1">
        <v>45247</v>
      </c>
      <c r="F895" s="1">
        <v>45250</v>
      </c>
      <c r="G895" s="2">
        <v>10.5</v>
      </c>
      <c r="H895" s="2">
        <v>154.75</v>
      </c>
      <c r="I895" t="s">
        <v>15</v>
      </c>
      <c r="J895" s="2">
        <v>917</v>
      </c>
      <c r="K895" s="2">
        <v>3</v>
      </c>
    </row>
    <row r="896" spans="1:11" x14ac:dyDescent="0.25">
      <c r="A896" t="s">
        <v>942</v>
      </c>
      <c r="B896" t="s">
        <v>20</v>
      </c>
      <c r="C896" t="s">
        <v>21</v>
      </c>
      <c r="D896" t="s">
        <v>59</v>
      </c>
      <c r="E896" s="1">
        <v>45233</v>
      </c>
      <c r="F896" s="1">
        <v>45236</v>
      </c>
      <c r="G896" s="2">
        <v>21</v>
      </c>
      <c r="H896" s="2">
        <v>186.14</v>
      </c>
      <c r="I896" t="s">
        <v>15</v>
      </c>
      <c r="J896" s="2">
        <v>1090</v>
      </c>
      <c r="K896" s="2">
        <v>3</v>
      </c>
    </row>
    <row r="897" spans="1:11" x14ac:dyDescent="0.25">
      <c r="A897" t="s">
        <v>943</v>
      </c>
      <c r="B897" t="s">
        <v>35</v>
      </c>
      <c r="C897" t="s">
        <v>81</v>
      </c>
      <c r="D897" t="s">
        <v>14</v>
      </c>
      <c r="E897" s="1">
        <v>45284</v>
      </c>
      <c r="F897" s="1">
        <v>45286</v>
      </c>
      <c r="G897" s="2">
        <v>28.7</v>
      </c>
      <c r="H897" s="2">
        <v>188.12</v>
      </c>
      <c r="I897" t="s">
        <v>15</v>
      </c>
      <c r="J897" s="2">
        <v>1000</v>
      </c>
      <c r="K897" s="2">
        <v>2</v>
      </c>
    </row>
    <row r="898" spans="1:11" x14ac:dyDescent="0.25">
      <c r="A898" t="s">
        <v>944</v>
      </c>
      <c r="B898" t="s">
        <v>12</v>
      </c>
      <c r="C898" t="s">
        <v>36</v>
      </c>
      <c r="D898" t="s">
        <v>42</v>
      </c>
      <c r="E898" s="1">
        <v>45083</v>
      </c>
      <c r="F898" s="1">
        <v>45085</v>
      </c>
      <c r="G898" s="2">
        <v>14.1</v>
      </c>
      <c r="H898" s="2">
        <v>42.48</v>
      </c>
      <c r="I898" t="s">
        <v>15</v>
      </c>
      <c r="J898" s="2">
        <v>181</v>
      </c>
      <c r="K898" s="2">
        <v>2</v>
      </c>
    </row>
    <row r="899" spans="1:11" x14ac:dyDescent="0.25">
      <c r="A899" t="s">
        <v>945</v>
      </c>
      <c r="B899" t="s">
        <v>39</v>
      </c>
      <c r="C899" t="s">
        <v>52</v>
      </c>
      <c r="D899" t="s">
        <v>14</v>
      </c>
      <c r="E899" s="1">
        <v>45005</v>
      </c>
      <c r="F899" s="1">
        <v>45012</v>
      </c>
      <c r="G899" s="2">
        <v>35.700000000000003</v>
      </c>
      <c r="H899" s="2">
        <v>341.41</v>
      </c>
      <c r="I899" t="s">
        <v>15</v>
      </c>
      <c r="J899" s="2">
        <v>2300</v>
      </c>
      <c r="K899" s="2">
        <v>7</v>
      </c>
    </row>
    <row r="900" spans="1:11" x14ac:dyDescent="0.25">
      <c r="A900" t="s">
        <v>946</v>
      </c>
      <c r="B900" t="s">
        <v>27</v>
      </c>
      <c r="C900" t="s">
        <v>81</v>
      </c>
      <c r="D900" t="s">
        <v>25</v>
      </c>
      <c r="E900" s="1">
        <v>45180</v>
      </c>
      <c r="F900" s="1">
        <v>45185</v>
      </c>
      <c r="G900" s="2">
        <v>40.5</v>
      </c>
      <c r="H900" s="2">
        <v>175.32</v>
      </c>
      <c r="I900" t="s">
        <v>15</v>
      </c>
      <c r="J900" s="2">
        <v>1176</v>
      </c>
      <c r="K900" s="2">
        <v>5</v>
      </c>
    </row>
    <row r="901" spans="1:11" x14ac:dyDescent="0.25">
      <c r="A901" t="s">
        <v>947</v>
      </c>
      <c r="B901" t="s">
        <v>39</v>
      </c>
      <c r="C901" t="s">
        <v>70</v>
      </c>
      <c r="D901" t="s">
        <v>14</v>
      </c>
      <c r="E901" s="1">
        <v>45006</v>
      </c>
      <c r="F901" s="1">
        <v>45021</v>
      </c>
      <c r="G901" s="2">
        <v>18.2</v>
      </c>
      <c r="H901" s="2">
        <v>150.78</v>
      </c>
      <c r="I901" t="s">
        <v>47</v>
      </c>
      <c r="J901" s="2">
        <v>915</v>
      </c>
      <c r="K901" s="2">
        <v>3</v>
      </c>
    </row>
    <row r="902" spans="1:11" x14ac:dyDescent="0.25">
      <c r="A902" t="s">
        <v>948</v>
      </c>
      <c r="B902" t="s">
        <v>20</v>
      </c>
      <c r="C902" t="s">
        <v>70</v>
      </c>
      <c r="D902" t="s">
        <v>18</v>
      </c>
      <c r="E902" s="1">
        <v>45238</v>
      </c>
      <c r="F902" s="1">
        <v>45253</v>
      </c>
      <c r="G902" s="2">
        <v>11.9</v>
      </c>
      <c r="H902" s="2">
        <v>103</v>
      </c>
      <c r="I902" t="s">
        <v>47</v>
      </c>
      <c r="J902" s="2">
        <v>495</v>
      </c>
      <c r="K902" s="2">
        <v>6</v>
      </c>
    </row>
    <row r="903" spans="1:11" x14ac:dyDescent="0.25">
      <c r="A903" t="s">
        <v>949</v>
      </c>
      <c r="B903" t="s">
        <v>12</v>
      </c>
      <c r="C903" t="s">
        <v>57</v>
      </c>
      <c r="D903" t="s">
        <v>18</v>
      </c>
      <c r="E903" s="1">
        <v>45245</v>
      </c>
      <c r="F903" s="1">
        <v>45247</v>
      </c>
      <c r="G903" s="2">
        <v>24.4</v>
      </c>
      <c r="H903" s="2">
        <v>146.91</v>
      </c>
      <c r="I903" t="s">
        <v>15</v>
      </c>
      <c r="J903" s="2">
        <v>605</v>
      </c>
      <c r="K903" s="2">
        <v>2</v>
      </c>
    </row>
    <row r="904" spans="1:11" x14ac:dyDescent="0.25">
      <c r="A904" t="s">
        <v>950</v>
      </c>
      <c r="B904" t="s">
        <v>20</v>
      </c>
      <c r="C904" t="s">
        <v>28</v>
      </c>
      <c r="D904" t="s">
        <v>18</v>
      </c>
      <c r="E904" s="1">
        <v>45255</v>
      </c>
      <c r="F904" s="1">
        <v>45258</v>
      </c>
      <c r="G904" s="2">
        <v>18</v>
      </c>
      <c r="H904" s="2">
        <v>271.66000000000003</v>
      </c>
      <c r="I904" t="s">
        <v>15</v>
      </c>
      <c r="J904" s="2">
        <v>1435</v>
      </c>
      <c r="K904" s="2">
        <v>3</v>
      </c>
    </row>
    <row r="905" spans="1:11" x14ac:dyDescent="0.25">
      <c r="A905" t="s">
        <v>951</v>
      </c>
      <c r="B905" t="s">
        <v>12</v>
      </c>
      <c r="C905" t="s">
        <v>70</v>
      </c>
      <c r="D905" t="s">
        <v>37</v>
      </c>
      <c r="E905" s="1">
        <v>45189</v>
      </c>
      <c r="F905" s="1">
        <v>45194</v>
      </c>
      <c r="G905" s="2">
        <v>11.8</v>
      </c>
      <c r="H905" s="2">
        <v>268.58999999999997</v>
      </c>
      <c r="I905" t="s">
        <v>15</v>
      </c>
      <c r="J905" s="2">
        <v>1973</v>
      </c>
      <c r="K905" s="2">
        <v>5</v>
      </c>
    </row>
    <row r="906" spans="1:11" x14ac:dyDescent="0.25">
      <c r="A906" t="s">
        <v>952</v>
      </c>
      <c r="B906" t="s">
        <v>35</v>
      </c>
      <c r="C906" t="s">
        <v>57</v>
      </c>
      <c r="D906" t="s">
        <v>42</v>
      </c>
      <c r="E906" s="1">
        <v>45019</v>
      </c>
      <c r="F906" s="1">
        <v>45022</v>
      </c>
      <c r="G906" s="2">
        <v>30.9</v>
      </c>
      <c r="H906" s="2">
        <v>46.94</v>
      </c>
      <c r="I906" t="s">
        <v>15</v>
      </c>
      <c r="J906" s="2">
        <v>106</v>
      </c>
      <c r="K906" s="2">
        <v>3</v>
      </c>
    </row>
    <row r="907" spans="1:11" x14ac:dyDescent="0.25">
      <c r="A907" t="s">
        <v>953</v>
      </c>
      <c r="B907" t="s">
        <v>39</v>
      </c>
      <c r="C907" t="s">
        <v>54</v>
      </c>
      <c r="D907" t="s">
        <v>25</v>
      </c>
      <c r="E907" s="1">
        <v>45222</v>
      </c>
      <c r="F907" s="1">
        <v>45225</v>
      </c>
      <c r="G907" s="2">
        <v>59.4</v>
      </c>
      <c r="H907" s="2">
        <v>192.19</v>
      </c>
      <c r="I907" t="s">
        <v>15</v>
      </c>
      <c r="J907" s="2">
        <v>1118</v>
      </c>
      <c r="K907" s="2">
        <v>3</v>
      </c>
    </row>
    <row r="908" spans="1:11" x14ac:dyDescent="0.25">
      <c r="A908" t="s">
        <v>954</v>
      </c>
      <c r="B908" t="s">
        <v>27</v>
      </c>
      <c r="C908" t="s">
        <v>13</v>
      </c>
      <c r="D908" t="s">
        <v>37</v>
      </c>
      <c r="E908" s="1">
        <v>45258</v>
      </c>
      <c r="F908" s="1">
        <v>45263</v>
      </c>
      <c r="G908" s="2">
        <v>40.299999999999997</v>
      </c>
      <c r="H908" s="2">
        <v>208.84</v>
      </c>
      <c r="I908" t="s">
        <v>15</v>
      </c>
      <c r="J908" s="2">
        <v>1034</v>
      </c>
      <c r="K908" s="2">
        <v>5</v>
      </c>
    </row>
    <row r="909" spans="1:11" x14ac:dyDescent="0.25">
      <c r="A909" t="s">
        <v>955</v>
      </c>
      <c r="B909" t="s">
        <v>35</v>
      </c>
      <c r="C909" t="s">
        <v>24</v>
      </c>
      <c r="D909" t="s">
        <v>32</v>
      </c>
      <c r="E909" s="1">
        <v>45244</v>
      </c>
      <c r="F909" s="1">
        <v>45249</v>
      </c>
      <c r="G909" s="2">
        <v>14</v>
      </c>
      <c r="H909" s="2">
        <v>337</v>
      </c>
      <c r="I909" t="s">
        <v>15</v>
      </c>
      <c r="J909" s="2">
        <v>1878</v>
      </c>
      <c r="K909" s="2">
        <v>5</v>
      </c>
    </row>
    <row r="910" spans="1:11" x14ac:dyDescent="0.25">
      <c r="A910" t="s">
        <v>956</v>
      </c>
      <c r="B910" t="s">
        <v>27</v>
      </c>
      <c r="C910" t="s">
        <v>24</v>
      </c>
      <c r="D910" t="s">
        <v>18</v>
      </c>
      <c r="E910" s="1">
        <v>45031</v>
      </c>
      <c r="F910" s="1">
        <v>45035</v>
      </c>
      <c r="G910" s="2">
        <v>33.700000000000003</v>
      </c>
      <c r="H910" s="2">
        <v>302.22000000000003</v>
      </c>
      <c r="I910" t="s">
        <v>15</v>
      </c>
      <c r="J910" s="2">
        <v>1819</v>
      </c>
      <c r="K910" s="2">
        <v>4</v>
      </c>
    </row>
    <row r="911" spans="1:11" x14ac:dyDescent="0.25">
      <c r="A911" t="s">
        <v>957</v>
      </c>
      <c r="B911" t="s">
        <v>27</v>
      </c>
      <c r="C911" t="s">
        <v>28</v>
      </c>
      <c r="D911" t="s">
        <v>42</v>
      </c>
      <c r="E911" s="1">
        <v>44930</v>
      </c>
      <c r="F911" s="1">
        <v>44938</v>
      </c>
      <c r="G911" s="2">
        <v>32</v>
      </c>
      <c r="H911" s="2">
        <v>327.10000000000002</v>
      </c>
      <c r="I911" t="s">
        <v>15</v>
      </c>
      <c r="J911" s="2">
        <v>2355</v>
      </c>
      <c r="K911" s="2">
        <v>8</v>
      </c>
    </row>
    <row r="912" spans="1:11" x14ac:dyDescent="0.25">
      <c r="A912" t="s">
        <v>958</v>
      </c>
      <c r="B912" t="s">
        <v>27</v>
      </c>
      <c r="C912" t="s">
        <v>46</v>
      </c>
      <c r="D912" t="s">
        <v>37</v>
      </c>
      <c r="E912" s="1">
        <v>44969</v>
      </c>
      <c r="F912" s="1">
        <v>44974</v>
      </c>
      <c r="G912" s="2">
        <v>15.9</v>
      </c>
      <c r="H912" s="2">
        <v>308.5</v>
      </c>
      <c r="I912" t="s">
        <v>15</v>
      </c>
      <c r="J912" s="2">
        <v>2282</v>
      </c>
      <c r="K912" s="2">
        <v>5</v>
      </c>
    </row>
    <row r="913" spans="1:11" x14ac:dyDescent="0.25">
      <c r="A913" t="s">
        <v>959</v>
      </c>
      <c r="B913" t="s">
        <v>23</v>
      </c>
      <c r="C913" t="s">
        <v>31</v>
      </c>
      <c r="D913" t="s">
        <v>42</v>
      </c>
      <c r="E913" s="1">
        <v>45219</v>
      </c>
      <c r="F913" s="1">
        <v>45221</v>
      </c>
      <c r="G913" s="2">
        <v>31.6</v>
      </c>
      <c r="H913" s="2">
        <v>74.81</v>
      </c>
      <c r="I913" t="s">
        <v>15</v>
      </c>
      <c r="J913" s="2">
        <v>308</v>
      </c>
      <c r="K913" s="2">
        <v>2</v>
      </c>
    </row>
    <row r="914" spans="1:11" x14ac:dyDescent="0.25">
      <c r="A914" t="s">
        <v>960</v>
      </c>
      <c r="B914" t="s">
        <v>27</v>
      </c>
      <c r="C914" t="s">
        <v>36</v>
      </c>
      <c r="D914" t="s">
        <v>37</v>
      </c>
      <c r="E914" s="1">
        <v>45208</v>
      </c>
      <c r="F914" s="1">
        <v>45212</v>
      </c>
      <c r="G914" s="2">
        <v>16.5</v>
      </c>
      <c r="H914" s="2">
        <v>169.6</v>
      </c>
      <c r="I914" t="s">
        <v>60</v>
      </c>
      <c r="J914" s="2">
        <v>1221</v>
      </c>
      <c r="K914" s="2">
        <v>4</v>
      </c>
    </row>
    <row r="915" spans="1:11" x14ac:dyDescent="0.25">
      <c r="A915" t="s">
        <v>961</v>
      </c>
      <c r="B915" t="s">
        <v>23</v>
      </c>
      <c r="C915" t="s">
        <v>70</v>
      </c>
      <c r="D915" t="s">
        <v>14</v>
      </c>
      <c r="E915" s="1">
        <v>45214</v>
      </c>
      <c r="F915" s="1">
        <v>45228</v>
      </c>
      <c r="G915" s="2">
        <v>24.6</v>
      </c>
      <c r="H915" s="2">
        <v>150.37</v>
      </c>
      <c r="I915" t="s">
        <v>47</v>
      </c>
      <c r="J915" s="2">
        <v>852</v>
      </c>
      <c r="K915" s="2">
        <v>4</v>
      </c>
    </row>
    <row r="916" spans="1:11" x14ac:dyDescent="0.25">
      <c r="A916" t="s">
        <v>962</v>
      </c>
      <c r="B916" t="s">
        <v>30</v>
      </c>
      <c r="C916" t="s">
        <v>21</v>
      </c>
      <c r="D916" t="s">
        <v>25</v>
      </c>
      <c r="E916" s="1">
        <v>45243</v>
      </c>
      <c r="F916" s="1">
        <v>45246</v>
      </c>
      <c r="G916" s="2">
        <v>22.5</v>
      </c>
      <c r="H916" s="2">
        <v>172.21</v>
      </c>
      <c r="I916" t="s">
        <v>15</v>
      </c>
      <c r="J916" s="2">
        <v>945</v>
      </c>
      <c r="K916" s="2">
        <v>3</v>
      </c>
    </row>
    <row r="917" spans="1:11" x14ac:dyDescent="0.25">
      <c r="A917" t="s">
        <v>963</v>
      </c>
      <c r="B917" t="s">
        <v>23</v>
      </c>
      <c r="C917" t="s">
        <v>52</v>
      </c>
      <c r="D917" t="s">
        <v>14</v>
      </c>
      <c r="E917" s="1">
        <v>45131</v>
      </c>
      <c r="F917" s="1">
        <v>45137</v>
      </c>
      <c r="G917" s="2">
        <v>14</v>
      </c>
      <c r="H917" s="2">
        <v>295.74</v>
      </c>
      <c r="I917" t="s">
        <v>15</v>
      </c>
      <c r="J917" s="2">
        <v>2256</v>
      </c>
      <c r="K917" s="2">
        <v>6</v>
      </c>
    </row>
    <row r="918" spans="1:11" x14ac:dyDescent="0.25">
      <c r="A918" t="s">
        <v>964</v>
      </c>
      <c r="B918" t="s">
        <v>51</v>
      </c>
      <c r="C918" t="s">
        <v>57</v>
      </c>
      <c r="D918" t="s">
        <v>32</v>
      </c>
      <c r="E918" s="1">
        <v>45227</v>
      </c>
      <c r="F918" s="1">
        <v>45228</v>
      </c>
      <c r="G918" s="2">
        <v>8.1</v>
      </c>
      <c r="H918" s="2">
        <v>81.180000000000007</v>
      </c>
      <c r="I918" t="s">
        <v>15</v>
      </c>
      <c r="J918" s="2">
        <v>481</v>
      </c>
      <c r="K918" s="2">
        <v>1</v>
      </c>
    </row>
    <row r="919" spans="1:11" x14ac:dyDescent="0.25">
      <c r="A919" t="s">
        <v>965</v>
      </c>
      <c r="B919" t="s">
        <v>23</v>
      </c>
      <c r="C919" t="s">
        <v>36</v>
      </c>
      <c r="D919" t="s">
        <v>37</v>
      </c>
      <c r="E919" s="1">
        <v>45066</v>
      </c>
      <c r="F919" s="1">
        <v>45070</v>
      </c>
      <c r="G919" s="2">
        <v>20</v>
      </c>
      <c r="H919" s="2">
        <v>254.01</v>
      </c>
      <c r="I919" t="s">
        <v>15</v>
      </c>
      <c r="J919" s="2">
        <v>1767</v>
      </c>
      <c r="K919" s="2">
        <v>4</v>
      </c>
    </row>
    <row r="920" spans="1:11" x14ac:dyDescent="0.25">
      <c r="A920" t="s">
        <v>966</v>
      </c>
      <c r="B920" t="s">
        <v>12</v>
      </c>
      <c r="C920" t="s">
        <v>52</v>
      </c>
      <c r="D920" t="s">
        <v>32</v>
      </c>
      <c r="E920" s="1">
        <v>45077</v>
      </c>
      <c r="F920" s="1">
        <v>45084</v>
      </c>
      <c r="G920" s="2">
        <v>35.9</v>
      </c>
      <c r="H920" s="2">
        <v>140.38</v>
      </c>
      <c r="I920" t="s">
        <v>15</v>
      </c>
      <c r="J920" s="2">
        <v>788</v>
      </c>
      <c r="K920" s="2">
        <v>7</v>
      </c>
    </row>
    <row r="921" spans="1:11" x14ac:dyDescent="0.25">
      <c r="A921" t="s">
        <v>967</v>
      </c>
      <c r="B921" t="s">
        <v>39</v>
      </c>
      <c r="C921" t="s">
        <v>57</v>
      </c>
      <c r="D921" t="s">
        <v>18</v>
      </c>
      <c r="E921" s="1">
        <v>45147</v>
      </c>
      <c r="F921" s="1">
        <v>45150</v>
      </c>
      <c r="G921" s="2">
        <v>22.5</v>
      </c>
      <c r="H921" s="2">
        <v>171.17</v>
      </c>
      <c r="I921" t="s">
        <v>15</v>
      </c>
      <c r="J921" s="2">
        <v>1017</v>
      </c>
      <c r="K921" s="2">
        <v>3</v>
      </c>
    </row>
    <row r="922" spans="1:11" x14ac:dyDescent="0.25">
      <c r="A922" t="s">
        <v>968</v>
      </c>
      <c r="B922" t="s">
        <v>56</v>
      </c>
      <c r="C922" t="s">
        <v>24</v>
      </c>
      <c r="D922" t="s">
        <v>14</v>
      </c>
      <c r="E922" s="1">
        <v>44934</v>
      </c>
      <c r="F922" s="1">
        <v>44938</v>
      </c>
      <c r="G922" s="2">
        <v>17.600000000000001</v>
      </c>
      <c r="H922" s="2">
        <v>242.22</v>
      </c>
      <c r="I922" t="s">
        <v>15</v>
      </c>
      <c r="J922" s="2">
        <v>1577</v>
      </c>
      <c r="K922" s="2">
        <v>4</v>
      </c>
    </row>
    <row r="923" spans="1:11" x14ac:dyDescent="0.25">
      <c r="A923" t="s">
        <v>969</v>
      </c>
      <c r="B923" t="s">
        <v>30</v>
      </c>
      <c r="C923" t="s">
        <v>40</v>
      </c>
      <c r="D923" t="s">
        <v>18</v>
      </c>
      <c r="E923" s="1">
        <v>45003</v>
      </c>
      <c r="F923" s="1">
        <v>45005</v>
      </c>
      <c r="G923" s="2">
        <v>12.9</v>
      </c>
      <c r="H923" s="2">
        <v>74.16</v>
      </c>
      <c r="I923" t="s">
        <v>62</v>
      </c>
      <c r="J923" s="2">
        <v>419</v>
      </c>
      <c r="K923" s="2">
        <v>2</v>
      </c>
    </row>
    <row r="924" spans="1:11" x14ac:dyDescent="0.25">
      <c r="A924" t="s">
        <v>970</v>
      </c>
      <c r="B924" t="s">
        <v>39</v>
      </c>
      <c r="C924" t="s">
        <v>40</v>
      </c>
      <c r="D924" t="s">
        <v>14</v>
      </c>
      <c r="E924" s="1">
        <v>45155</v>
      </c>
      <c r="F924" s="1">
        <v>45161</v>
      </c>
      <c r="G924" s="2">
        <v>12.8</v>
      </c>
      <c r="H924" s="2">
        <v>6229.12</v>
      </c>
      <c r="I924" t="s">
        <v>15</v>
      </c>
      <c r="J924" s="2">
        <v>2490</v>
      </c>
      <c r="K924" s="2">
        <v>6</v>
      </c>
    </row>
    <row r="925" spans="1:11" x14ac:dyDescent="0.25">
      <c r="A925" t="s">
        <v>971</v>
      </c>
      <c r="B925" t="s">
        <v>12</v>
      </c>
      <c r="C925" t="s">
        <v>52</v>
      </c>
      <c r="D925" t="s">
        <v>25</v>
      </c>
      <c r="E925" s="1">
        <v>44951</v>
      </c>
      <c r="F925" s="1">
        <v>44952</v>
      </c>
      <c r="G925" s="2">
        <v>71.099999999999994</v>
      </c>
      <c r="H925" s="2">
        <v>114.32</v>
      </c>
      <c r="I925" t="s">
        <v>15</v>
      </c>
      <c r="J925" s="2">
        <v>167</v>
      </c>
      <c r="K925" s="2">
        <v>1</v>
      </c>
    </row>
    <row r="926" spans="1:11" x14ac:dyDescent="0.25">
      <c r="A926" t="s">
        <v>972</v>
      </c>
      <c r="B926" t="s">
        <v>23</v>
      </c>
      <c r="C926" t="s">
        <v>21</v>
      </c>
      <c r="D926" t="s">
        <v>32</v>
      </c>
      <c r="E926" s="1">
        <v>45161</v>
      </c>
      <c r="F926" s="1">
        <v>45167</v>
      </c>
      <c r="G926" s="2">
        <v>13.6</v>
      </c>
      <c r="H926" s="2">
        <v>326.70999999999998</v>
      </c>
      <c r="I926" t="s">
        <v>15</v>
      </c>
      <c r="J926" s="2">
        <v>2328</v>
      </c>
      <c r="K926" s="2">
        <v>6</v>
      </c>
    </row>
    <row r="927" spans="1:11" x14ac:dyDescent="0.25">
      <c r="A927" t="s">
        <v>973</v>
      </c>
      <c r="B927" t="s">
        <v>30</v>
      </c>
      <c r="C927" t="s">
        <v>31</v>
      </c>
      <c r="D927" t="s">
        <v>25</v>
      </c>
      <c r="E927" s="1">
        <v>45045</v>
      </c>
      <c r="F927" s="1">
        <v>45048</v>
      </c>
      <c r="G927" s="2">
        <v>24.2</v>
      </c>
      <c r="H927" s="2">
        <v>107.33</v>
      </c>
      <c r="I927" t="s">
        <v>15</v>
      </c>
      <c r="J927" s="2">
        <v>669</v>
      </c>
      <c r="K927" s="2">
        <v>3</v>
      </c>
    </row>
    <row r="928" spans="1:11" x14ac:dyDescent="0.25">
      <c r="A928" t="s">
        <v>974</v>
      </c>
      <c r="B928" t="s">
        <v>27</v>
      </c>
      <c r="C928" t="s">
        <v>81</v>
      </c>
      <c r="D928" t="s">
        <v>25</v>
      </c>
      <c r="E928" s="1">
        <v>45291</v>
      </c>
      <c r="F928" s="1">
        <v>45293</v>
      </c>
      <c r="G928" s="2">
        <v>39.700000000000003</v>
      </c>
      <c r="H928" s="2">
        <v>130.72999999999999</v>
      </c>
      <c r="I928" t="s">
        <v>15</v>
      </c>
      <c r="J928" s="2">
        <v>468</v>
      </c>
      <c r="K928" s="2">
        <v>2</v>
      </c>
    </row>
    <row r="929" spans="1:11" x14ac:dyDescent="0.25">
      <c r="A929" t="s">
        <v>975</v>
      </c>
      <c r="B929" t="s">
        <v>56</v>
      </c>
      <c r="C929" t="s">
        <v>13</v>
      </c>
      <c r="D929" t="s">
        <v>37</v>
      </c>
      <c r="E929" s="1">
        <v>44991</v>
      </c>
      <c r="F929" s="1">
        <v>44994</v>
      </c>
      <c r="G929" s="2">
        <v>9.4</v>
      </c>
      <c r="H929" s="2">
        <v>84.83</v>
      </c>
      <c r="I929" t="s">
        <v>15</v>
      </c>
      <c r="J929" s="2">
        <v>563</v>
      </c>
      <c r="K929" s="2">
        <v>3</v>
      </c>
    </row>
    <row r="930" spans="1:11" x14ac:dyDescent="0.25">
      <c r="A930" t="s">
        <v>976</v>
      </c>
      <c r="B930" t="s">
        <v>12</v>
      </c>
      <c r="C930" t="s">
        <v>52</v>
      </c>
      <c r="D930" t="s">
        <v>37</v>
      </c>
      <c r="E930" s="1">
        <v>45223</v>
      </c>
      <c r="F930" s="1">
        <v>45227</v>
      </c>
      <c r="G930" s="2">
        <v>13.6</v>
      </c>
      <c r="H930" s="2">
        <v>187.79</v>
      </c>
      <c r="I930" t="s">
        <v>15</v>
      </c>
      <c r="J930" s="2">
        <v>1584</v>
      </c>
      <c r="K930" s="2">
        <v>4</v>
      </c>
    </row>
    <row r="931" spans="1:11" x14ac:dyDescent="0.25">
      <c r="A931" t="s">
        <v>977</v>
      </c>
      <c r="B931" t="s">
        <v>49</v>
      </c>
      <c r="C931" t="s">
        <v>57</v>
      </c>
      <c r="D931" t="s">
        <v>59</v>
      </c>
      <c r="E931" s="1">
        <v>45067</v>
      </c>
      <c r="F931" s="1">
        <v>45072</v>
      </c>
      <c r="G931" s="2">
        <v>32.5</v>
      </c>
      <c r="H931" s="2">
        <v>252.22</v>
      </c>
      <c r="I931" t="s">
        <v>15</v>
      </c>
      <c r="J931" s="2">
        <v>2107</v>
      </c>
      <c r="K931" s="2">
        <v>5</v>
      </c>
    </row>
    <row r="932" spans="1:11" x14ac:dyDescent="0.25">
      <c r="A932" t="s">
        <v>978</v>
      </c>
      <c r="B932" t="s">
        <v>12</v>
      </c>
      <c r="C932" t="s">
        <v>70</v>
      </c>
      <c r="D932" t="s">
        <v>14</v>
      </c>
      <c r="E932" s="1">
        <v>45261</v>
      </c>
      <c r="F932" s="1">
        <v>45265</v>
      </c>
      <c r="G932" s="2">
        <v>23.3</v>
      </c>
      <c r="H932" s="2">
        <v>266.08</v>
      </c>
      <c r="I932" t="s">
        <v>15</v>
      </c>
      <c r="J932" s="2">
        <v>1473</v>
      </c>
      <c r="K932" s="2">
        <v>4</v>
      </c>
    </row>
    <row r="933" spans="1:11" x14ac:dyDescent="0.25">
      <c r="A933" t="s">
        <v>979</v>
      </c>
      <c r="B933" t="s">
        <v>51</v>
      </c>
      <c r="C933" t="s">
        <v>81</v>
      </c>
      <c r="D933" t="s">
        <v>18</v>
      </c>
      <c r="E933" s="1">
        <v>45100</v>
      </c>
      <c r="F933" s="1">
        <v>45103</v>
      </c>
      <c r="G933" s="2">
        <v>88.7</v>
      </c>
      <c r="H933" s="2">
        <v>196.15</v>
      </c>
      <c r="I933" t="s">
        <v>15</v>
      </c>
      <c r="J933" s="2">
        <v>509</v>
      </c>
      <c r="K933" s="2">
        <v>3</v>
      </c>
    </row>
    <row r="934" spans="1:11" x14ac:dyDescent="0.25">
      <c r="A934" t="s">
        <v>980</v>
      </c>
      <c r="B934" t="s">
        <v>30</v>
      </c>
      <c r="C934" t="s">
        <v>57</v>
      </c>
      <c r="D934" t="s">
        <v>25</v>
      </c>
      <c r="E934" s="1">
        <v>45020</v>
      </c>
      <c r="F934" s="1">
        <v>45022</v>
      </c>
      <c r="G934" s="2">
        <v>36.299999999999997</v>
      </c>
      <c r="H934" s="2">
        <v>74.959999999999994</v>
      </c>
      <c r="I934" t="s">
        <v>15</v>
      </c>
      <c r="J934" s="2">
        <v>253</v>
      </c>
      <c r="K934" s="2">
        <v>2</v>
      </c>
    </row>
    <row r="935" spans="1:11" x14ac:dyDescent="0.25">
      <c r="A935" t="s">
        <v>981</v>
      </c>
      <c r="B935" t="s">
        <v>27</v>
      </c>
      <c r="C935" t="s">
        <v>46</v>
      </c>
      <c r="D935" t="s">
        <v>25</v>
      </c>
      <c r="E935" s="1">
        <v>45171</v>
      </c>
      <c r="F935" s="1">
        <v>45174</v>
      </c>
      <c r="G935" s="2">
        <v>36.5</v>
      </c>
      <c r="H935" s="2">
        <v>128</v>
      </c>
      <c r="I935" t="s">
        <v>15</v>
      </c>
      <c r="J935" s="2">
        <v>757</v>
      </c>
      <c r="K935" s="2">
        <v>3</v>
      </c>
    </row>
    <row r="936" spans="1:11" x14ac:dyDescent="0.25">
      <c r="A936" t="s">
        <v>982</v>
      </c>
      <c r="B936" t="s">
        <v>49</v>
      </c>
      <c r="C936" t="s">
        <v>13</v>
      </c>
      <c r="D936" t="s">
        <v>59</v>
      </c>
      <c r="E936" s="1">
        <v>45043</v>
      </c>
      <c r="F936" s="1">
        <v>45047</v>
      </c>
      <c r="G936" s="2">
        <v>26.9</v>
      </c>
      <c r="H936" s="2">
        <v>221.1</v>
      </c>
      <c r="I936" t="s">
        <v>15</v>
      </c>
      <c r="J936" s="2">
        <v>1796</v>
      </c>
      <c r="K936" s="2">
        <v>4</v>
      </c>
    </row>
    <row r="937" spans="1:11" x14ac:dyDescent="0.25">
      <c r="A937" t="s">
        <v>983</v>
      </c>
      <c r="B937" t="s">
        <v>49</v>
      </c>
      <c r="C937" t="s">
        <v>24</v>
      </c>
      <c r="D937" t="s">
        <v>32</v>
      </c>
      <c r="E937" s="1">
        <v>45104</v>
      </c>
      <c r="F937" s="1">
        <v>45109</v>
      </c>
      <c r="G937" s="2">
        <v>4.4000000000000004</v>
      </c>
      <c r="H937" s="2">
        <v>301.81</v>
      </c>
      <c r="I937" t="s">
        <v>15</v>
      </c>
      <c r="J937" s="2">
        <v>2087</v>
      </c>
      <c r="K937" s="2">
        <v>5</v>
      </c>
    </row>
    <row r="938" spans="1:11" x14ac:dyDescent="0.25">
      <c r="A938" t="s">
        <v>984</v>
      </c>
      <c r="B938" t="s">
        <v>23</v>
      </c>
      <c r="C938" t="s">
        <v>44</v>
      </c>
      <c r="D938" t="s">
        <v>42</v>
      </c>
      <c r="E938" s="1">
        <v>45016</v>
      </c>
      <c r="F938" s="1">
        <v>45019</v>
      </c>
      <c r="G938" s="2">
        <v>16.5</v>
      </c>
      <c r="H938" s="2">
        <v>152.12</v>
      </c>
      <c r="I938" t="s">
        <v>15</v>
      </c>
      <c r="J938" s="2">
        <v>1027</v>
      </c>
      <c r="K938" s="2">
        <v>3</v>
      </c>
    </row>
    <row r="939" spans="1:11" x14ac:dyDescent="0.25">
      <c r="A939" t="s">
        <v>985</v>
      </c>
      <c r="B939" t="s">
        <v>30</v>
      </c>
      <c r="C939" t="s">
        <v>81</v>
      </c>
      <c r="D939" t="s">
        <v>32</v>
      </c>
      <c r="E939" s="1">
        <v>44959</v>
      </c>
      <c r="F939" s="1">
        <v>44966</v>
      </c>
      <c r="G939" s="2">
        <v>11.8</v>
      </c>
      <c r="H939" s="2">
        <v>306.43</v>
      </c>
      <c r="I939" t="s">
        <v>15</v>
      </c>
      <c r="J939" s="2">
        <v>2442</v>
      </c>
      <c r="K939" s="2">
        <v>7</v>
      </c>
    </row>
    <row r="940" spans="1:11" x14ac:dyDescent="0.25">
      <c r="A940" t="s">
        <v>986</v>
      </c>
      <c r="B940" t="s">
        <v>27</v>
      </c>
      <c r="C940" t="s">
        <v>13</v>
      </c>
      <c r="D940" t="s">
        <v>32</v>
      </c>
      <c r="E940" s="1">
        <v>45266</v>
      </c>
      <c r="F940" s="1">
        <v>45270</v>
      </c>
      <c r="G940" s="2">
        <v>22.4</v>
      </c>
      <c r="H940" s="2">
        <v>162.76</v>
      </c>
      <c r="I940" t="s">
        <v>15</v>
      </c>
      <c r="J940" s="2">
        <v>862</v>
      </c>
      <c r="K940" s="2">
        <v>4</v>
      </c>
    </row>
    <row r="941" spans="1:11" x14ac:dyDescent="0.25">
      <c r="A941" t="s">
        <v>987</v>
      </c>
      <c r="B941" t="s">
        <v>39</v>
      </c>
      <c r="C941" t="s">
        <v>28</v>
      </c>
      <c r="D941" t="s">
        <v>32</v>
      </c>
      <c r="E941" s="1">
        <v>45124</v>
      </c>
      <c r="F941" s="1">
        <v>45137</v>
      </c>
      <c r="G941" s="2">
        <v>9.3000000000000007</v>
      </c>
      <c r="H941" s="2">
        <v>108.95</v>
      </c>
      <c r="I941" t="s">
        <v>47</v>
      </c>
      <c r="J941" s="2">
        <v>813</v>
      </c>
      <c r="K941" s="2">
        <v>3</v>
      </c>
    </row>
    <row r="942" spans="1:11" x14ac:dyDescent="0.25">
      <c r="A942" t="s">
        <v>988</v>
      </c>
      <c r="B942" t="s">
        <v>56</v>
      </c>
      <c r="C942" t="s">
        <v>57</v>
      </c>
      <c r="D942" t="s">
        <v>32</v>
      </c>
      <c r="E942" s="1">
        <v>44955</v>
      </c>
      <c r="F942" s="1">
        <v>44964</v>
      </c>
      <c r="G942" s="2">
        <v>40.9</v>
      </c>
      <c r="H942" s="2">
        <v>307.95999999999998</v>
      </c>
      <c r="I942" t="s">
        <v>15</v>
      </c>
      <c r="J942" s="2">
        <v>1805</v>
      </c>
      <c r="K942" s="2">
        <v>9</v>
      </c>
    </row>
    <row r="943" spans="1:11" x14ac:dyDescent="0.25">
      <c r="A943" t="s">
        <v>989</v>
      </c>
      <c r="B943" t="s">
        <v>51</v>
      </c>
      <c r="C943" t="s">
        <v>57</v>
      </c>
      <c r="D943" t="s">
        <v>32</v>
      </c>
      <c r="E943" s="1">
        <v>45288</v>
      </c>
      <c r="F943" s="1">
        <v>45298</v>
      </c>
      <c r="G943" s="2">
        <v>11.8</v>
      </c>
      <c r="H943" s="2">
        <v>345.46</v>
      </c>
      <c r="I943" t="s">
        <v>47</v>
      </c>
      <c r="J943" s="2">
        <v>1958</v>
      </c>
      <c r="K943" s="2">
        <v>5</v>
      </c>
    </row>
    <row r="944" spans="1:11" x14ac:dyDescent="0.25">
      <c r="A944" t="s">
        <v>990</v>
      </c>
      <c r="B944" t="s">
        <v>27</v>
      </c>
      <c r="C944" t="s">
        <v>31</v>
      </c>
      <c r="D944" t="s">
        <v>37</v>
      </c>
      <c r="E944" s="1">
        <v>45044</v>
      </c>
      <c r="F944" s="1">
        <v>45050</v>
      </c>
      <c r="G944" s="2">
        <v>10.1</v>
      </c>
      <c r="H944" s="2">
        <v>221.55</v>
      </c>
      <c r="I944" t="s">
        <v>15</v>
      </c>
      <c r="J944" s="2">
        <v>1943</v>
      </c>
      <c r="K944" s="2">
        <v>6</v>
      </c>
    </row>
    <row r="945" spans="1:11" x14ac:dyDescent="0.25">
      <c r="A945" t="s">
        <v>991</v>
      </c>
      <c r="B945" t="s">
        <v>35</v>
      </c>
      <c r="C945" t="s">
        <v>44</v>
      </c>
      <c r="D945" t="s">
        <v>37</v>
      </c>
      <c r="E945" s="1">
        <v>45231</v>
      </c>
      <c r="F945" s="1">
        <v>45238</v>
      </c>
      <c r="G945" s="2">
        <v>8.9</v>
      </c>
      <c r="H945" s="2">
        <v>390.8</v>
      </c>
      <c r="I945" t="s">
        <v>15</v>
      </c>
      <c r="J945" s="2">
        <v>2441</v>
      </c>
      <c r="K945" s="2">
        <v>7</v>
      </c>
    </row>
    <row r="946" spans="1:11" x14ac:dyDescent="0.25">
      <c r="A946" t="s">
        <v>992</v>
      </c>
      <c r="B946" t="s">
        <v>51</v>
      </c>
      <c r="C946" t="s">
        <v>52</v>
      </c>
      <c r="D946" t="s">
        <v>59</v>
      </c>
      <c r="E946" s="1">
        <v>45064</v>
      </c>
      <c r="F946" s="1">
        <v>45034</v>
      </c>
      <c r="G946" s="2">
        <v>55.4</v>
      </c>
      <c r="H946" s="2">
        <v>237.06</v>
      </c>
      <c r="I946" t="s">
        <v>62</v>
      </c>
      <c r="J946" s="2">
        <v>1644</v>
      </c>
      <c r="K946" s="2">
        <v>5</v>
      </c>
    </row>
    <row r="947" spans="1:11" x14ac:dyDescent="0.25">
      <c r="A947" t="s">
        <v>993</v>
      </c>
      <c r="B947" t="s">
        <v>39</v>
      </c>
      <c r="C947" t="s">
        <v>36</v>
      </c>
      <c r="D947" t="s">
        <v>42</v>
      </c>
      <c r="E947" s="1">
        <v>45206</v>
      </c>
      <c r="F947" s="1">
        <v>45209</v>
      </c>
      <c r="G947" s="2">
        <v>7.1</v>
      </c>
      <c r="H947" s="2">
        <v>164.49</v>
      </c>
      <c r="I947" t="s">
        <v>15</v>
      </c>
      <c r="J947" s="2">
        <v>1336</v>
      </c>
      <c r="K947" s="2">
        <v>3</v>
      </c>
    </row>
    <row r="948" spans="1:11" x14ac:dyDescent="0.25">
      <c r="A948" t="s">
        <v>994</v>
      </c>
      <c r="B948" t="s">
        <v>20</v>
      </c>
      <c r="C948" t="s">
        <v>36</v>
      </c>
      <c r="D948" t="s">
        <v>14</v>
      </c>
      <c r="E948" s="1">
        <v>44949</v>
      </c>
      <c r="F948" s="1">
        <v>44953</v>
      </c>
      <c r="G948" s="2">
        <v>45.4</v>
      </c>
      <c r="H948" s="2">
        <v>172.09</v>
      </c>
      <c r="I948" t="s">
        <v>15</v>
      </c>
      <c r="J948" s="2">
        <v>1050</v>
      </c>
      <c r="K948" s="2">
        <v>4</v>
      </c>
    </row>
    <row r="949" spans="1:11" x14ac:dyDescent="0.25">
      <c r="A949" t="s">
        <v>995</v>
      </c>
      <c r="B949" t="s">
        <v>30</v>
      </c>
      <c r="C949" t="s">
        <v>17</v>
      </c>
      <c r="D949" t="s">
        <v>14</v>
      </c>
      <c r="E949" s="1">
        <v>45216</v>
      </c>
      <c r="F949" s="1">
        <v>45222</v>
      </c>
      <c r="G949" s="2">
        <v>53.8</v>
      </c>
      <c r="H949" s="2">
        <v>334.19</v>
      </c>
      <c r="I949" t="s">
        <v>15</v>
      </c>
      <c r="J949" s="2">
        <v>2107</v>
      </c>
      <c r="K949" s="2">
        <v>6</v>
      </c>
    </row>
    <row r="950" spans="1:11" x14ac:dyDescent="0.25">
      <c r="A950" t="s">
        <v>996</v>
      </c>
      <c r="B950" t="s">
        <v>12</v>
      </c>
      <c r="C950" t="s">
        <v>28</v>
      </c>
      <c r="D950" t="s">
        <v>14</v>
      </c>
      <c r="E950" s="1">
        <v>45033</v>
      </c>
      <c r="F950" s="1">
        <v>45035</v>
      </c>
      <c r="G950" s="2">
        <v>20</v>
      </c>
      <c r="H950" s="2">
        <v>96.84</v>
      </c>
      <c r="I950" t="s">
        <v>15</v>
      </c>
      <c r="J950" s="2">
        <v>517</v>
      </c>
      <c r="K950" s="2">
        <v>2</v>
      </c>
    </row>
    <row r="951" spans="1:11" x14ac:dyDescent="0.25">
      <c r="A951" t="s">
        <v>997</v>
      </c>
      <c r="B951" t="s">
        <v>30</v>
      </c>
      <c r="C951" t="s">
        <v>28</v>
      </c>
      <c r="D951" t="s">
        <v>14</v>
      </c>
      <c r="E951" s="1">
        <v>45247</v>
      </c>
      <c r="F951" s="1">
        <v>45263</v>
      </c>
      <c r="G951" s="2">
        <v>47.6</v>
      </c>
      <c r="H951" s="2">
        <v>267.76</v>
      </c>
      <c r="I951" t="s">
        <v>47</v>
      </c>
      <c r="J951" s="2">
        <v>1263</v>
      </c>
      <c r="K951" s="2">
        <v>4</v>
      </c>
    </row>
    <row r="952" spans="1:11" x14ac:dyDescent="0.25">
      <c r="A952" t="s">
        <v>998</v>
      </c>
      <c r="B952" t="s">
        <v>27</v>
      </c>
      <c r="C952" t="s">
        <v>28</v>
      </c>
      <c r="D952" t="s">
        <v>42</v>
      </c>
      <c r="E952" s="1">
        <v>44989</v>
      </c>
      <c r="F952" s="1">
        <v>44992</v>
      </c>
      <c r="G952" s="2">
        <v>14.9</v>
      </c>
      <c r="H952" s="2">
        <v>148</v>
      </c>
      <c r="I952" t="s">
        <v>15</v>
      </c>
      <c r="J952" s="2">
        <v>1154</v>
      </c>
      <c r="K952" s="2">
        <v>3</v>
      </c>
    </row>
    <row r="953" spans="1:11" x14ac:dyDescent="0.25">
      <c r="A953" t="s">
        <v>999</v>
      </c>
      <c r="B953" t="s">
        <v>30</v>
      </c>
      <c r="C953" t="s">
        <v>13</v>
      </c>
      <c r="D953" t="s">
        <v>25</v>
      </c>
      <c r="E953" s="1">
        <v>45127</v>
      </c>
      <c r="F953" s="1">
        <v>45131</v>
      </c>
      <c r="G953" s="2">
        <v>62.4</v>
      </c>
      <c r="H953" s="2">
        <v>118.11</v>
      </c>
      <c r="I953" t="s">
        <v>15</v>
      </c>
      <c r="J953" s="2">
        <v>407</v>
      </c>
      <c r="K953" s="2">
        <v>4</v>
      </c>
    </row>
    <row r="954" spans="1:11" x14ac:dyDescent="0.25">
      <c r="A954" t="s">
        <v>1000</v>
      </c>
      <c r="B954" t="s">
        <v>51</v>
      </c>
      <c r="C954" t="s">
        <v>70</v>
      </c>
      <c r="D954" t="s">
        <v>32</v>
      </c>
      <c r="E954" s="1">
        <v>45159</v>
      </c>
      <c r="F954" s="1">
        <v>45165</v>
      </c>
      <c r="G954" s="2">
        <v>28.3</v>
      </c>
      <c r="H954" s="2">
        <v>318.33999999999997</v>
      </c>
      <c r="I954" t="s">
        <v>15</v>
      </c>
      <c r="J954" s="2">
        <v>2076</v>
      </c>
      <c r="K954" s="2">
        <v>6</v>
      </c>
    </row>
    <row r="955" spans="1:11" x14ac:dyDescent="0.25">
      <c r="A955" t="s">
        <v>1001</v>
      </c>
      <c r="B955" t="s">
        <v>51</v>
      </c>
      <c r="C955" t="s">
        <v>81</v>
      </c>
      <c r="D955" t="s">
        <v>59</v>
      </c>
      <c r="E955" s="1">
        <v>45196</v>
      </c>
      <c r="F955" s="1">
        <v>45202</v>
      </c>
      <c r="G955" s="2">
        <v>26.6</v>
      </c>
      <c r="H955" s="2">
        <v>295.92</v>
      </c>
      <c r="I955" t="s">
        <v>15</v>
      </c>
      <c r="J955" s="2">
        <v>2346</v>
      </c>
      <c r="K955" s="2">
        <v>6</v>
      </c>
    </row>
    <row r="956" spans="1:11" x14ac:dyDescent="0.25">
      <c r="A956" t="s">
        <v>1002</v>
      </c>
      <c r="B956" t="s">
        <v>23</v>
      </c>
      <c r="C956" t="s">
        <v>36</v>
      </c>
      <c r="D956" t="s">
        <v>37</v>
      </c>
      <c r="E956" s="1">
        <v>44964</v>
      </c>
      <c r="F956" s="1">
        <v>44966</v>
      </c>
      <c r="G956" s="2">
        <v>29.9</v>
      </c>
      <c r="H956" s="2">
        <v>108.93</v>
      </c>
      <c r="I956" t="s">
        <v>15</v>
      </c>
      <c r="J956" s="2">
        <v>576</v>
      </c>
      <c r="K956" s="2">
        <v>2</v>
      </c>
    </row>
    <row r="957" spans="1:11" x14ac:dyDescent="0.25">
      <c r="A957" t="s">
        <v>1003</v>
      </c>
      <c r="B957" t="s">
        <v>12</v>
      </c>
      <c r="C957" t="s">
        <v>17</v>
      </c>
      <c r="D957" t="s">
        <v>18</v>
      </c>
      <c r="E957" s="1">
        <v>44954</v>
      </c>
      <c r="F957" s="1">
        <v>44959</v>
      </c>
      <c r="G957" s="2">
        <v>5.0999999999999996</v>
      </c>
      <c r="H957" s="2">
        <v>236.05</v>
      </c>
      <c r="I957" t="s">
        <v>15</v>
      </c>
      <c r="J957" s="2">
        <v>1773</v>
      </c>
      <c r="K957" s="2">
        <v>5</v>
      </c>
    </row>
    <row r="958" spans="1:11" x14ac:dyDescent="0.25">
      <c r="A958" t="s">
        <v>1004</v>
      </c>
      <c r="B958" t="s">
        <v>56</v>
      </c>
      <c r="C958" t="s">
        <v>17</v>
      </c>
      <c r="D958" t="s">
        <v>42</v>
      </c>
      <c r="E958" s="1">
        <v>45098</v>
      </c>
      <c r="F958" s="1">
        <v>45101</v>
      </c>
      <c r="G958" s="2">
        <v>24.3</v>
      </c>
      <c r="H958" s="2">
        <v>160.77000000000001</v>
      </c>
      <c r="I958" t="s">
        <v>62</v>
      </c>
      <c r="J958" s="2">
        <v>1144</v>
      </c>
      <c r="K958" s="2">
        <v>3</v>
      </c>
    </row>
    <row r="959" spans="1:11" x14ac:dyDescent="0.25">
      <c r="A959" t="s">
        <v>1005</v>
      </c>
      <c r="B959" t="s">
        <v>49</v>
      </c>
      <c r="C959" t="s">
        <v>46</v>
      </c>
      <c r="D959" t="s">
        <v>32</v>
      </c>
      <c r="E959" s="1">
        <v>45175</v>
      </c>
      <c r="F959" s="1">
        <v>45180</v>
      </c>
      <c r="G959" s="2">
        <v>75</v>
      </c>
      <c r="H959" s="2">
        <v>402.46</v>
      </c>
      <c r="I959" t="s">
        <v>15</v>
      </c>
      <c r="J959" s="2">
        <v>2200</v>
      </c>
      <c r="K959" s="2">
        <v>5</v>
      </c>
    </row>
    <row r="960" spans="1:11" x14ac:dyDescent="0.25">
      <c r="A960" t="s">
        <v>1006</v>
      </c>
      <c r="B960" t="s">
        <v>49</v>
      </c>
      <c r="C960" t="s">
        <v>81</v>
      </c>
      <c r="D960" t="s">
        <v>25</v>
      </c>
      <c r="E960" s="1">
        <v>45123</v>
      </c>
      <c r="F960" s="1">
        <v>45128</v>
      </c>
      <c r="G960" s="2">
        <v>29.6</v>
      </c>
      <c r="H960" s="2">
        <v>276.98</v>
      </c>
      <c r="I960" t="s">
        <v>15</v>
      </c>
      <c r="J960" s="2">
        <v>2049</v>
      </c>
      <c r="K960" s="2">
        <v>5</v>
      </c>
    </row>
    <row r="961" spans="1:11" x14ac:dyDescent="0.25">
      <c r="A961" t="s">
        <v>1007</v>
      </c>
      <c r="B961" t="s">
        <v>39</v>
      </c>
      <c r="C961" t="s">
        <v>81</v>
      </c>
      <c r="D961" t="s">
        <v>25</v>
      </c>
      <c r="E961" s="1">
        <v>45264</v>
      </c>
      <c r="F961" s="1">
        <v>45271</v>
      </c>
      <c r="G961" s="2">
        <v>3.2</v>
      </c>
      <c r="H961" s="2">
        <v>140.80000000000001</v>
      </c>
      <c r="I961" t="s">
        <v>15</v>
      </c>
      <c r="J961" s="2">
        <v>1030</v>
      </c>
      <c r="K961" s="2">
        <v>7</v>
      </c>
    </row>
    <row r="962" spans="1:11" x14ac:dyDescent="0.25">
      <c r="A962" t="s">
        <v>1008</v>
      </c>
      <c r="B962" t="s">
        <v>51</v>
      </c>
      <c r="C962" t="s">
        <v>28</v>
      </c>
      <c r="D962" t="s">
        <v>18</v>
      </c>
      <c r="E962" s="1">
        <v>45021</v>
      </c>
      <c r="F962" s="1">
        <v>45031</v>
      </c>
      <c r="G962" s="2">
        <v>18.899999999999999</v>
      </c>
      <c r="H962" s="2">
        <v>196.91</v>
      </c>
      <c r="I962" t="s">
        <v>15</v>
      </c>
      <c r="J962" s="2">
        <v>1319</v>
      </c>
      <c r="K962" s="2">
        <v>10</v>
      </c>
    </row>
    <row r="963" spans="1:11" x14ac:dyDescent="0.25">
      <c r="A963" t="s">
        <v>1009</v>
      </c>
      <c r="B963" t="s">
        <v>30</v>
      </c>
      <c r="C963" t="s">
        <v>54</v>
      </c>
      <c r="D963" t="s">
        <v>14</v>
      </c>
      <c r="E963" s="1">
        <v>45219</v>
      </c>
      <c r="F963" s="1">
        <v>45221</v>
      </c>
      <c r="G963" s="2">
        <v>16.100000000000001</v>
      </c>
      <c r="H963" s="2">
        <v>102.41</v>
      </c>
      <c r="I963" t="s">
        <v>15</v>
      </c>
      <c r="J963" s="2">
        <v>625</v>
      </c>
      <c r="K963" s="2">
        <v>2</v>
      </c>
    </row>
    <row r="964" spans="1:11" x14ac:dyDescent="0.25">
      <c r="A964" t="s">
        <v>1010</v>
      </c>
      <c r="B964" t="s">
        <v>35</v>
      </c>
      <c r="C964" t="s">
        <v>40</v>
      </c>
      <c r="D964" t="s">
        <v>25</v>
      </c>
      <c r="E964" s="1">
        <v>44976</v>
      </c>
      <c r="F964" s="1">
        <v>44979</v>
      </c>
      <c r="G964" s="2">
        <v>36.700000000000003</v>
      </c>
      <c r="H964" s="2">
        <v>80.239999999999995</v>
      </c>
      <c r="I964" t="s">
        <v>15</v>
      </c>
      <c r="J964" s="2">
        <v>283</v>
      </c>
      <c r="K964" s="2">
        <v>3</v>
      </c>
    </row>
    <row r="965" spans="1:11" x14ac:dyDescent="0.25">
      <c r="A965" t="s">
        <v>1011</v>
      </c>
      <c r="B965" t="s">
        <v>56</v>
      </c>
      <c r="C965" t="s">
        <v>46</v>
      </c>
      <c r="D965" t="s">
        <v>42</v>
      </c>
      <c r="E965" s="1">
        <v>45163</v>
      </c>
      <c r="F965" s="1">
        <v>45168</v>
      </c>
      <c r="G965" s="2">
        <v>49.6</v>
      </c>
      <c r="H965" s="2">
        <v>169.64</v>
      </c>
      <c r="I965" t="s">
        <v>15</v>
      </c>
      <c r="J965" s="2">
        <v>820</v>
      </c>
      <c r="K965" s="2">
        <v>5</v>
      </c>
    </row>
    <row r="966" spans="1:11" x14ac:dyDescent="0.25">
      <c r="A966" t="s">
        <v>1012</v>
      </c>
      <c r="B966" t="s">
        <v>35</v>
      </c>
      <c r="C966" t="s">
        <v>44</v>
      </c>
      <c r="D966" t="s">
        <v>59</v>
      </c>
      <c r="E966" s="1">
        <v>45073</v>
      </c>
      <c r="F966" s="1">
        <v>45075</v>
      </c>
      <c r="G966" s="2">
        <v>7.2</v>
      </c>
      <c r="I966" t="s">
        <v>15</v>
      </c>
      <c r="J966" s="2">
        <v>858</v>
      </c>
      <c r="K966" s="2">
        <v>2</v>
      </c>
    </row>
    <row r="967" spans="1:11" x14ac:dyDescent="0.25">
      <c r="A967" t="s">
        <v>1013</v>
      </c>
      <c r="B967" t="s">
        <v>30</v>
      </c>
      <c r="C967" t="s">
        <v>13</v>
      </c>
      <c r="D967" t="s">
        <v>18</v>
      </c>
      <c r="E967" s="1">
        <v>45090</v>
      </c>
      <c r="F967" s="1">
        <v>45097</v>
      </c>
      <c r="G967" s="2">
        <v>24.2</v>
      </c>
      <c r="H967" s="2">
        <v>318.02999999999997</v>
      </c>
      <c r="I967" t="s">
        <v>62</v>
      </c>
      <c r="J967" s="2">
        <v>2036</v>
      </c>
      <c r="K967" s="2">
        <v>7</v>
      </c>
    </row>
    <row r="968" spans="1:11" x14ac:dyDescent="0.25">
      <c r="A968" t="s">
        <v>1014</v>
      </c>
      <c r="B968" t="s">
        <v>35</v>
      </c>
      <c r="C968" t="s">
        <v>17</v>
      </c>
      <c r="D968" t="s">
        <v>14</v>
      </c>
      <c r="E968" s="1">
        <v>44996</v>
      </c>
      <c r="F968" s="1">
        <v>45000</v>
      </c>
      <c r="G968" s="2">
        <v>18.600000000000001</v>
      </c>
      <c r="H968" s="2">
        <v>264.57</v>
      </c>
      <c r="I968" t="s">
        <v>15</v>
      </c>
      <c r="J968" s="2">
        <v>1771</v>
      </c>
      <c r="K968" s="2">
        <v>4</v>
      </c>
    </row>
    <row r="969" spans="1:11" x14ac:dyDescent="0.25">
      <c r="A969" t="s">
        <v>1015</v>
      </c>
      <c r="B969" t="s">
        <v>23</v>
      </c>
      <c r="C969" t="s">
        <v>24</v>
      </c>
      <c r="D969" t="s">
        <v>32</v>
      </c>
      <c r="E969" s="1">
        <v>45065</v>
      </c>
      <c r="F969" s="1">
        <v>45070</v>
      </c>
      <c r="G969" s="2">
        <v>26.6</v>
      </c>
      <c r="H969" s="2">
        <v>302.89</v>
      </c>
      <c r="I969" t="s">
        <v>15</v>
      </c>
      <c r="J969" s="2">
        <v>1841</v>
      </c>
      <c r="K969" s="2">
        <v>5</v>
      </c>
    </row>
    <row r="970" spans="1:11" x14ac:dyDescent="0.25">
      <c r="A970" t="s">
        <v>1016</v>
      </c>
      <c r="B970" t="s">
        <v>49</v>
      </c>
      <c r="C970" t="s">
        <v>81</v>
      </c>
      <c r="D970" t="s">
        <v>14</v>
      </c>
      <c r="E970" s="1">
        <v>44939</v>
      </c>
      <c r="F970" s="1">
        <v>44943</v>
      </c>
      <c r="G970" s="2">
        <v>27.5</v>
      </c>
      <c r="H970" s="2">
        <v>272.07</v>
      </c>
      <c r="I970" t="s">
        <v>15</v>
      </c>
      <c r="J970" s="2">
        <v>1875</v>
      </c>
      <c r="K970" s="2">
        <v>4</v>
      </c>
    </row>
    <row r="971" spans="1:11" x14ac:dyDescent="0.25">
      <c r="A971" t="s">
        <v>1017</v>
      </c>
      <c r="B971" t="s">
        <v>39</v>
      </c>
      <c r="C971" t="s">
        <v>54</v>
      </c>
      <c r="D971" t="s">
        <v>32</v>
      </c>
      <c r="E971" s="1">
        <v>45107</v>
      </c>
      <c r="F971" s="1">
        <v>45109</v>
      </c>
      <c r="G971" s="2">
        <v>30.9</v>
      </c>
      <c r="H971" s="2">
        <v>81.650000000000006</v>
      </c>
      <c r="I971" t="s">
        <v>15</v>
      </c>
      <c r="J971" s="2">
        <v>297</v>
      </c>
      <c r="K971" s="2">
        <v>2</v>
      </c>
    </row>
    <row r="972" spans="1:11" x14ac:dyDescent="0.25">
      <c r="A972" t="s">
        <v>1018</v>
      </c>
      <c r="B972" t="s">
        <v>30</v>
      </c>
      <c r="C972" t="s">
        <v>52</v>
      </c>
      <c r="D972" t="s">
        <v>14</v>
      </c>
      <c r="E972" s="1">
        <v>45174</v>
      </c>
      <c r="F972" s="1">
        <v>45178</v>
      </c>
      <c r="G972" s="2">
        <v>11.9</v>
      </c>
      <c r="H972" s="2">
        <v>193.89</v>
      </c>
      <c r="I972" t="s">
        <v>15</v>
      </c>
      <c r="J972" s="2">
        <v>1290</v>
      </c>
      <c r="K972" s="2">
        <v>4</v>
      </c>
    </row>
    <row r="973" spans="1:11" x14ac:dyDescent="0.25">
      <c r="A973" t="s">
        <v>1019</v>
      </c>
      <c r="B973" t="s">
        <v>23</v>
      </c>
      <c r="C973" t="s">
        <v>81</v>
      </c>
      <c r="D973" t="s">
        <v>25</v>
      </c>
      <c r="E973" s="1">
        <v>45151</v>
      </c>
      <c r="F973" s="1">
        <v>45156</v>
      </c>
      <c r="G973" s="2">
        <v>16.3</v>
      </c>
      <c r="H973" s="2">
        <v>25.2</v>
      </c>
      <c r="I973" t="s">
        <v>15</v>
      </c>
      <c r="J973" s="2">
        <v>2033</v>
      </c>
      <c r="K973" s="2">
        <v>5</v>
      </c>
    </row>
    <row r="974" spans="1:11" x14ac:dyDescent="0.25">
      <c r="A974" t="s">
        <v>1020</v>
      </c>
      <c r="B974" t="s">
        <v>39</v>
      </c>
      <c r="C974" t="s">
        <v>21</v>
      </c>
      <c r="D974" t="s">
        <v>14</v>
      </c>
      <c r="E974" s="1">
        <v>45276</v>
      </c>
      <c r="F974" s="1">
        <v>45283</v>
      </c>
      <c r="G974" s="2">
        <v>24.7</v>
      </c>
      <c r="H974" s="2">
        <v>179.53</v>
      </c>
      <c r="I974" t="s">
        <v>15</v>
      </c>
      <c r="J974" s="2">
        <v>974</v>
      </c>
      <c r="K974" s="2">
        <v>7</v>
      </c>
    </row>
    <row r="975" spans="1:11" x14ac:dyDescent="0.25">
      <c r="A975" t="s">
        <v>1021</v>
      </c>
      <c r="B975" t="s">
        <v>12</v>
      </c>
      <c r="C975" t="s">
        <v>36</v>
      </c>
      <c r="D975" t="s">
        <v>32</v>
      </c>
      <c r="E975" s="1">
        <v>45220</v>
      </c>
      <c r="F975" s="1">
        <v>45224</v>
      </c>
      <c r="G975" s="2">
        <v>32.299999999999997</v>
      </c>
      <c r="H975" s="2">
        <v>233.32</v>
      </c>
      <c r="I975" t="s">
        <v>15</v>
      </c>
      <c r="J975" s="2">
        <v>1492</v>
      </c>
      <c r="K975" s="2">
        <v>4</v>
      </c>
    </row>
    <row r="976" spans="1:11" x14ac:dyDescent="0.25">
      <c r="A976" t="s">
        <v>1022</v>
      </c>
      <c r="B976" t="s">
        <v>12</v>
      </c>
      <c r="C976" t="s">
        <v>54</v>
      </c>
      <c r="D976" t="s">
        <v>14</v>
      </c>
      <c r="E976" s="1">
        <v>45252</v>
      </c>
      <c r="F976" s="1">
        <v>45271</v>
      </c>
      <c r="G976" s="2">
        <v>32</v>
      </c>
      <c r="H976" s="2">
        <v>348</v>
      </c>
      <c r="I976" t="s">
        <v>47</v>
      </c>
      <c r="J976" s="2">
        <v>2060</v>
      </c>
      <c r="K976" s="2">
        <v>8</v>
      </c>
    </row>
    <row r="977" spans="1:11" x14ac:dyDescent="0.25">
      <c r="A977" t="s">
        <v>1023</v>
      </c>
      <c r="B977" t="s">
        <v>56</v>
      </c>
      <c r="C977" t="s">
        <v>31</v>
      </c>
      <c r="D977" t="s">
        <v>37</v>
      </c>
      <c r="E977" s="1">
        <v>45115</v>
      </c>
      <c r="F977" s="1">
        <v>45128</v>
      </c>
      <c r="G977" s="2">
        <v>20.2</v>
      </c>
      <c r="H977" s="2">
        <v>248.02</v>
      </c>
      <c r="I977" t="s">
        <v>47</v>
      </c>
      <c r="J977" s="2">
        <v>2051</v>
      </c>
      <c r="K977" s="2">
        <v>5</v>
      </c>
    </row>
    <row r="978" spans="1:11" x14ac:dyDescent="0.25">
      <c r="A978" t="s">
        <v>1024</v>
      </c>
      <c r="B978" t="s">
        <v>39</v>
      </c>
      <c r="C978" t="s">
        <v>31</v>
      </c>
      <c r="D978" t="s">
        <v>14</v>
      </c>
      <c r="E978" s="1">
        <v>45080</v>
      </c>
      <c r="F978" s="1">
        <v>45086</v>
      </c>
      <c r="G978" s="2">
        <v>17.7</v>
      </c>
      <c r="H978" s="2">
        <v>309.3</v>
      </c>
      <c r="I978" t="s">
        <v>15</v>
      </c>
      <c r="J978" s="2">
        <v>2198</v>
      </c>
      <c r="K978" s="2">
        <v>6</v>
      </c>
    </row>
    <row r="979" spans="1:11" x14ac:dyDescent="0.25">
      <c r="A979" t="s">
        <v>1025</v>
      </c>
      <c r="B979" t="s">
        <v>20</v>
      </c>
      <c r="C979" t="s">
        <v>28</v>
      </c>
      <c r="D979" t="s">
        <v>42</v>
      </c>
      <c r="E979" s="1">
        <v>45013</v>
      </c>
      <c r="F979" s="1">
        <v>45016</v>
      </c>
      <c r="G979" s="2">
        <v>19.7</v>
      </c>
      <c r="H979" s="2">
        <v>199</v>
      </c>
      <c r="I979" t="s">
        <v>15</v>
      </c>
      <c r="J979" s="2">
        <v>1435</v>
      </c>
      <c r="K979" s="2">
        <v>3</v>
      </c>
    </row>
    <row r="980" spans="1:11" x14ac:dyDescent="0.25">
      <c r="A980" t="s">
        <v>1026</v>
      </c>
      <c r="B980" t="s">
        <v>56</v>
      </c>
      <c r="C980" t="s">
        <v>40</v>
      </c>
      <c r="D980" t="s">
        <v>37</v>
      </c>
      <c r="E980" s="1">
        <v>45273</v>
      </c>
      <c r="F980" s="1">
        <v>45277</v>
      </c>
      <c r="G980" s="2">
        <v>23.1</v>
      </c>
      <c r="H980" s="2">
        <v>221.08</v>
      </c>
      <c r="I980" t="s">
        <v>15</v>
      </c>
      <c r="J980" s="2">
        <v>1280</v>
      </c>
      <c r="K980" s="2">
        <v>4</v>
      </c>
    </row>
    <row r="981" spans="1:11" x14ac:dyDescent="0.25">
      <c r="A981" t="s">
        <v>1027</v>
      </c>
      <c r="B981" t="s">
        <v>20</v>
      </c>
      <c r="C981" t="s">
        <v>31</v>
      </c>
      <c r="D981" t="s">
        <v>18</v>
      </c>
      <c r="E981" s="1">
        <v>45008</v>
      </c>
      <c r="F981" s="1">
        <v>45023</v>
      </c>
      <c r="G981" s="2">
        <v>9.6</v>
      </c>
      <c r="H981" s="2">
        <v>82.64</v>
      </c>
      <c r="I981" t="s">
        <v>47</v>
      </c>
      <c r="J981" s="2">
        <v>490</v>
      </c>
      <c r="K981" s="2">
        <v>4</v>
      </c>
    </row>
    <row r="982" spans="1:11" x14ac:dyDescent="0.25">
      <c r="A982" t="s">
        <v>1028</v>
      </c>
      <c r="B982" t="s">
        <v>49</v>
      </c>
      <c r="C982" t="s">
        <v>70</v>
      </c>
      <c r="D982" t="s">
        <v>59</v>
      </c>
      <c r="E982" s="1">
        <v>45184</v>
      </c>
      <c r="F982" s="1">
        <v>45188</v>
      </c>
      <c r="G982" s="2">
        <v>7.9</v>
      </c>
      <c r="H982" s="2">
        <v>161.43</v>
      </c>
      <c r="I982" t="s">
        <v>15</v>
      </c>
      <c r="J982" s="2">
        <v>1355</v>
      </c>
      <c r="K982" s="2">
        <v>4</v>
      </c>
    </row>
    <row r="983" spans="1:11" x14ac:dyDescent="0.25">
      <c r="A983" t="s">
        <v>1029</v>
      </c>
      <c r="B983" t="s">
        <v>12</v>
      </c>
      <c r="C983" t="s">
        <v>36</v>
      </c>
      <c r="D983" t="s">
        <v>32</v>
      </c>
      <c r="E983" s="1">
        <v>45007</v>
      </c>
      <c r="F983" s="1">
        <v>45010</v>
      </c>
      <c r="G983" s="2">
        <v>16</v>
      </c>
      <c r="H983" s="2">
        <v>178.47</v>
      </c>
      <c r="I983" t="s">
        <v>15</v>
      </c>
      <c r="J983" s="2">
        <v>1288</v>
      </c>
      <c r="K983" s="2">
        <v>3</v>
      </c>
    </row>
    <row r="984" spans="1:11" x14ac:dyDescent="0.25">
      <c r="A984" t="s">
        <v>1030</v>
      </c>
      <c r="B984" t="s">
        <v>12</v>
      </c>
      <c r="C984" t="s">
        <v>24</v>
      </c>
      <c r="D984" t="s">
        <v>18</v>
      </c>
      <c r="E984" s="1">
        <v>45020</v>
      </c>
      <c r="F984" s="1">
        <v>45023</v>
      </c>
      <c r="G984" s="2">
        <v>66.099999999999994</v>
      </c>
      <c r="H984" s="2">
        <v>217.51</v>
      </c>
      <c r="I984" t="s">
        <v>15</v>
      </c>
      <c r="J984" s="2">
        <v>779</v>
      </c>
      <c r="K984" s="2">
        <v>3</v>
      </c>
    </row>
    <row r="985" spans="1:11" x14ac:dyDescent="0.25">
      <c r="A985" t="s">
        <v>1031</v>
      </c>
      <c r="B985" t="s">
        <v>12</v>
      </c>
      <c r="C985" t="s">
        <v>44</v>
      </c>
      <c r="D985" t="s">
        <v>59</v>
      </c>
      <c r="E985" s="1">
        <v>45149</v>
      </c>
      <c r="F985" s="1">
        <v>45155</v>
      </c>
      <c r="G985" s="2">
        <v>27</v>
      </c>
      <c r="H985" s="2">
        <v>210.66</v>
      </c>
      <c r="I985" t="s">
        <v>60</v>
      </c>
      <c r="J985" s="2">
        <v>1555</v>
      </c>
      <c r="K985" s="2">
        <v>6</v>
      </c>
    </row>
    <row r="986" spans="1:11" x14ac:dyDescent="0.25">
      <c r="A986" t="s">
        <v>1032</v>
      </c>
      <c r="B986" t="s">
        <v>39</v>
      </c>
      <c r="C986" t="s">
        <v>54</v>
      </c>
      <c r="D986" t="s">
        <v>18</v>
      </c>
      <c r="E986" s="1">
        <v>45203</v>
      </c>
      <c r="F986" s="1">
        <v>45207</v>
      </c>
      <c r="G986" s="2">
        <v>20</v>
      </c>
      <c r="H986" s="2">
        <v>276.56</v>
      </c>
      <c r="I986" t="s">
        <v>15</v>
      </c>
      <c r="J986" s="2">
        <v>1631</v>
      </c>
      <c r="K986" s="2">
        <v>4</v>
      </c>
    </row>
    <row r="987" spans="1:11" x14ac:dyDescent="0.25">
      <c r="A987" t="s">
        <v>1033</v>
      </c>
      <c r="B987" t="s">
        <v>35</v>
      </c>
      <c r="C987" t="s">
        <v>44</v>
      </c>
      <c r="D987" t="s">
        <v>14</v>
      </c>
      <c r="E987" s="1">
        <v>45119</v>
      </c>
      <c r="F987" s="1">
        <v>45123</v>
      </c>
      <c r="G987" s="2">
        <v>45</v>
      </c>
      <c r="H987" s="2">
        <v>108.75</v>
      </c>
      <c r="I987" t="s">
        <v>15</v>
      </c>
      <c r="J987" s="2">
        <v>400</v>
      </c>
      <c r="K987" s="2">
        <v>4</v>
      </c>
    </row>
    <row r="988" spans="1:11" x14ac:dyDescent="0.25">
      <c r="A988" t="s">
        <v>1034</v>
      </c>
      <c r="B988" t="s">
        <v>20</v>
      </c>
      <c r="C988" t="s">
        <v>70</v>
      </c>
      <c r="D988" t="s">
        <v>25</v>
      </c>
      <c r="E988" s="1">
        <v>45278</v>
      </c>
      <c r="F988" s="1">
        <v>45284</v>
      </c>
      <c r="G988" s="2">
        <v>42.1</v>
      </c>
      <c r="H988" s="2">
        <v>285.70999999999998</v>
      </c>
      <c r="I988" t="s">
        <v>15</v>
      </c>
      <c r="J988" s="2">
        <v>1460</v>
      </c>
      <c r="K988" s="2">
        <v>6</v>
      </c>
    </row>
    <row r="989" spans="1:11" x14ac:dyDescent="0.25">
      <c r="A989" t="s">
        <v>1035</v>
      </c>
      <c r="B989" t="s">
        <v>49</v>
      </c>
      <c r="C989" t="s">
        <v>81</v>
      </c>
      <c r="D989" t="s">
        <v>42</v>
      </c>
      <c r="E989" s="1">
        <v>45048</v>
      </c>
      <c r="F989" s="1">
        <v>45052</v>
      </c>
      <c r="G989" s="2">
        <v>27.6</v>
      </c>
      <c r="H989" s="2">
        <v>151.22</v>
      </c>
      <c r="I989" t="s">
        <v>47</v>
      </c>
      <c r="J989" s="2">
        <v>1095</v>
      </c>
      <c r="K989" s="2">
        <v>3</v>
      </c>
    </row>
    <row r="990" spans="1:11" x14ac:dyDescent="0.25">
      <c r="A990" t="s">
        <v>1036</v>
      </c>
      <c r="B990" t="s">
        <v>56</v>
      </c>
      <c r="C990" t="s">
        <v>17</v>
      </c>
      <c r="D990" t="s">
        <v>32</v>
      </c>
      <c r="E990" s="1">
        <v>45062</v>
      </c>
      <c r="F990" s="1">
        <v>45064</v>
      </c>
      <c r="G990" s="2">
        <v>16</v>
      </c>
      <c r="H990" s="2">
        <v>70.650000000000006</v>
      </c>
      <c r="I990" t="s">
        <v>15</v>
      </c>
      <c r="J990" s="2">
        <v>336</v>
      </c>
      <c r="K990" s="2">
        <v>2</v>
      </c>
    </row>
    <row r="991" spans="1:11" x14ac:dyDescent="0.25">
      <c r="A991" t="s">
        <v>1037</v>
      </c>
      <c r="B991" t="s">
        <v>20</v>
      </c>
      <c r="C991" t="s">
        <v>13</v>
      </c>
      <c r="D991" t="s">
        <v>37</v>
      </c>
      <c r="E991" s="1">
        <v>45278</v>
      </c>
      <c r="F991" s="1">
        <v>45283</v>
      </c>
      <c r="G991" s="2">
        <v>19</v>
      </c>
      <c r="H991" s="2">
        <v>224</v>
      </c>
      <c r="I991" t="s">
        <v>15</v>
      </c>
      <c r="J991" s="2">
        <v>1524</v>
      </c>
      <c r="K991" s="2">
        <v>5</v>
      </c>
    </row>
    <row r="992" spans="1:11" x14ac:dyDescent="0.25">
      <c r="A992" t="s">
        <v>1038</v>
      </c>
      <c r="B992" t="s">
        <v>30</v>
      </c>
      <c r="C992" t="s">
        <v>13</v>
      </c>
      <c r="D992" t="s">
        <v>25</v>
      </c>
      <c r="E992" s="1">
        <v>44949</v>
      </c>
      <c r="F992" s="1">
        <v>44952</v>
      </c>
      <c r="G992" s="2">
        <v>10.4</v>
      </c>
      <c r="H992" s="2">
        <v>96.85</v>
      </c>
      <c r="I992" t="s">
        <v>15</v>
      </c>
      <c r="J992" s="2">
        <v>762</v>
      </c>
      <c r="K992" s="2">
        <v>3</v>
      </c>
    </row>
    <row r="993" spans="1:11" x14ac:dyDescent="0.25">
      <c r="A993" t="s">
        <v>1039</v>
      </c>
      <c r="B993" t="s">
        <v>56</v>
      </c>
      <c r="C993" t="s">
        <v>24</v>
      </c>
      <c r="D993" t="s">
        <v>32</v>
      </c>
      <c r="E993" s="1">
        <v>45066</v>
      </c>
      <c r="F993" s="1">
        <v>45072</v>
      </c>
      <c r="G993" s="2">
        <v>24.2</v>
      </c>
      <c r="H993" s="2">
        <v>223.55</v>
      </c>
      <c r="I993" t="s">
        <v>62</v>
      </c>
      <c r="J993" s="2">
        <v>1524</v>
      </c>
      <c r="K993" s="2">
        <v>6</v>
      </c>
    </row>
    <row r="994" spans="1:11" x14ac:dyDescent="0.25">
      <c r="A994" t="s">
        <v>1040</v>
      </c>
      <c r="B994" t="s">
        <v>39</v>
      </c>
      <c r="C994" t="s">
        <v>57</v>
      </c>
      <c r="D994" t="s">
        <v>59</v>
      </c>
      <c r="E994" s="1">
        <v>45180</v>
      </c>
      <c r="F994" s="1">
        <v>45182</v>
      </c>
      <c r="G994" s="2">
        <v>25.5</v>
      </c>
      <c r="H994" s="2">
        <v>109.88</v>
      </c>
      <c r="I994" t="s">
        <v>15</v>
      </c>
      <c r="J994" s="2">
        <v>688</v>
      </c>
      <c r="K994" s="2">
        <v>2</v>
      </c>
    </row>
    <row r="995" spans="1:11" x14ac:dyDescent="0.25">
      <c r="A995" t="s">
        <v>1041</v>
      </c>
      <c r="B995" t="s">
        <v>30</v>
      </c>
      <c r="C995" t="s">
        <v>40</v>
      </c>
      <c r="D995" t="s">
        <v>18</v>
      </c>
      <c r="E995" s="1">
        <v>45102</v>
      </c>
      <c r="F995" s="1">
        <v>45107</v>
      </c>
      <c r="G995" s="2">
        <v>20</v>
      </c>
      <c r="H995" s="2">
        <v>357.86</v>
      </c>
      <c r="I995" t="s">
        <v>15</v>
      </c>
      <c r="J995" s="2">
        <v>2339</v>
      </c>
      <c r="K995" s="2">
        <v>5</v>
      </c>
    </row>
    <row r="996" spans="1:11" x14ac:dyDescent="0.25">
      <c r="A996" t="s">
        <v>1042</v>
      </c>
      <c r="B996" t="s">
        <v>12</v>
      </c>
      <c r="C996" t="s">
        <v>36</v>
      </c>
      <c r="D996" t="s">
        <v>18</v>
      </c>
      <c r="E996" s="1">
        <v>45039</v>
      </c>
      <c r="F996" s="1">
        <v>45045</v>
      </c>
      <c r="G996" s="2">
        <v>19.100000000000001</v>
      </c>
      <c r="H996" s="2">
        <v>302.52</v>
      </c>
      <c r="I996" t="s">
        <v>15</v>
      </c>
      <c r="J996" s="2">
        <v>2132</v>
      </c>
      <c r="K996" s="2">
        <v>6</v>
      </c>
    </row>
    <row r="997" spans="1:11" x14ac:dyDescent="0.25">
      <c r="A997" t="s">
        <v>1043</v>
      </c>
      <c r="B997" t="s">
        <v>23</v>
      </c>
      <c r="C997" t="s">
        <v>46</v>
      </c>
      <c r="D997" t="s">
        <v>25</v>
      </c>
      <c r="E997" s="1">
        <v>45287</v>
      </c>
      <c r="F997" s="1">
        <v>45291</v>
      </c>
      <c r="G997" s="2">
        <v>8</v>
      </c>
      <c r="H997" s="2">
        <v>211.44</v>
      </c>
      <c r="I997" t="s">
        <v>15</v>
      </c>
      <c r="J997" s="2">
        <v>1257</v>
      </c>
      <c r="K997" s="2">
        <v>4</v>
      </c>
    </row>
    <row r="998" spans="1:11" x14ac:dyDescent="0.25">
      <c r="A998" t="s">
        <v>1044</v>
      </c>
      <c r="B998" t="s">
        <v>49</v>
      </c>
      <c r="C998" t="s">
        <v>13</v>
      </c>
      <c r="D998" t="s">
        <v>25</v>
      </c>
      <c r="E998" s="1">
        <v>45259</v>
      </c>
      <c r="F998" s="1">
        <v>45263</v>
      </c>
      <c r="G998" s="2">
        <v>25.4</v>
      </c>
      <c r="H998" s="2">
        <v>145.24</v>
      </c>
      <c r="I998" t="s">
        <v>15</v>
      </c>
      <c r="J998" s="2">
        <v>749</v>
      </c>
      <c r="K998" s="2">
        <v>4</v>
      </c>
    </row>
    <row r="999" spans="1:11" x14ac:dyDescent="0.25">
      <c r="A999" t="s">
        <v>1045</v>
      </c>
      <c r="B999" t="s">
        <v>39</v>
      </c>
      <c r="C999" t="s">
        <v>31</v>
      </c>
      <c r="D999" t="s">
        <v>37</v>
      </c>
      <c r="E999" s="1">
        <v>44970</v>
      </c>
      <c r="F999" s="1">
        <v>44973</v>
      </c>
      <c r="G999" s="2">
        <v>11.6</v>
      </c>
      <c r="H999" s="2">
        <v>99.14</v>
      </c>
      <c r="I999" t="s">
        <v>15</v>
      </c>
      <c r="J999" s="2">
        <v>773</v>
      </c>
      <c r="K999" s="2">
        <v>3</v>
      </c>
    </row>
    <row r="1000" spans="1:11" x14ac:dyDescent="0.25">
      <c r="A1000" t="s">
        <v>1046</v>
      </c>
      <c r="B1000" t="s">
        <v>30</v>
      </c>
      <c r="C1000" t="s">
        <v>81</v>
      </c>
      <c r="D1000" t="s">
        <v>18</v>
      </c>
      <c r="E1000" s="1">
        <v>45059</v>
      </c>
      <c r="F1000" s="1">
        <v>45062</v>
      </c>
      <c r="G1000" s="2">
        <v>14.9</v>
      </c>
      <c r="H1000" s="2">
        <v>55.89</v>
      </c>
      <c r="I1000" t="s">
        <v>47</v>
      </c>
      <c r="J1000" s="2">
        <v>228</v>
      </c>
      <c r="K1000" s="2">
        <v>2</v>
      </c>
    </row>
    <row r="1001" spans="1:11" x14ac:dyDescent="0.25">
      <c r="A1001" t="s">
        <v>1047</v>
      </c>
      <c r="B1001" t="s">
        <v>39</v>
      </c>
      <c r="C1001" t="s">
        <v>31</v>
      </c>
      <c r="D1001" t="s">
        <v>42</v>
      </c>
      <c r="E1001" s="1">
        <v>45244</v>
      </c>
      <c r="F1001" s="1">
        <v>45251</v>
      </c>
      <c r="G1001" s="2">
        <v>19.399999999999999</v>
      </c>
      <c r="H1001" s="2">
        <v>348.76</v>
      </c>
      <c r="I1001" t="s">
        <v>15</v>
      </c>
      <c r="J1001" s="2">
        <v>2417</v>
      </c>
      <c r="K1001" s="2">
        <v>7</v>
      </c>
    </row>
    <row r="1002" spans="1:11" x14ac:dyDescent="0.25">
      <c r="A1002" t="s">
        <v>1048</v>
      </c>
      <c r="B1002" t="s">
        <v>56</v>
      </c>
      <c r="C1002" t="s">
        <v>44</v>
      </c>
      <c r="D1002" t="s">
        <v>32</v>
      </c>
      <c r="E1002" s="1">
        <v>45225</v>
      </c>
      <c r="F1002" s="1">
        <v>45228</v>
      </c>
      <c r="G1002" s="2">
        <v>3.4</v>
      </c>
      <c r="H1002" s="2">
        <v>77.16</v>
      </c>
      <c r="I1002" t="s">
        <v>15</v>
      </c>
      <c r="J1002" s="2">
        <v>500</v>
      </c>
      <c r="K1002" s="2">
        <v>3</v>
      </c>
    </row>
    <row r="1003" spans="1:11" x14ac:dyDescent="0.25">
      <c r="A1003" t="s">
        <v>1049</v>
      </c>
      <c r="B1003" t="s">
        <v>23</v>
      </c>
      <c r="C1003" t="s">
        <v>40</v>
      </c>
      <c r="D1003" t="s">
        <v>59</v>
      </c>
      <c r="E1003" s="1">
        <v>44942</v>
      </c>
      <c r="F1003" s="1">
        <v>44945</v>
      </c>
      <c r="G1003" s="2">
        <v>50.5</v>
      </c>
      <c r="H1003" s="2">
        <v>116.2</v>
      </c>
      <c r="I1003" t="s">
        <v>15</v>
      </c>
      <c r="J1003" s="2">
        <v>493</v>
      </c>
      <c r="K1003" s="2">
        <v>3</v>
      </c>
    </row>
    <row r="1004" spans="1:11" x14ac:dyDescent="0.25">
      <c r="A1004" t="s">
        <v>1050</v>
      </c>
      <c r="B1004" t="s">
        <v>30</v>
      </c>
      <c r="C1004" t="s">
        <v>57</v>
      </c>
      <c r="D1004" t="s">
        <v>18</v>
      </c>
      <c r="E1004" s="1">
        <v>45143</v>
      </c>
      <c r="F1004" s="1">
        <v>45157</v>
      </c>
      <c r="G1004" s="2">
        <v>29.7</v>
      </c>
      <c r="H1004" s="2">
        <v>98.25</v>
      </c>
      <c r="I1004" t="s">
        <v>47</v>
      </c>
      <c r="J1004" s="2">
        <v>456</v>
      </c>
      <c r="K1004" s="2">
        <v>1</v>
      </c>
    </row>
    <row r="1005" spans="1:11" x14ac:dyDescent="0.25">
      <c r="A1005" t="s">
        <v>1051</v>
      </c>
      <c r="B1005" t="s">
        <v>12</v>
      </c>
      <c r="C1005" t="s">
        <v>70</v>
      </c>
      <c r="D1005" t="s">
        <v>37</v>
      </c>
      <c r="E1005" s="1">
        <v>45291</v>
      </c>
      <c r="F1005" s="1">
        <v>45296</v>
      </c>
      <c r="G1005" s="2">
        <v>11.7</v>
      </c>
      <c r="H1005" s="2">
        <v>108.46</v>
      </c>
      <c r="I1005" t="s">
        <v>15</v>
      </c>
      <c r="J1005" s="2">
        <v>612</v>
      </c>
      <c r="K1005" s="2">
        <v>5</v>
      </c>
    </row>
    <row r="1006" spans="1:11" x14ac:dyDescent="0.25">
      <c r="A1006" t="s">
        <v>1052</v>
      </c>
      <c r="B1006" t="s">
        <v>30</v>
      </c>
      <c r="C1006" t="s">
        <v>17</v>
      </c>
      <c r="D1006" t="s">
        <v>25</v>
      </c>
      <c r="E1006" s="1">
        <v>45209</v>
      </c>
      <c r="F1006" s="1">
        <v>45214</v>
      </c>
      <c r="G1006" s="2">
        <v>0.3</v>
      </c>
      <c r="H1006" s="2">
        <v>281.60000000000002</v>
      </c>
      <c r="I1006" t="s">
        <v>15</v>
      </c>
      <c r="J1006" s="2">
        <v>2137</v>
      </c>
      <c r="K1006" s="2">
        <v>5</v>
      </c>
    </row>
    <row r="1007" spans="1:11" x14ac:dyDescent="0.25">
      <c r="A1007" t="s">
        <v>1053</v>
      </c>
      <c r="B1007" t="s">
        <v>49</v>
      </c>
      <c r="C1007" t="s">
        <v>17</v>
      </c>
      <c r="D1007" t="s">
        <v>18</v>
      </c>
      <c r="E1007" s="1">
        <v>45226</v>
      </c>
      <c r="F1007" s="1">
        <v>45229</v>
      </c>
      <c r="G1007" s="2">
        <v>27.6</v>
      </c>
      <c r="H1007" s="2">
        <v>157</v>
      </c>
      <c r="I1007" t="s">
        <v>15</v>
      </c>
      <c r="J1007" s="2">
        <v>850</v>
      </c>
      <c r="K1007" s="2">
        <v>3</v>
      </c>
    </row>
    <row r="1008" spans="1:11" x14ac:dyDescent="0.25">
      <c r="A1008" t="s">
        <v>1054</v>
      </c>
      <c r="B1008" t="s">
        <v>35</v>
      </c>
      <c r="C1008" t="s">
        <v>40</v>
      </c>
      <c r="D1008" t="s">
        <v>37</v>
      </c>
      <c r="E1008" s="1">
        <v>45158</v>
      </c>
      <c r="F1008" s="1">
        <v>45163</v>
      </c>
      <c r="G1008" s="2">
        <v>6.9</v>
      </c>
      <c r="H1008" s="2">
        <v>39.81</v>
      </c>
      <c r="I1008" t="s">
        <v>47</v>
      </c>
      <c r="J1008" s="2">
        <v>283</v>
      </c>
      <c r="K1008" s="2">
        <v>3</v>
      </c>
    </row>
    <row r="1009" spans="1:11" x14ac:dyDescent="0.25">
      <c r="A1009" t="s">
        <v>1055</v>
      </c>
      <c r="B1009" t="s">
        <v>56</v>
      </c>
      <c r="C1009" t="s">
        <v>57</v>
      </c>
      <c r="D1009" t="s">
        <v>32</v>
      </c>
      <c r="E1009" s="1">
        <v>44992</v>
      </c>
      <c r="F1009" s="1">
        <v>45004</v>
      </c>
      <c r="G1009" s="2">
        <v>5.4</v>
      </c>
      <c r="H1009" s="2">
        <v>184.97</v>
      </c>
      <c r="I1009" t="s">
        <v>47</v>
      </c>
      <c r="J1009" s="2">
        <v>1364</v>
      </c>
      <c r="K1009" s="2">
        <v>6</v>
      </c>
    </row>
    <row r="1010" spans="1:11" x14ac:dyDescent="0.25">
      <c r="A1010" t="s">
        <v>1056</v>
      </c>
      <c r="B1010" t="s">
        <v>23</v>
      </c>
      <c r="C1010" t="s">
        <v>52</v>
      </c>
      <c r="D1010" t="s">
        <v>18</v>
      </c>
      <c r="E1010" s="1">
        <v>45147</v>
      </c>
      <c r="F1010" s="1">
        <v>45153</v>
      </c>
      <c r="G1010" s="2">
        <v>20.6</v>
      </c>
      <c r="H1010" s="2">
        <v>317.60000000000002</v>
      </c>
      <c r="I1010" t="s">
        <v>15</v>
      </c>
      <c r="J1010" s="2">
        <v>1975</v>
      </c>
      <c r="K1010" s="2">
        <v>6</v>
      </c>
    </row>
    <row r="1011" spans="1:11" x14ac:dyDescent="0.25">
      <c r="A1011" t="s">
        <v>1057</v>
      </c>
      <c r="B1011" t="s">
        <v>51</v>
      </c>
      <c r="C1011" t="s">
        <v>44</v>
      </c>
      <c r="D1011" t="s">
        <v>42</v>
      </c>
      <c r="E1011" s="1">
        <v>45035</v>
      </c>
      <c r="F1011" s="1">
        <v>45038</v>
      </c>
      <c r="G1011" s="2">
        <v>10.1</v>
      </c>
      <c r="H1011" s="2">
        <v>104.49</v>
      </c>
      <c r="I1011" t="s">
        <v>15</v>
      </c>
      <c r="J1011" s="2">
        <v>790</v>
      </c>
      <c r="K1011" s="2">
        <v>3</v>
      </c>
    </row>
    <row r="1012" spans="1:11" x14ac:dyDescent="0.25">
      <c r="A1012" t="s">
        <v>1058</v>
      </c>
      <c r="B1012" t="s">
        <v>12</v>
      </c>
      <c r="C1012" t="s">
        <v>31</v>
      </c>
      <c r="D1012" t="s">
        <v>18</v>
      </c>
      <c r="E1012" s="1">
        <v>45229</v>
      </c>
      <c r="F1012" s="1">
        <v>45234</v>
      </c>
      <c r="G1012" s="2">
        <v>17</v>
      </c>
      <c r="H1012" s="2">
        <v>252.92</v>
      </c>
      <c r="I1012" t="s">
        <v>15</v>
      </c>
      <c r="J1012" s="2">
        <v>1685</v>
      </c>
      <c r="K1012" s="2">
        <v>5</v>
      </c>
    </row>
    <row r="1013" spans="1:11" x14ac:dyDescent="0.25">
      <c r="A1013" t="s">
        <v>1059</v>
      </c>
      <c r="B1013" t="s">
        <v>35</v>
      </c>
      <c r="C1013" t="s">
        <v>81</v>
      </c>
      <c r="D1013" t="s">
        <v>32</v>
      </c>
      <c r="E1013" s="1">
        <v>45184</v>
      </c>
      <c r="F1013" s="1">
        <v>45187</v>
      </c>
      <c r="G1013" s="2">
        <v>30.9</v>
      </c>
      <c r="H1013" s="2">
        <v>179.89</v>
      </c>
      <c r="I1013" t="s">
        <v>15</v>
      </c>
      <c r="J1013" s="2">
        <v>1000</v>
      </c>
      <c r="K1013" s="2">
        <v>3</v>
      </c>
    </row>
    <row r="1014" spans="1:11" x14ac:dyDescent="0.25">
      <c r="A1014" t="s">
        <v>1060</v>
      </c>
      <c r="B1014" t="s">
        <v>49</v>
      </c>
      <c r="C1014" t="s">
        <v>21</v>
      </c>
      <c r="D1014" t="s">
        <v>25</v>
      </c>
      <c r="E1014" s="1">
        <v>45042</v>
      </c>
      <c r="F1014" s="1">
        <v>45048</v>
      </c>
      <c r="G1014" s="2">
        <v>8.1999999999999993</v>
      </c>
      <c r="H1014" s="2">
        <v>306.04000000000002</v>
      </c>
      <c r="I1014" t="s">
        <v>15</v>
      </c>
      <c r="J1014" s="2">
        <v>2254</v>
      </c>
      <c r="K1014" s="2">
        <v>6</v>
      </c>
    </row>
    <row r="1015" spans="1:11" x14ac:dyDescent="0.25">
      <c r="A1015" t="s">
        <v>1061</v>
      </c>
      <c r="B1015" t="s">
        <v>20</v>
      </c>
      <c r="C1015" t="s">
        <v>17</v>
      </c>
      <c r="D1015" t="s">
        <v>32</v>
      </c>
      <c r="E1015" s="1">
        <v>45088</v>
      </c>
      <c r="F1015" s="1">
        <v>45093</v>
      </c>
      <c r="G1015" s="2">
        <v>37.6</v>
      </c>
      <c r="H1015" s="2">
        <v>305.62</v>
      </c>
      <c r="I1015" t="s">
        <v>15</v>
      </c>
      <c r="J1015" s="2">
        <v>1761</v>
      </c>
      <c r="K1015" s="2">
        <v>5</v>
      </c>
    </row>
    <row r="1016" spans="1:11" x14ac:dyDescent="0.25">
      <c r="A1016" t="s">
        <v>1062</v>
      </c>
      <c r="B1016" t="s">
        <v>30</v>
      </c>
      <c r="C1016" t="s">
        <v>81</v>
      </c>
      <c r="D1016" t="s">
        <v>32</v>
      </c>
      <c r="E1016" s="1">
        <v>45074</v>
      </c>
      <c r="F1016" s="1">
        <v>45080</v>
      </c>
      <c r="G1016" s="2">
        <v>78.7</v>
      </c>
      <c r="H1016" s="2">
        <v>309.33</v>
      </c>
      <c r="I1016" t="s">
        <v>15</v>
      </c>
      <c r="J1016" s="2">
        <v>1394</v>
      </c>
      <c r="K1016" s="2">
        <v>6</v>
      </c>
    </row>
    <row r="1017" spans="1:11" x14ac:dyDescent="0.25">
      <c r="A1017" t="s">
        <v>1063</v>
      </c>
      <c r="B1017" t="s">
        <v>35</v>
      </c>
      <c r="C1017" t="s">
        <v>70</v>
      </c>
      <c r="D1017" t="s">
        <v>59</v>
      </c>
      <c r="E1017" s="1">
        <v>45256</v>
      </c>
      <c r="F1017" s="1">
        <v>45260</v>
      </c>
      <c r="G1017" s="2">
        <v>59.8</v>
      </c>
      <c r="H1017" s="2">
        <v>203.1</v>
      </c>
      <c r="I1017" t="s">
        <v>15</v>
      </c>
      <c r="J1017" s="2">
        <v>789</v>
      </c>
      <c r="K1017" s="2">
        <v>4</v>
      </c>
    </row>
    <row r="1018" spans="1:11" x14ac:dyDescent="0.25">
      <c r="A1018" t="s">
        <v>1064</v>
      </c>
      <c r="B1018" t="s">
        <v>12</v>
      </c>
      <c r="C1018" t="s">
        <v>21</v>
      </c>
      <c r="D1018" t="s">
        <v>42</v>
      </c>
      <c r="E1018" s="1">
        <v>45152</v>
      </c>
      <c r="F1018" s="1">
        <v>45157</v>
      </c>
      <c r="G1018" s="2">
        <v>21.4</v>
      </c>
      <c r="H1018" s="2">
        <v>113.32</v>
      </c>
      <c r="I1018" t="s">
        <v>60</v>
      </c>
      <c r="J1018" s="2">
        <v>790</v>
      </c>
      <c r="K1018" s="2">
        <v>5</v>
      </c>
    </row>
    <row r="1019" spans="1:11" x14ac:dyDescent="0.25">
      <c r="A1019" t="s">
        <v>1065</v>
      </c>
      <c r="B1019" t="s">
        <v>30</v>
      </c>
      <c r="C1019" t="s">
        <v>28</v>
      </c>
      <c r="D1019" t="s">
        <v>25</v>
      </c>
      <c r="E1019" s="1">
        <v>45058</v>
      </c>
      <c r="F1019" s="1">
        <v>45064</v>
      </c>
      <c r="G1019" s="2">
        <v>50.3</v>
      </c>
      <c r="H1019" s="2">
        <v>257.68</v>
      </c>
      <c r="I1019" t="s">
        <v>15</v>
      </c>
      <c r="J1019" s="2">
        <v>1485</v>
      </c>
      <c r="K1019" s="2">
        <v>6</v>
      </c>
    </row>
    <row r="1020" spans="1:11" x14ac:dyDescent="0.25">
      <c r="A1020" t="s">
        <v>1066</v>
      </c>
      <c r="B1020" t="s">
        <v>49</v>
      </c>
      <c r="C1020" t="s">
        <v>13</v>
      </c>
      <c r="D1020" t="s">
        <v>37</v>
      </c>
      <c r="E1020" s="1">
        <v>45144</v>
      </c>
      <c r="F1020" s="1">
        <v>45148</v>
      </c>
      <c r="G1020" s="2">
        <v>23.7</v>
      </c>
      <c r="H1020" s="2">
        <v>280.45</v>
      </c>
      <c r="I1020" t="s">
        <v>67</v>
      </c>
      <c r="J1020" s="2">
        <v>2017</v>
      </c>
      <c r="K1020" s="2">
        <v>4</v>
      </c>
    </row>
    <row r="1021" spans="1:11" x14ac:dyDescent="0.25">
      <c r="A1021" t="s">
        <v>1067</v>
      </c>
      <c r="B1021" t="s">
        <v>12</v>
      </c>
      <c r="C1021" t="s">
        <v>40</v>
      </c>
      <c r="D1021" t="s">
        <v>14</v>
      </c>
      <c r="E1021" s="1">
        <v>44979</v>
      </c>
      <c r="F1021" s="1">
        <v>44984</v>
      </c>
      <c r="G1021" s="2">
        <v>43.5</v>
      </c>
      <c r="H1021" s="2">
        <v>324.49</v>
      </c>
      <c r="I1021" t="s">
        <v>15</v>
      </c>
      <c r="J1021" s="2">
        <v>2021</v>
      </c>
      <c r="K1021" s="2">
        <v>5</v>
      </c>
    </row>
    <row r="1022" spans="1:11" x14ac:dyDescent="0.25">
      <c r="A1022" t="s">
        <v>1068</v>
      </c>
      <c r="B1022" t="s">
        <v>51</v>
      </c>
      <c r="C1022" t="s">
        <v>46</v>
      </c>
      <c r="D1022" t="s">
        <v>14</v>
      </c>
      <c r="E1022" s="1">
        <v>45192</v>
      </c>
      <c r="F1022" s="1">
        <v>45197</v>
      </c>
      <c r="G1022" s="2">
        <v>14.9</v>
      </c>
      <c r="I1022" t="s">
        <v>47</v>
      </c>
      <c r="J1022" s="2">
        <v>215</v>
      </c>
      <c r="K1022" s="2">
        <v>1</v>
      </c>
    </row>
    <row r="1023" spans="1:11" x14ac:dyDescent="0.25">
      <c r="A1023" t="s">
        <v>1069</v>
      </c>
      <c r="B1023" t="s">
        <v>51</v>
      </c>
      <c r="C1023" t="s">
        <v>81</v>
      </c>
      <c r="D1023" t="s">
        <v>25</v>
      </c>
      <c r="E1023" s="1">
        <v>45013</v>
      </c>
      <c r="F1023" s="1">
        <v>45020</v>
      </c>
      <c r="G1023" s="2">
        <v>16.7</v>
      </c>
      <c r="H1023" s="2">
        <v>200.43</v>
      </c>
      <c r="I1023" t="s">
        <v>15</v>
      </c>
      <c r="J1023" s="2">
        <v>1466</v>
      </c>
      <c r="K1023" s="2">
        <v>7</v>
      </c>
    </row>
    <row r="1024" spans="1:11" x14ac:dyDescent="0.25">
      <c r="A1024" t="s">
        <v>1070</v>
      </c>
      <c r="B1024" t="s">
        <v>23</v>
      </c>
      <c r="C1024" t="s">
        <v>46</v>
      </c>
      <c r="D1024" t="s">
        <v>32</v>
      </c>
      <c r="E1024" s="1">
        <v>45000</v>
      </c>
      <c r="F1024" s="1">
        <v>45002</v>
      </c>
      <c r="G1024" s="2">
        <v>12.8</v>
      </c>
      <c r="H1024" s="2">
        <v>94.48</v>
      </c>
      <c r="I1024" t="s">
        <v>15</v>
      </c>
      <c r="J1024" s="2">
        <v>626</v>
      </c>
      <c r="K1024" s="2">
        <v>2</v>
      </c>
    </row>
    <row r="1025" spans="1:11" x14ac:dyDescent="0.25">
      <c r="A1025" t="s">
        <v>1071</v>
      </c>
      <c r="B1025" t="s">
        <v>56</v>
      </c>
      <c r="C1025" t="s">
        <v>17</v>
      </c>
      <c r="D1025" t="s">
        <v>25</v>
      </c>
      <c r="E1025" s="1">
        <v>44977</v>
      </c>
      <c r="F1025" s="1">
        <v>44980</v>
      </c>
      <c r="G1025" s="2">
        <v>3.5</v>
      </c>
      <c r="H1025" s="2">
        <v>138.85</v>
      </c>
      <c r="I1025" t="s">
        <v>15</v>
      </c>
      <c r="J1025" s="2">
        <v>1063</v>
      </c>
      <c r="K1025" s="2">
        <v>3</v>
      </c>
    </row>
    <row r="1026" spans="1:11" x14ac:dyDescent="0.25">
      <c r="A1026" t="s">
        <v>1072</v>
      </c>
      <c r="B1026" t="s">
        <v>51</v>
      </c>
      <c r="C1026" t="s">
        <v>17</v>
      </c>
      <c r="D1026" t="s">
        <v>14</v>
      </c>
      <c r="E1026" s="1">
        <v>45032</v>
      </c>
      <c r="F1026" s="1">
        <v>45034</v>
      </c>
      <c r="G1026" s="2">
        <v>166.1</v>
      </c>
      <c r="H1026" s="2">
        <v>337.18</v>
      </c>
      <c r="I1026" t="s">
        <v>15</v>
      </c>
      <c r="J1026" s="2">
        <v>870</v>
      </c>
      <c r="K1026" s="2">
        <v>2</v>
      </c>
    </row>
    <row r="1027" spans="1:11" x14ac:dyDescent="0.25">
      <c r="A1027" t="s">
        <v>1073</v>
      </c>
      <c r="B1027" t="s">
        <v>23</v>
      </c>
      <c r="C1027" t="s">
        <v>44</v>
      </c>
      <c r="D1027" t="s">
        <v>32</v>
      </c>
      <c r="E1027" s="1">
        <v>45161</v>
      </c>
      <c r="F1027" s="1">
        <v>45166</v>
      </c>
      <c r="G1027" s="2">
        <v>21.8</v>
      </c>
      <c r="H1027" s="2">
        <v>325.08999999999997</v>
      </c>
      <c r="I1027" t="s">
        <v>15</v>
      </c>
      <c r="J1027" s="2">
        <v>2387</v>
      </c>
      <c r="K1027" s="2">
        <v>5</v>
      </c>
    </row>
    <row r="1028" spans="1:11" x14ac:dyDescent="0.25">
      <c r="A1028" t="s">
        <v>1074</v>
      </c>
      <c r="B1028" t="s">
        <v>20</v>
      </c>
      <c r="C1028" t="s">
        <v>13</v>
      </c>
      <c r="D1028" t="s">
        <v>37</v>
      </c>
      <c r="E1028" s="1">
        <v>45045</v>
      </c>
      <c r="F1028" s="1">
        <v>45049</v>
      </c>
      <c r="G1028" s="2">
        <v>25.3</v>
      </c>
      <c r="H1028" s="2">
        <v>172.77</v>
      </c>
      <c r="I1028" t="s">
        <v>15</v>
      </c>
      <c r="J1028" s="2">
        <v>1260</v>
      </c>
      <c r="K1028" s="2">
        <v>4</v>
      </c>
    </row>
    <row r="1029" spans="1:11" x14ac:dyDescent="0.25">
      <c r="A1029" t="s">
        <v>1075</v>
      </c>
      <c r="B1029" t="s">
        <v>56</v>
      </c>
      <c r="C1029" t="s">
        <v>28</v>
      </c>
      <c r="D1029" t="s">
        <v>25</v>
      </c>
      <c r="E1029" s="1">
        <v>44973</v>
      </c>
      <c r="F1029" s="1">
        <v>44987</v>
      </c>
      <c r="G1029" s="2">
        <v>8.5</v>
      </c>
      <c r="H1029" s="2">
        <v>228.43</v>
      </c>
      <c r="I1029" t="s">
        <v>47</v>
      </c>
      <c r="J1029" s="2">
        <v>1754</v>
      </c>
      <c r="K1029" s="2">
        <v>4</v>
      </c>
    </row>
    <row r="1030" spans="1:11" x14ac:dyDescent="0.25">
      <c r="A1030" t="s">
        <v>1076</v>
      </c>
      <c r="B1030" t="s">
        <v>27</v>
      </c>
      <c r="C1030" t="s">
        <v>40</v>
      </c>
      <c r="D1030" t="s">
        <v>14</v>
      </c>
      <c r="E1030" s="1">
        <v>45167</v>
      </c>
      <c r="F1030" s="1">
        <v>45170</v>
      </c>
      <c r="G1030" s="2">
        <v>12.4</v>
      </c>
      <c r="H1030" s="2">
        <v>129.81</v>
      </c>
      <c r="I1030" t="s">
        <v>62</v>
      </c>
      <c r="J1030" s="2">
        <v>842</v>
      </c>
      <c r="K1030" s="2">
        <v>3</v>
      </c>
    </row>
    <row r="1031" spans="1:11" x14ac:dyDescent="0.25">
      <c r="A1031" t="s">
        <v>1077</v>
      </c>
      <c r="B1031" t="s">
        <v>27</v>
      </c>
      <c r="C1031" t="s">
        <v>31</v>
      </c>
      <c r="D1031" t="s">
        <v>32</v>
      </c>
      <c r="E1031" s="1">
        <v>45098</v>
      </c>
      <c r="F1031" s="1">
        <v>45102</v>
      </c>
      <c r="G1031" s="2">
        <v>40.700000000000003</v>
      </c>
      <c r="H1031" s="2">
        <v>240.08</v>
      </c>
      <c r="I1031" t="s">
        <v>15</v>
      </c>
      <c r="J1031" s="2">
        <v>1457</v>
      </c>
      <c r="K1031" s="2">
        <v>4</v>
      </c>
    </row>
    <row r="1032" spans="1:11" x14ac:dyDescent="0.25">
      <c r="A1032" t="s">
        <v>1078</v>
      </c>
      <c r="B1032" t="s">
        <v>27</v>
      </c>
      <c r="C1032" t="s">
        <v>40</v>
      </c>
      <c r="D1032" t="s">
        <v>25</v>
      </c>
      <c r="E1032" s="1">
        <v>45087</v>
      </c>
      <c r="F1032" s="1">
        <v>45094</v>
      </c>
      <c r="G1032" s="2">
        <v>17.3</v>
      </c>
      <c r="H1032" s="2">
        <v>300.85000000000002</v>
      </c>
      <c r="I1032" t="s">
        <v>15</v>
      </c>
      <c r="J1032" s="2">
        <v>2372</v>
      </c>
      <c r="K1032" s="2">
        <v>7</v>
      </c>
    </row>
    <row r="1033" spans="1:11" x14ac:dyDescent="0.25">
      <c r="A1033" t="s">
        <v>1079</v>
      </c>
      <c r="B1033" t="s">
        <v>23</v>
      </c>
      <c r="C1033" t="s">
        <v>81</v>
      </c>
      <c r="D1033" t="s">
        <v>25</v>
      </c>
      <c r="E1033" s="1">
        <v>45133</v>
      </c>
      <c r="F1033" s="1">
        <v>45138</v>
      </c>
      <c r="G1033" s="2">
        <v>12.9</v>
      </c>
      <c r="H1033" s="2">
        <v>276.52</v>
      </c>
      <c r="I1033" t="s">
        <v>15</v>
      </c>
      <c r="J1033" s="2">
        <v>1986</v>
      </c>
      <c r="K1033" s="2">
        <v>5</v>
      </c>
    </row>
    <row r="1034" spans="1:11" x14ac:dyDescent="0.25">
      <c r="A1034" t="s">
        <v>1080</v>
      </c>
      <c r="B1034" t="s">
        <v>27</v>
      </c>
      <c r="C1034" t="s">
        <v>24</v>
      </c>
      <c r="D1034" t="s">
        <v>14</v>
      </c>
      <c r="E1034" s="1">
        <v>45087</v>
      </c>
      <c r="F1034" s="1">
        <v>45089</v>
      </c>
      <c r="G1034" s="2">
        <v>27.3</v>
      </c>
      <c r="H1034" s="2">
        <v>54.83</v>
      </c>
      <c r="I1034" t="s">
        <v>15</v>
      </c>
      <c r="J1034" s="2">
        <v>128</v>
      </c>
      <c r="K1034" s="2">
        <v>2</v>
      </c>
    </row>
    <row r="1035" spans="1:11" x14ac:dyDescent="0.25">
      <c r="A1035" t="s">
        <v>1081</v>
      </c>
      <c r="B1035" t="s">
        <v>51</v>
      </c>
      <c r="C1035" t="s">
        <v>52</v>
      </c>
      <c r="D1035" t="s">
        <v>25</v>
      </c>
      <c r="E1035" s="1">
        <v>45283</v>
      </c>
      <c r="F1035" s="1">
        <v>45285</v>
      </c>
      <c r="G1035" s="2">
        <v>20.2</v>
      </c>
      <c r="H1035" s="2">
        <v>82.02</v>
      </c>
      <c r="I1035" t="s">
        <v>15</v>
      </c>
      <c r="J1035" s="2">
        <v>426</v>
      </c>
      <c r="K1035" s="2">
        <v>2</v>
      </c>
    </row>
    <row r="1036" spans="1:11" x14ac:dyDescent="0.25">
      <c r="A1036" t="s">
        <v>1082</v>
      </c>
      <c r="B1036" t="s">
        <v>56</v>
      </c>
      <c r="C1036" t="s">
        <v>13</v>
      </c>
      <c r="D1036" t="s">
        <v>32</v>
      </c>
      <c r="E1036" s="1">
        <v>45068</v>
      </c>
      <c r="F1036" s="1">
        <v>45073</v>
      </c>
      <c r="G1036" s="2">
        <v>22.6</v>
      </c>
      <c r="H1036" s="2">
        <v>256.62</v>
      </c>
      <c r="I1036" t="s">
        <v>62</v>
      </c>
      <c r="J1036" s="2">
        <v>1708</v>
      </c>
      <c r="K1036" s="2">
        <v>5</v>
      </c>
    </row>
    <row r="1037" spans="1:11" x14ac:dyDescent="0.25">
      <c r="A1037" t="s">
        <v>1083</v>
      </c>
      <c r="B1037" t="s">
        <v>23</v>
      </c>
      <c r="C1037" t="s">
        <v>31</v>
      </c>
      <c r="D1037" t="s">
        <v>25</v>
      </c>
      <c r="E1037" s="1">
        <v>45283</v>
      </c>
      <c r="F1037" s="1">
        <v>45292</v>
      </c>
      <c r="G1037" s="2">
        <v>15.2</v>
      </c>
      <c r="H1037" s="2">
        <v>261.44</v>
      </c>
      <c r="I1037" t="s">
        <v>47</v>
      </c>
      <c r="J1037" s="2">
        <v>1561</v>
      </c>
      <c r="K1037" s="2">
        <v>3</v>
      </c>
    </row>
    <row r="1038" spans="1:11" x14ac:dyDescent="0.25">
      <c r="A1038" t="s">
        <v>1084</v>
      </c>
      <c r="B1038" t="s">
        <v>35</v>
      </c>
      <c r="C1038" t="s">
        <v>52</v>
      </c>
      <c r="D1038" t="s">
        <v>25</v>
      </c>
      <c r="E1038" s="1">
        <v>45086</v>
      </c>
      <c r="F1038" s="1">
        <v>45100</v>
      </c>
      <c r="G1038" s="2">
        <v>18.399999999999999</v>
      </c>
      <c r="H1038" s="2">
        <v>156.75</v>
      </c>
      <c r="I1038" t="s">
        <v>47</v>
      </c>
      <c r="J1038" s="2">
        <v>1064</v>
      </c>
      <c r="K1038" s="2">
        <v>5</v>
      </c>
    </row>
    <row r="1039" spans="1:11" x14ac:dyDescent="0.25">
      <c r="A1039" t="s">
        <v>1085</v>
      </c>
      <c r="B1039" t="s">
        <v>20</v>
      </c>
      <c r="C1039" t="s">
        <v>44</v>
      </c>
      <c r="D1039" t="s">
        <v>18</v>
      </c>
      <c r="E1039" s="1">
        <v>45000</v>
      </c>
      <c r="F1039" s="1">
        <v>45005</v>
      </c>
      <c r="G1039" s="2">
        <v>14.7</v>
      </c>
      <c r="H1039" s="2">
        <v>292.83</v>
      </c>
      <c r="I1039" t="s">
        <v>15</v>
      </c>
      <c r="J1039" s="2">
        <v>1842</v>
      </c>
      <c r="K1039" s="2">
        <v>5</v>
      </c>
    </row>
    <row r="1040" spans="1:11" x14ac:dyDescent="0.25">
      <c r="A1040" t="s">
        <v>1086</v>
      </c>
      <c r="B1040" t="s">
        <v>30</v>
      </c>
      <c r="C1040" t="s">
        <v>24</v>
      </c>
      <c r="D1040" t="s">
        <v>42</v>
      </c>
      <c r="E1040" s="1">
        <v>45204</v>
      </c>
      <c r="F1040" s="1">
        <v>45210</v>
      </c>
      <c r="G1040" s="2">
        <v>41.9</v>
      </c>
      <c r="H1040" s="2">
        <v>129.63999999999999</v>
      </c>
      <c r="I1040" t="s">
        <v>15</v>
      </c>
      <c r="J1040" s="2">
        <v>670</v>
      </c>
      <c r="K1040" s="2">
        <v>6</v>
      </c>
    </row>
    <row r="1041" spans="1:11" x14ac:dyDescent="0.25">
      <c r="A1041" t="s">
        <v>1087</v>
      </c>
      <c r="B1041" t="s">
        <v>27</v>
      </c>
      <c r="C1041" t="s">
        <v>17</v>
      </c>
      <c r="D1041" t="s">
        <v>14</v>
      </c>
      <c r="E1041" s="1">
        <v>45203</v>
      </c>
      <c r="F1041" s="1">
        <v>45207</v>
      </c>
      <c r="G1041" s="2">
        <v>9.4</v>
      </c>
      <c r="H1041" s="2">
        <v>208.22</v>
      </c>
      <c r="I1041" t="s">
        <v>15</v>
      </c>
      <c r="J1041" s="2">
        <v>1675</v>
      </c>
      <c r="K1041" s="2">
        <v>4</v>
      </c>
    </row>
    <row r="1042" spans="1:11" x14ac:dyDescent="0.25">
      <c r="A1042" t="s">
        <v>1088</v>
      </c>
      <c r="B1042" t="s">
        <v>35</v>
      </c>
      <c r="C1042" t="s">
        <v>46</v>
      </c>
      <c r="D1042" t="s">
        <v>32</v>
      </c>
      <c r="E1042" s="1">
        <v>45174</v>
      </c>
      <c r="F1042" s="1">
        <v>45184</v>
      </c>
      <c r="G1042" s="2">
        <v>8.4</v>
      </c>
      <c r="H1042" s="2">
        <v>237.7</v>
      </c>
      <c r="I1042" t="s">
        <v>47</v>
      </c>
      <c r="J1042" s="2">
        <v>1854</v>
      </c>
      <c r="K1042" s="2">
        <v>5</v>
      </c>
    </row>
    <row r="1043" spans="1:11" x14ac:dyDescent="0.25">
      <c r="A1043" t="s">
        <v>1089</v>
      </c>
      <c r="B1043" t="s">
        <v>12</v>
      </c>
      <c r="C1043" t="s">
        <v>13</v>
      </c>
      <c r="D1043" t="s">
        <v>18</v>
      </c>
      <c r="E1043" s="1">
        <v>45024</v>
      </c>
      <c r="F1043" s="1">
        <v>45031</v>
      </c>
      <c r="G1043" s="2">
        <v>20.5</v>
      </c>
      <c r="H1043" s="2">
        <v>369.7</v>
      </c>
      <c r="I1043" t="s">
        <v>15</v>
      </c>
      <c r="J1043" s="2">
        <v>2249</v>
      </c>
      <c r="K1043" s="2">
        <v>7</v>
      </c>
    </row>
    <row r="1044" spans="1:11" x14ac:dyDescent="0.25">
      <c r="A1044" t="s">
        <v>1090</v>
      </c>
      <c r="B1044" t="s">
        <v>27</v>
      </c>
      <c r="C1044" t="s">
        <v>54</v>
      </c>
      <c r="D1044" t="s">
        <v>25</v>
      </c>
      <c r="E1044" s="1">
        <v>45092</v>
      </c>
      <c r="F1044" s="1">
        <v>45100</v>
      </c>
      <c r="G1044" s="2">
        <v>16.399999999999999</v>
      </c>
      <c r="H1044" s="2">
        <v>264.86</v>
      </c>
      <c r="I1044" t="s">
        <v>47</v>
      </c>
      <c r="J1044" s="2">
        <v>1947</v>
      </c>
      <c r="K1044" s="2">
        <v>4</v>
      </c>
    </row>
    <row r="1045" spans="1:11" x14ac:dyDescent="0.25">
      <c r="A1045" t="s">
        <v>1091</v>
      </c>
      <c r="B1045" t="s">
        <v>30</v>
      </c>
      <c r="C1045" t="s">
        <v>36</v>
      </c>
      <c r="D1045" t="s">
        <v>14</v>
      </c>
      <c r="E1045" s="1">
        <v>45290</v>
      </c>
      <c r="F1045" s="1">
        <v>45291</v>
      </c>
      <c r="G1045" s="2">
        <v>19.899999999999999</v>
      </c>
      <c r="H1045" s="2">
        <v>66.41</v>
      </c>
      <c r="I1045" t="s">
        <v>15</v>
      </c>
      <c r="J1045" s="2">
        <v>229</v>
      </c>
      <c r="K1045" s="2">
        <v>1</v>
      </c>
    </row>
    <row r="1046" spans="1:11" x14ac:dyDescent="0.25">
      <c r="A1046" t="s">
        <v>1092</v>
      </c>
      <c r="B1046" t="s">
        <v>27</v>
      </c>
      <c r="C1046" t="s">
        <v>57</v>
      </c>
      <c r="D1046" t="s">
        <v>59</v>
      </c>
      <c r="E1046" s="1">
        <v>45011</v>
      </c>
      <c r="F1046" s="1">
        <v>45013</v>
      </c>
      <c r="G1046" s="2">
        <v>45.5</v>
      </c>
      <c r="H1046" s="2">
        <v>87.93</v>
      </c>
      <c r="I1046" t="s">
        <v>15</v>
      </c>
      <c r="J1046" s="2">
        <v>399</v>
      </c>
      <c r="K1046" s="2">
        <v>2</v>
      </c>
    </row>
    <row r="1047" spans="1:11" x14ac:dyDescent="0.25">
      <c r="A1047" t="s">
        <v>1093</v>
      </c>
      <c r="B1047" t="s">
        <v>49</v>
      </c>
      <c r="C1047" t="s">
        <v>70</v>
      </c>
      <c r="D1047" t="s">
        <v>42</v>
      </c>
      <c r="E1047" s="1">
        <v>45161</v>
      </c>
      <c r="F1047" s="1">
        <v>45164</v>
      </c>
      <c r="G1047" s="2">
        <v>31.8</v>
      </c>
      <c r="H1047" s="2">
        <v>101.3</v>
      </c>
      <c r="I1047" t="s">
        <v>62</v>
      </c>
      <c r="J1047" s="2">
        <v>519</v>
      </c>
      <c r="K1047" s="2">
        <v>3</v>
      </c>
    </row>
    <row r="1048" spans="1:11" x14ac:dyDescent="0.25">
      <c r="A1048" t="s">
        <v>1094</v>
      </c>
      <c r="B1048" t="s">
        <v>20</v>
      </c>
      <c r="C1048" t="s">
        <v>21</v>
      </c>
      <c r="D1048" t="s">
        <v>32</v>
      </c>
      <c r="E1048" s="1">
        <v>44977</v>
      </c>
      <c r="F1048" s="1">
        <v>44981</v>
      </c>
      <c r="G1048" s="2">
        <v>20.3</v>
      </c>
      <c r="H1048" s="2">
        <v>232.45</v>
      </c>
      <c r="I1048" t="s">
        <v>15</v>
      </c>
      <c r="J1048" s="2">
        <v>1505</v>
      </c>
      <c r="K1048" s="2">
        <v>4</v>
      </c>
    </row>
    <row r="1049" spans="1:11" x14ac:dyDescent="0.25">
      <c r="A1049" t="s">
        <v>1095</v>
      </c>
      <c r="B1049" t="s">
        <v>49</v>
      </c>
      <c r="C1049" t="s">
        <v>81</v>
      </c>
      <c r="D1049" t="s">
        <v>14</v>
      </c>
      <c r="E1049" s="1">
        <v>45084</v>
      </c>
      <c r="F1049" s="1">
        <v>45089</v>
      </c>
      <c r="G1049" s="2">
        <v>34.299999999999997</v>
      </c>
      <c r="H1049" s="2">
        <v>295.73</v>
      </c>
      <c r="I1049" t="s">
        <v>15</v>
      </c>
      <c r="J1049" s="2">
        <v>2017</v>
      </c>
      <c r="K1049" s="2">
        <v>5</v>
      </c>
    </row>
    <row r="1050" spans="1:11" x14ac:dyDescent="0.25">
      <c r="A1050" t="s">
        <v>1096</v>
      </c>
      <c r="B1050" t="s">
        <v>51</v>
      </c>
      <c r="C1050" t="s">
        <v>52</v>
      </c>
      <c r="D1050" t="s">
        <v>37</v>
      </c>
      <c r="E1050" s="1">
        <v>45027</v>
      </c>
      <c r="F1050" s="1">
        <v>45034</v>
      </c>
      <c r="G1050" s="2">
        <v>12.7</v>
      </c>
      <c r="H1050" s="2">
        <v>285.48</v>
      </c>
      <c r="I1050" t="s">
        <v>60</v>
      </c>
      <c r="J1050" s="2">
        <v>2264</v>
      </c>
      <c r="K1050" s="2">
        <v>7</v>
      </c>
    </row>
    <row r="1051" spans="1:11" x14ac:dyDescent="0.25">
      <c r="A1051" t="s">
        <v>1097</v>
      </c>
      <c r="B1051" t="s">
        <v>27</v>
      </c>
      <c r="C1051" t="s">
        <v>13</v>
      </c>
      <c r="D1051" t="s">
        <v>59</v>
      </c>
      <c r="E1051" s="1">
        <v>45236</v>
      </c>
      <c r="F1051" s="1">
        <v>45241</v>
      </c>
      <c r="G1051" s="2">
        <v>53.3</v>
      </c>
      <c r="H1051" s="2">
        <v>343.47</v>
      </c>
      <c r="I1051" t="s">
        <v>15</v>
      </c>
      <c r="J1051" s="2">
        <v>2222</v>
      </c>
      <c r="K1051" s="2">
        <v>5</v>
      </c>
    </row>
    <row r="1052" spans="1:11" x14ac:dyDescent="0.25">
      <c r="A1052" t="s">
        <v>1098</v>
      </c>
      <c r="B1052" t="s">
        <v>56</v>
      </c>
      <c r="C1052" t="s">
        <v>28</v>
      </c>
      <c r="D1052" t="s">
        <v>25</v>
      </c>
      <c r="E1052" s="1">
        <v>45203</v>
      </c>
      <c r="F1052" s="1">
        <v>45209</v>
      </c>
      <c r="G1052" s="2">
        <v>85.3</v>
      </c>
      <c r="H1052" s="2">
        <v>406.22</v>
      </c>
      <c r="I1052" t="s">
        <v>15</v>
      </c>
      <c r="J1052" s="2">
        <v>2470</v>
      </c>
      <c r="K1052" s="2">
        <v>6</v>
      </c>
    </row>
    <row r="1053" spans="1:11" x14ac:dyDescent="0.25">
      <c r="A1053" t="s">
        <v>1099</v>
      </c>
      <c r="B1053" t="s">
        <v>27</v>
      </c>
      <c r="C1053" t="s">
        <v>81</v>
      </c>
      <c r="D1053" t="s">
        <v>18</v>
      </c>
      <c r="E1053" s="1">
        <v>45154</v>
      </c>
      <c r="F1053" s="1">
        <v>45158</v>
      </c>
      <c r="G1053" s="2">
        <v>18.100000000000001</v>
      </c>
      <c r="H1053" s="2">
        <v>205.49</v>
      </c>
      <c r="I1053" t="s">
        <v>15</v>
      </c>
      <c r="J1053" s="2">
        <v>1418</v>
      </c>
      <c r="K1053" s="2">
        <v>4</v>
      </c>
    </row>
    <row r="1054" spans="1:11" x14ac:dyDescent="0.25">
      <c r="A1054" t="s">
        <v>1100</v>
      </c>
      <c r="B1054" t="s">
        <v>51</v>
      </c>
      <c r="C1054" t="s">
        <v>28</v>
      </c>
      <c r="D1054" t="s">
        <v>18</v>
      </c>
      <c r="E1054" s="1">
        <v>45154</v>
      </c>
      <c r="F1054" s="1">
        <v>45161</v>
      </c>
      <c r="G1054" s="2">
        <v>8.1999999999999993</v>
      </c>
      <c r="H1054" s="2">
        <v>257.45</v>
      </c>
      <c r="I1054" t="s">
        <v>15</v>
      </c>
      <c r="J1054" s="2">
        <v>1838</v>
      </c>
      <c r="K1054" s="2">
        <v>7</v>
      </c>
    </row>
    <row r="1055" spans="1:11" x14ac:dyDescent="0.25">
      <c r="A1055" t="s">
        <v>1101</v>
      </c>
      <c r="B1055" t="s">
        <v>56</v>
      </c>
      <c r="C1055" t="s">
        <v>17</v>
      </c>
      <c r="D1055" t="s">
        <v>42</v>
      </c>
      <c r="E1055" s="1">
        <v>44940</v>
      </c>
      <c r="F1055" s="1">
        <v>44941</v>
      </c>
      <c r="G1055" s="2">
        <v>14.4</v>
      </c>
      <c r="H1055" s="2">
        <v>50.76</v>
      </c>
      <c r="I1055" t="s">
        <v>15</v>
      </c>
      <c r="J1055" s="2">
        <v>253</v>
      </c>
      <c r="K1055" s="2">
        <v>1</v>
      </c>
    </row>
    <row r="1056" spans="1:11" x14ac:dyDescent="0.25">
      <c r="A1056" t="s">
        <v>1102</v>
      </c>
      <c r="B1056" t="s">
        <v>56</v>
      </c>
      <c r="C1056" t="s">
        <v>21</v>
      </c>
      <c r="D1056" t="s">
        <v>42</v>
      </c>
      <c r="E1056" s="1">
        <v>45283</v>
      </c>
      <c r="F1056" s="1">
        <v>45287</v>
      </c>
      <c r="G1056" s="2">
        <v>4.3</v>
      </c>
      <c r="H1056" s="2">
        <v>218.11</v>
      </c>
      <c r="I1056" t="s">
        <v>15</v>
      </c>
      <c r="J1056" s="2">
        <v>1565</v>
      </c>
      <c r="K1056" s="2">
        <v>4</v>
      </c>
    </row>
    <row r="1057" spans="1:11" x14ac:dyDescent="0.25">
      <c r="A1057" t="s">
        <v>1103</v>
      </c>
      <c r="B1057" t="s">
        <v>30</v>
      </c>
      <c r="C1057" t="s">
        <v>17</v>
      </c>
      <c r="D1057" t="s">
        <v>25</v>
      </c>
      <c r="E1057" s="1">
        <v>45179</v>
      </c>
      <c r="F1057" s="1">
        <v>45183</v>
      </c>
      <c r="G1057" s="2">
        <v>57.1</v>
      </c>
      <c r="H1057" s="2">
        <v>259.94</v>
      </c>
      <c r="I1057" t="s">
        <v>15</v>
      </c>
      <c r="J1057" s="2">
        <v>1447</v>
      </c>
      <c r="K1057" s="2">
        <v>4</v>
      </c>
    </row>
    <row r="1058" spans="1:11" x14ac:dyDescent="0.25">
      <c r="A1058" t="s">
        <v>1104</v>
      </c>
      <c r="B1058" t="s">
        <v>23</v>
      </c>
      <c r="C1058" t="s">
        <v>31</v>
      </c>
      <c r="D1058" t="s">
        <v>14</v>
      </c>
      <c r="E1058" s="1">
        <v>45143</v>
      </c>
      <c r="F1058" s="1">
        <v>45146</v>
      </c>
      <c r="G1058" s="2">
        <v>18</v>
      </c>
      <c r="H1058" s="2">
        <v>63.23</v>
      </c>
      <c r="I1058" t="s">
        <v>15</v>
      </c>
      <c r="J1058" s="2">
        <v>312</v>
      </c>
      <c r="K1058" s="2">
        <v>3</v>
      </c>
    </row>
    <row r="1059" spans="1:11" x14ac:dyDescent="0.25">
      <c r="A1059" t="s">
        <v>1105</v>
      </c>
      <c r="B1059" t="s">
        <v>23</v>
      </c>
      <c r="C1059" t="s">
        <v>52</v>
      </c>
      <c r="D1059" t="s">
        <v>42</v>
      </c>
      <c r="E1059" s="1">
        <v>45125</v>
      </c>
      <c r="F1059" s="1">
        <v>45126</v>
      </c>
      <c r="G1059" s="2">
        <v>27.5</v>
      </c>
      <c r="H1059" s="2">
        <v>41.66</v>
      </c>
      <c r="I1059" t="s">
        <v>15</v>
      </c>
      <c r="J1059" s="2">
        <v>101</v>
      </c>
      <c r="K1059" s="2">
        <v>1</v>
      </c>
    </row>
    <row r="1060" spans="1:11" x14ac:dyDescent="0.25">
      <c r="A1060" t="s">
        <v>1106</v>
      </c>
      <c r="B1060" t="s">
        <v>56</v>
      </c>
      <c r="C1060" t="s">
        <v>81</v>
      </c>
      <c r="D1060" t="s">
        <v>25</v>
      </c>
      <c r="E1060" s="1">
        <v>44943</v>
      </c>
      <c r="F1060" s="1">
        <v>44947</v>
      </c>
      <c r="G1060" s="2">
        <v>20.7</v>
      </c>
      <c r="H1060" s="2">
        <v>179.54</v>
      </c>
      <c r="I1060" t="s">
        <v>15</v>
      </c>
      <c r="J1060" s="2">
        <v>1413</v>
      </c>
      <c r="K1060" s="2">
        <v>4</v>
      </c>
    </row>
    <row r="1061" spans="1:11" x14ac:dyDescent="0.25">
      <c r="A1061" t="s">
        <v>1107</v>
      </c>
      <c r="B1061" t="s">
        <v>39</v>
      </c>
      <c r="C1061" t="s">
        <v>24</v>
      </c>
      <c r="D1061" t="s">
        <v>32</v>
      </c>
      <c r="E1061" s="1">
        <v>45048</v>
      </c>
      <c r="F1061" s="1">
        <v>45052</v>
      </c>
      <c r="G1061" s="2">
        <v>14.5</v>
      </c>
      <c r="H1061" s="2">
        <v>88.92</v>
      </c>
      <c r="I1061" t="s">
        <v>15</v>
      </c>
      <c r="J1061" s="2">
        <v>581</v>
      </c>
      <c r="K1061" s="2">
        <v>4</v>
      </c>
    </row>
    <row r="1062" spans="1:11" x14ac:dyDescent="0.25">
      <c r="A1062" t="s">
        <v>1108</v>
      </c>
      <c r="B1062" t="s">
        <v>51</v>
      </c>
      <c r="C1062" t="s">
        <v>21</v>
      </c>
      <c r="D1062" t="s">
        <v>18</v>
      </c>
      <c r="E1062" s="1">
        <v>45285</v>
      </c>
      <c r="F1062" s="1">
        <v>45294</v>
      </c>
      <c r="G1062" s="2">
        <v>9.3000000000000007</v>
      </c>
      <c r="H1062" s="2">
        <v>223.05</v>
      </c>
      <c r="I1062" t="s">
        <v>47</v>
      </c>
      <c r="J1062" s="2">
        <v>1331</v>
      </c>
      <c r="K1062" s="2">
        <v>3</v>
      </c>
    </row>
    <row r="1063" spans="1:11" x14ac:dyDescent="0.25">
      <c r="A1063" t="s">
        <v>1109</v>
      </c>
      <c r="B1063" t="s">
        <v>27</v>
      </c>
      <c r="C1063" t="s">
        <v>28</v>
      </c>
      <c r="D1063" t="s">
        <v>14</v>
      </c>
      <c r="E1063" s="1">
        <v>44948</v>
      </c>
      <c r="F1063" s="1">
        <v>44953</v>
      </c>
      <c r="G1063" s="2">
        <v>10.3</v>
      </c>
      <c r="H1063" s="2">
        <v>237.92</v>
      </c>
      <c r="I1063" t="s">
        <v>15</v>
      </c>
      <c r="J1063" s="2">
        <v>1737</v>
      </c>
      <c r="K1063" s="2">
        <v>5</v>
      </c>
    </row>
    <row r="1064" spans="1:11" x14ac:dyDescent="0.25">
      <c r="A1064" t="s">
        <v>1110</v>
      </c>
      <c r="B1064" t="s">
        <v>39</v>
      </c>
      <c r="C1064" t="s">
        <v>40</v>
      </c>
      <c r="D1064" t="s">
        <v>18</v>
      </c>
      <c r="E1064" s="1">
        <v>45056</v>
      </c>
      <c r="F1064" s="1">
        <v>45068</v>
      </c>
      <c r="G1064" s="2">
        <v>31.3</v>
      </c>
      <c r="H1064" s="2">
        <v>323.10000000000002</v>
      </c>
      <c r="I1064" t="s">
        <v>47</v>
      </c>
      <c r="J1064" s="2">
        <v>1873</v>
      </c>
      <c r="K1064" s="2">
        <v>5</v>
      </c>
    </row>
    <row r="1065" spans="1:11" x14ac:dyDescent="0.25">
      <c r="A1065" t="s">
        <v>1111</v>
      </c>
      <c r="B1065" t="s">
        <v>12</v>
      </c>
      <c r="C1065" t="s">
        <v>81</v>
      </c>
      <c r="D1065" t="s">
        <v>42</v>
      </c>
      <c r="E1065" s="1">
        <v>45272</v>
      </c>
      <c r="F1065" s="1">
        <v>45275</v>
      </c>
      <c r="G1065" s="2">
        <v>14.3</v>
      </c>
      <c r="H1065" s="2">
        <v>88.88</v>
      </c>
      <c r="I1065" t="s">
        <v>15</v>
      </c>
      <c r="J1065" s="2">
        <v>489</v>
      </c>
      <c r="K1065" s="2">
        <v>3</v>
      </c>
    </row>
    <row r="1066" spans="1:11" x14ac:dyDescent="0.25">
      <c r="A1066" t="s">
        <v>1112</v>
      </c>
      <c r="B1066" t="s">
        <v>30</v>
      </c>
      <c r="C1066" t="s">
        <v>54</v>
      </c>
      <c r="D1066" t="s">
        <v>42</v>
      </c>
      <c r="E1066" s="1">
        <v>45113</v>
      </c>
      <c r="F1066" s="1">
        <v>45119</v>
      </c>
      <c r="G1066" s="2">
        <v>42.3</v>
      </c>
      <c r="H1066" s="2">
        <v>297.39999999999998</v>
      </c>
      <c r="I1066" t="s">
        <v>15</v>
      </c>
      <c r="J1066" s="2">
        <v>2310</v>
      </c>
      <c r="K1066" s="2">
        <v>6</v>
      </c>
    </row>
    <row r="1067" spans="1:11" x14ac:dyDescent="0.25">
      <c r="A1067" t="s">
        <v>1113</v>
      </c>
      <c r="B1067" t="s">
        <v>20</v>
      </c>
      <c r="C1067" t="s">
        <v>17</v>
      </c>
      <c r="D1067" t="s">
        <v>18</v>
      </c>
      <c r="E1067" s="1">
        <v>44930</v>
      </c>
      <c r="F1067" s="1">
        <v>44935</v>
      </c>
      <c r="G1067" s="2">
        <v>55.9</v>
      </c>
      <c r="H1067" s="2">
        <v>321.41000000000003</v>
      </c>
      <c r="I1067" t="s">
        <v>15</v>
      </c>
      <c r="J1067" s="2">
        <v>1931</v>
      </c>
      <c r="K1067" s="2">
        <v>5</v>
      </c>
    </row>
    <row r="1068" spans="1:11" x14ac:dyDescent="0.25">
      <c r="A1068" t="s">
        <v>1114</v>
      </c>
      <c r="B1068" t="s">
        <v>35</v>
      </c>
      <c r="C1068" t="s">
        <v>36</v>
      </c>
      <c r="D1068" t="s">
        <v>37</v>
      </c>
      <c r="E1068" s="1">
        <v>45213</v>
      </c>
      <c r="F1068" s="1">
        <v>45216</v>
      </c>
      <c r="G1068" s="2">
        <v>8</v>
      </c>
      <c r="H1068" s="2">
        <v>33.03</v>
      </c>
      <c r="I1068" t="s">
        <v>15</v>
      </c>
      <c r="J1068" s="2">
        <v>207</v>
      </c>
      <c r="K1068" s="2">
        <v>3</v>
      </c>
    </row>
    <row r="1069" spans="1:11" x14ac:dyDescent="0.25">
      <c r="A1069" t="s">
        <v>1115</v>
      </c>
      <c r="B1069" t="s">
        <v>23</v>
      </c>
      <c r="C1069" t="s">
        <v>81</v>
      </c>
      <c r="D1069" t="s">
        <v>14</v>
      </c>
      <c r="E1069" s="1">
        <v>45126</v>
      </c>
      <c r="F1069" s="1">
        <v>45139</v>
      </c>
      <c r="G1069" s="2">
        <v>25.9</v>
      </c>
      <c r="H1069" s="2">
        <v>323.47000000000003</v>
      </c>
      <c r="I1069" t="s">
        <v>47</v>
      </c>
      <c r="J1069" s="2">
        <v>2279</v>
      </c>
      <c r="K1069" s="2">
        <v>7</v>
      </c>
    </row>
    <row r="1070" spans="1:11" x14ac:dyDescent="0.25">
      <c r="A1070" t="s">
        <v>1116</v>
      </c>
      <c r="B1070" t="s">
        <v>49</v>
      </c>
      <c r="C1070" t="s">
        <v>28</v>
      </c>
      <c r="D1070" t="s">
        <v>14</v>
      </c>
      <c r="E1070" s="1">
        <v>45050</v>
      </c>
      <c r="F1070" s="1">
        <v>45055</v>
      </c>
      <c r="G1070" s="2">
        <v>11.6</v>
      </c>
      <c r="H1070" s="2">
        <v>196.42</v>
      </c>
      <c r="I1070" t="s">
        <v>15</v>
      </c>
      <c r="J1070" s="2">
        <v>1463</v>
      </c>
      <c r="K1070" s="2">
        <v>5</v>
      </c>
    </row>
    <row r="1071" spans="1:11" x14ac:dyDescent="0.25">
      <c r="A1071" t="s">
        <v>1117</v>
      </c>
      <c r="B1071" t="s">
        <v>35</v>
      </c>
      <c r="C1071" t="s">
        <v>36</v>
      </c>
      <c r="D1071" t="s">
        <v>37</v>
      </c>
      <c r="E1071" s="1">
        <v>45109</v>
      </c>
      <c r="F1071" s="1">
        <v>45111</v>
      </c>
      <c r="G1071" s="2">
        <v>20.2</v>
      </c>
      <c r="H1071" s="2">
        <v>129.06</v>
      </c>
      <c r="I1071" t="s">
        <v>15</v>
      </c>
      <c r="J1071" s="2">
        <v>780</v>
      </c>
      <c r="K1071" s="2">
        <v>2</v>
      </c>
    </row>
    <row r="1072" spans="1:11" x14ac:dyDescent="0.25">
      <c r="A1072" t="s">
        <v>1118</v>
      </c>
      <c r="B1072" t="s">
        <v>30</v>
      </c>
      <c r="C1072" t="s">
        <v>57</v>
      </c>
      <c r="D1072" t="s">
        <v>32</v>
      </c>
      <c r="E1072" s="1">
        <v>45055</v>
      </c>
      <c r="F1072" s="1">
        <v>45057</v>
      </c>
      <c r="G1072" s="2">
        <v>21.9</v>
      </c>
      <c r="H1072" s="2">
        <v>101.98</v>
      </c>
      <c r="I1072" t="s">
        <v>15</v>
      </c>
      <c r="J1072" s="2">
        <v>506</v>
      </c>
      <c r="K1072" s="2">
        <v>2</v>
      </c>
    </row>
    <row r="1073" spans="1:11" x14ac:dyDescent="0.25">
      <c r="A1073" t="s">
        <v>1119</v>
      </c>
      <c r="B1073" t="s">
        <v>56</v>
      </c>
      <c r="C1073" t="s">
        <v>28</v>
      </c>
      <c r="D1073" t="s">
        <v>37</v>
      </c>
      <c r="E1073" s="1">
        <v>44946</v>
      </c>
      <c r="F1073" s="1">
        <v>44955</v>
      </c>
      <c r="G1073" s="2">
        <v>10.3</v>
      </c>
      <c r="H1073" s="2">
        <v>310.92</v>
      </c>
      <c r="I1073" t="s">
        <v>15</v>
      </c>
      <c r="J1073" s="2">
        <v>2349</v>
      </c>
      <c r="K1073" s="2">
        <v>9</v>
      </c>
    </row>
    <row r="1074" spans="1:11" x14ac:dyDescent="0.25">
      <c r="A1074" t="s">
        <v>1120</v>
      </c>
      <c r="B1074" t="s">
        <v>30</v>
      </c>
      <c r="C1074" t="s">
        <v>31</v>
      </c>
      <c r="D1074" t="s">
        <v>42</v>
      </c>
      <c r="E1074" s="1">
        <v>45265</v>
      </c>
      <c r="F1074" s="1">
        <v>45267</v>
      </c>
      <c r="G1074" s="2">
        <v>7</v>
      </c>
      <c r="H1074" s="2">
        <v>114.15</v>
      </c>
      <c r="I1074" t="s">
        <v>15</v>
      </c>
      <c r="J1074" s="2">
        <v>704</v>
      </c>
      <c r="K1074" s="2">
        <v>2</v>
      </c>
    </row>
    <row r="1075" spans="1:11" x14ac:dyDescent="0.25">
      <c r="A1075" t="s">
        <v>1121</v>
      </c>
      <c r="B1075" t="s">
        <v>51</v>
      </c>
      <c r="C1075" t="s">
        <v>36</v>
      </c>
      <c r="D1075" t="s">
        <v>59</v>
      </c>
      <c r="E1075" s="1">
        <v>45200</v>
      </c>
      <c r="F1075" s="1">
        <v>45206</v>
      </c>
      <c r="G1075" s="2">
        <v>37.4</v>
      </c>
      <c r="H1075" s="2">
        <v>165.48</v>
      </c>
      <c r="I1075" t="s">
        <v>15</v>
      </c>
      <c r="J1075" s="2">
        <v>1209</v>
      </c>
      <c r="K1075" s="2">
        <v>6</v>
      </c>
    </row>
    <row r="1076" spans="1:11" x14ac:dyDescent="0.25">
      <c r="A1076" t="s">
        <v>1122</v>
      </c>
      <c r="B1076" t="s">
        <v>35</v>
      </c>
      <c r="C1076" t="s">
        <v>54</v>
      </c>
      <c r="D1076" t="s">
        <v>37</v>
      </c>
      <c r="E1076" s="1">
        <v>45161</v>
      </c>
      <c r="F1076" s="1">
        <v>45165</v>
      </c>
      <c r="G1076" s="2">
        <v>13.9</v>
      </c>
      <c r="H1076" s="2">
        <v>163.87</v>
      </c>
      <c r="I1076" t="s">
        <v>15</v>
      </c>
      <c r="J1076" s="2">
        <v>1350</v>
      </c>
      <c r="K1076" s="2">
        <v>4</v>
      </c>
    </row>
    <row r="1077" spans="1:11" x14ac:dyDescent="0.25">
      <c r="A1077" t="s">
        <v>1123</v>
      </c>
      <c r="B1077" t="s">
        <v>20</v>
      </c>
      <c r="C1077" t="s">
        <v>46</v>
      </c>
      <c r="D1077" t="s">
        <v>37</v>
      </c>
      <c r="E1077" s="1">
        <v>45214</v>
      </c>
      <c r="F1077" s="1">
        <v>45220</v>
      </c>
      <c r="G1077" s="2">
        <v>6</v>
      </c>
      <c r="H1077" s="2">
        <v>162.4</v>
      </c>
      <c r="I1077" t="s">
        <v>15</v>
      </c>
      <c r="J1077" s="2">
        <v>1231</v>
      </c>
      <c r="K1077" s="2">
        <v>6</v>
      </c>
    </row>
    <row r="1078" spans="1:11" x14ac:dyDescent="0.25">
      <c r="A1078" t="s">
        <v>1124</v>
      </c>
      <c r="B1078" t="s">
        <v>51</v>
      </c>
      <c r="C1078" t="s">
        <v>28</v>
      </c>
      <c r="D1078" t="s">
        <v>25</v>
      </c>
      <c r="E1078" s="1">
        <v>45033</v>
      </c>
      <c r="F1078" s="1">
        <v>45035</v>
      </c>
      <c r="G1078" s="2">
        <v>32.4</v>
      </c>
      <c r="H1078" s="2">
        <v>81.150000000000006</v>
      </c>
      <c r="I1078" t="s">
        <v>15</v>
      </c>
      <c r="J1078" s="2">
        <v>415</v>
      </c>
      <c r="K1078" s="2">
        <v>2</v>
      </c>
    </row>
    <row r="1079" spans="1:11" x14ac:dyDescent="0.25">
      <c r="A1079" t="s">
        <v>1125</v>
      </c>
      <c r="B1079" t="s">
        <v>30</v>
      </c>
      <c r="C1079" t="s">
        <v>52</v>
      </c>
      <c r="D1079" t="s">
        <v>59</v>
      </c>
      <c r="E1079" s="1">
        <v>45077</v>
      </c>
      <c r="F1079" s="1">
        <v>45079</v>
      </c>
      <c r="G1079" s="2">
        <v>21.1</v>
      </c>
      <c r="H1079" s="2">
        <v>49.8</v>
      </c>
      <c r="I1079" t="s">
        <v>15</v>
      </c>
      <c r="J1079" s="2">
        <v>270</v>
      </c>
      <c r="K1079" s="2">
        <v>2</v>
      </c>
    </row>
    <row r="1080" spans="1:11" x14ac:dyDescent="0.25">
      <c r="A1080" t="s">
        <v>1126</v>
      </c>
      <c r="B1080" t="s">
        <v>30</v>
      </c>
      <c r="C1080" t="s">
        <v>21</v>
      </c>
      <c r="D1080" t="s">
        <v>37</v>
      </c>
      <c r="E1080" s="1">
        <v>45112</v>
      </c>
      <c r="F1080" s="1">
        <v>45117</v>
      </c>
      <c r="G1080" s="2">
        <v>66.5</v>
      </c>
      <c r="H1080" s="2">
        <v>94.15</v>
      </c>
      <c r="I1080" t="s">
        <v>15</v>
      </c>
      <c r="J1080" s="2">
        <v>155</v>
      </c>
      <c r="K1080" s="2">
        <v>5</v>
      </c>
    </row>
    <row r="1081" spans="1:11" x14ac:dyDescent="0.25">
      <c r="A1081" t="s">
        <v>1127</v>
      </c>
      <c r="B1081" t="s">
        <v>51</v>
      </c>
      <c r="C1081" t="s">
        <v>40</v>
      </c>
      <c r="D1081" t="s">
        <v>14</v>
      </c>
      <c r="E1081" s="1">
        <v>45275</v>
      </c>
      <c r="F1081" s="1">
        <v>45281</v>
      </c>
      <c r="G1081" s="2">
        <v>19.5</v>
      </c>
      <c r="H1081" s="2">
        <v>354.28</v>
      </c>
      <c r="I1081" t="s">
        <v>15</v>
      </c>
      <c r="J1081" s="2">
        <v>2393</v>
      </c>
      <c r="K1081" s="2">
        <v>6</v>
      </c>
    </row>
    <row r="1082" spans="1:11" x14ac:dyDescent="0.25">
      <c r="A1082" t="s">
        <v>1128</v>
      </c>
      <c r="B1082" t="s">
        <v>39</v>
      </c>
      <c r="C1082" t="s">
        <v>28</v>
      </c>
      <c r="D1082" t="s">
        <v>14</v>
      </c>
      <c r="E1082" s="1">
        <v>45208</v>
      </c>
      <c r="F1082" s="1">
        <v>45213</v>
      </c>
      <c r="G1082" s="2">
        <v>7.6</v>
      </c>
      <c r="H1082" s="2">
        <v>108.9</v>
      </c>
      <c r="I1082" t="s">
        <v>15</v>
      </c>
      <c r="J1082" s="2">
        <v>772</v>
      </c>
      <c r="K1082" s="2">
        <v>5</v>
      </c>
    </row>
    <row r="1083" spans="1:11" x14ac:dyDescent="0.25">
      <c r="A1083" t="s">
        <v>1129</v>
      </c>
      <c r="B1083" t="s">
        <v>35</v>
      </c>
      <c r="C1083" t="s">
        <v>54</v>
      </c>
      <c r="D1083" t="s">
        <v>37</v>
      </c>
      <c r="E1083" s="1">
        <v>45130</v>
      </c>
      <c r="F1083" s="1">
        <v>45133</v>
      </c>
      <c r="G1083" s="2">
        <v>84.6</v>
      </c>
      <c r="H1083" s="2">
        <v>260.77999999999997</v>
      </c>
      <c r="I1083" t="s">
        <v>62</v>
      </c>
      <c r="J1083" s="2">
        <v>1350</v>
      </c>
      <c r="K1083" s="2">
        <v>3</v>
      </c>
    </row>
    <row r="1084" spans="1:11" x14ac:dyDescent="0.25">
      <c r="A1084" t="s">
        <v>1130</v>
      </c>
      <c r="B1084" t="s">
        <v>56</v>
      </c>
      <c r="C1084" t="s">
        <v>13</v>
      </c>
      <c r="D1084" t="s">
        <v>18</v>
      </c>
      <c r="E1084" s="1">
        <v>45174</v>
      </c>
      <c r="F1084" s="1">
        <v>45185</v>
      </c>
      <c r="G1084" s="2">
        <v>26.7</v>
      </c>
      <c r="H1084" s="2">
        <v>243.13</v>
      </c>
      <c r="I1084" t="s">
        <v>47</v>
      </c>
      <c r="J1084" s="2">
        <v>1505</v>
      </c>
      <c r="K1084" s="2">
        <v>5</v>
      </c>
    </row>
    <row r="1085" spans="1:11" x14ac:dyDescent="0.25">
      <c r="A1085" t="s">
        <v>1131</v>
      </c>
      <c r="B1085" t="s">
        <v>27</v>
      </c>
      <c r="C1085" t="s">
        <v>36</v>
      </c>
      <c r="D1085" t="s">
        <v>37</v>
      </c>
      <c r="E1085" s="1">
        <v>45106</v>
      </c>
      <c r="F1085" s="1">
        <v>45108</v>
      </c>
      <c r="G1085" s="2">
        <v>22.6</v>
      </c>
      <c r="H1085" s="2">
        <v>115.12</v>
      </c>
      <c r="I1085" t="s">
        <v>15</v>
      </c>
      <c r="J1085" s="2">
        <v>719</v>
      </c>
      <c r="K1085" s="2">
        <v>2</v>
      </c>
    </row>
    <row r="1086" spans="1:11" x14ac:dyDescent="0.25">
      <c r="A1086" t="s">
        <v>1132</v>
      </c>
      <c r="B1086" t="s">
        <v>56</v>
      </c>
      <c r="C1086" t="s">
        <v>52</v>
      </c>
      <c r="D1086" t="s">
        <v>32</v>
      </c>
      <c r="E1086" s="1">
        <v>45278</v>
      </c>
      <c r="F1086" s="1">
        <v>45281</v>
      </c>
      <c r="G1086" s="2">
        <v>31</v>
      </c>
      <c r="H1086" s="2">
        <v>227.94</v>
      </c>
      <c r="I1086" t="s">
        <v>15</v>
      </c>
      <c r="J1086" s="2">
        <v>1045</v>
      </c>
      <c r="K1086" s="2">
        <v>3</v>
      </c>
    </row>
    <row r="1087" spans="1:11" x14ac:dyDescent="0.25">
      <c r="A1087" t="s">
        <v>1133</v>
      </c>
      <c r="B1087" t="s">
        <v>27</v>
      </c>
      <c r="C1087" t="s">
        <v>17</v>
      </c>
      <c r="D1087" t="s">
        <v>32</v>
      </c>
      <c r="E1087" s="1">
        <v>45216</v>
      </c>
      <c r="F1087" s="1">
        <v>45220</v>
      </c>
      <c r="G1087" s="2">
        <v>22.9</v>
      </c>
      <c r="H1087" s="2">
        <v>178.45</v>
      </c>
      <c r="I1087" t="s">
        <v>15</v>
      </c>
      <c r="J1087" s="2">
        <v>1185</v>
      </c>
      <c r="K1087" s="2">
        <v>4</v>
      </c>
    </row>
    <row r="1088" spans="1:11" x14ac:dyDescent="0.25">
      <c r="A1088" t="s">
        <v>1134</v>
      </c>
      <c r="B1088" t="s">
        <v>30</v>
      </c>
      <c r="C1088" t="s">
        <v>46</v>
      </c>
      <c r="D1088" t="s">
        <v>14</v>
      </c>
      <c r="E1088" s="1">
        <v>45180</v>
      </c>
      <c r="F1088" s="1">
        <v>45186</v>
      </c>
      <c r="G1088" s="2">
        <v>41.5</v>
      </c>
      <c r="H1088" s="2">
        <v>338.34</v>
      </c>
      <c r="I1088" t="s">
        <v>15</v>
      </c>
      <c r="J1088" s="2">
        <v>2120</v>
      </c>
      <c r="K1088" s="2">
        <v>6</v>
      </c>
    </row>
    <row r="1089" spans="1:11" x14ac:dyDescent="0.25">
      <c r="A1089" t="s">
        <v>1135</v>
      </c>
      <c r="B1089" t="s">
        <v>23</v>
      </c>
      <c r="C1089" t="s">
        <v>36</v>
      </c>
      <c r="D1089" t="s">
        <v>25</v>
      </c>
      <c r="E1089" s="1">
        <v>45237</v>
      </c>
      <c r="F1089" s="1">
        <v>45242</v>
      </c>
      <c r="G1089" s="2">
        <v>40</v>
      </c>
      <c r="H1089" s="2">
        <v>437.26</v>
      </c>
      <c r="I1089" t="s">
        <v>15</v>
      </c>
      <c r="J1089" s="2">
        <v>2431</v>
      </c>
      <c r="K1089" s="2">
        <v>5</v>
      </c>
    </row>
    <row r="1090" spans="1:11" x14ac:dyDescent="0.25">
      <c r="A1090" t="s">
        <v>1136</v>
      </c>
      <c r="B1090" t="s">
        <v>23</v>
      </c>
      <c r="C1090" t="s">
        <v>31</v>
      </c>
      <c r="D1090" t="s">
        <v>18</v>
      </c>
      <c r="E1090" s="1">
        <v>45223</v>
      </c>
      <c r="F1090" s="1">
        <v>45225</v>
      </c>
      <c r="G1090" s="2">
        <v>3.5</v>
      </c>
      <c r="H1090" s="2">
        <v>105.56</v>
      </c>
      <c r="I1090" t="s">
        <v>15</v>
      </c>
      <c r="J1090" s="2">
        <v>799</v>
      </c>
      <c r="K1090" s="2">
        <v>2</v>
      </c>
    </row>
    <row r="1091" spans="1:11" x14ac:dyDescent="0.25">
      <c r="A1091" t="s">
        <v>1137</v>
      </c>
      <c r="B1091" t="s">
        <v>20</v>
      </c>
      <c r="C1091" t="s">
        <v>40</v>
      </c>
      <c r="D1091" t="s">
        <v>42</v>
      </c>
      <c r="E1091" s="1">
        <v>45227</v>
      </c>
      <c r="F1091" s="1">
        <v>45230</v>
      </c>
      <c r="G1091" s="2">
        <v>70.400000000000006</v>
      </c>
      <c r="H1091" s="2">
        <v>166.43</v>
      </c>
      <c r="I1091" t="s">
        <v>15</v>
      </c>
      <c r="J1091" s="2">
        <v>795</v>
      </c>
      <c r="K1091" s="2">
        <v>3</v>
      </c>
    </row>
    <row r="1092" spans="1:11" x14ac:dyDescent="0.25">
      <c r="A1092" t="s">
        <v>1138</v>
      </c>
      <c r="B1092" t="s">
        <v>20</v>
      </c>
      <c r="C1092" t="s">
        <v>40</v>
      </c>
      <c r="D1092" t="s">
        <v>18</v>
      </c>
      <c r="E1092" s="1">
        <v>45282</v>
      </c>
      <c r="F1092" s="1">
        <v>45285</v>
      </c>
      <c r="G1092" s="2">
        <v>17.5</v>
      </c>
      <c r="H1092" s="2">
        <v>100.77</v>
      </c>
      <c r="I1092" t="s">
        <v>15</v>
      </c>
      <c r="J1092" s="2">
        <v>427</v>
      </c>
      <c r="K1092" s="2">
        <v>3</v>
      </c>
    </row>
    <row r="1093" spans="1:11" x14ac:dyDescent="0.25">
      <c r="A1093" t="s">
        <v>1139</v>
      </c>
      <c r="B1093" t="s">
        <v>27</v>
      </c>
      <c r="C1093" t="s">
        <v>17</v>
      </c>
      <c r="D1093" t="s">
        <v>42</v>
      </c>
      <c r="E1093" s="1">
        <v>45133</v>
      </c>
      <c r="F1093" s="1">
        <v>45145</v>
      </c>
      <c r="G1093" s="2">
        <v>15.5</v>
      </c>
      <c r="H1093" s="2">
        <v>130.66999999999999</v>
      </c>
      <c r="I1093" t="s">
        <v>47</v>
      </c>
      <c r="J1093" s="2">
        <v>1035</v>
      </c>
      <c r="K1093" s="2">
        <v>3</v>
      </c>
    </row>
    <row r="1094" spans="1:11" x14ac:dyDescent="0.25">
      <c r="A1094" t="s">
        <v>1140</v>
      </c>
      <c r="B1094" t="s">
        <v>51</v>
      </c>
      <c r="C1094" t="s">
        <v>36</v>
      </c>
      <c r="D1094" t="s">
        <v>18</v>
      </c>
      <c r="E1094" s="1">
        <v>45136</v>
      </c>
      <c r="F1094" s="1">
        <v>45140</v>
      </c>
      <c r="G1094" s="2">
        <v>26.5</v>
      </c>
      <c r="H1094" s="2">
        <v>292.13</v>
      </c>
      <c r="I1094" t="s">
        <v>15</v>
      </c>
      <c r="J1094" s="2">
        <v>1670</v>
      </c>
      <c r="K1094" s="2">
        <v>4</v>
      </c>
    </row>
    <row r="1095" spans="1:11" x14ac:dyDescent="0.25">
      <c r="A1095" t="s">
        <v>1141</v>
      </c>
      <c r="B1095" t="s">
        <v>23</v>
      </c>
      <c r="C1095" t="s">
        <v>36</v>
      </c>
      <c r="D1095" t="s">
        <v>37</v>
      </c>
      <c r="E1095" s="1">
        <v>45049</v>
      </c>
      <c r="F1095" s="1">
        <v>45061</v>
      </c>
      <c r="G1095" s="2">
        <v>7.7</v>
      </c>
      <c r="H1095" s="2">
        <v>226.92</v>
      </c>
      <c r="I1095" t="s">
        <v>15</v>
      </c>
      <c r="J1095" s="2">
        <v>1895</v>
      </c>
      <c r="K1095" s="2">
        <v>12</v>
      </c>
    </row>
    <row r="1096" spans="1:11" x14ac:dyDescent="0.25">
      <c r="A1096" t="s">
        <v>1142</v>
      </c>
      <c r="B1096" t="s">
        <v>30</v>
      </c>
      <c r="C1096" t="s">
        <v>54</v>
      </c>
      <c r="D1096" t="s">
        <v>37</v>
      </c>
      <c r="E1096" s="1">
        <v>45070</v>
      </c>
      <c r="F1096" s="1">
        <v>45074</v>
      </c>
      <c r="G1096" s="2">
        <v>31.7</v>
      </c>
      <c r="H1096" s="2">
        <v>134.57</v>
      </c>
      <c r="I1096" t="s">
        <v>15</v>
      </c>
      <c r="J1096" s="2">
        <v>862</v>
      </c>
      <c r="K1096" s="2">
        <v>4</v>
      </c>
    </row>
    <row r="1097" spans="1:11" x14ac:dyDescent="0.25">
      <c r="A1097" t="s">
        <v>1143</v>
      </c>
      <c r="B1097" t="s">
        <v>27</v>
      </c>
      <c r="C1097" t="s">
        <v>31</v>
      </c>
      <c r="D1097" t="s">
        <v>18</v>
      </c>
      <c r="E1097" s="1">
        <v>45070</v>
      </c>
      <c r="F1097" s="1">
        <v>45074</v>
      </c>
      <c r="G1097" s="2">
        <v>15.3</v>
      </c>
      <c r="H1097" s="2">
        <v>271.25</v>
      </c>
      <c r="I1097" t="s">
        <v>15</v>
      </c>
      <c r="J1097" s="2">
        <v>1709</v>
      </c>
      <c r="K1097" s="2">
        <v>4</v>
      </c>
    </row>
    <row r="1098" spans="1:11" x14ac:dyDescent="0.25">
      <c r="A1098" t="s">
        <v>1144</v>
      </c>
      <c r="B1098" t="s">
        <v>51</v>
      </c>
      <c r="C1098" t="s">
        <v>52</v>
      </c>
      <c r="D1098" t="s">
        <v>32</v>
      </c>
      <c r="E1098" s="1">
        <v>45061</v>
      </c>
      <c r="F1098" s="1">
        <v>45067</v>
      </c>
      <c r="G1098" s="2">
        <v>7.1</v>
      </c>
      <c r="H1098" s="2">
        <v>304.95999999999998</v>
      </c>
      <c r="I1098" t="s">
        <v>15</v>
      </c>
      <c r="J1098" s="2">
        <v>2397</v>
      </c>
      <c r="K1098" s="2">
        <v>6</v>
      </c>
    </row>
    <row r="1099" spans="1:11" x14ac:dyDescent="0.25">
      <c r="A1099" t="s">
        <v>1145</v>
      </c>
      <c r="B1099" t="s">
        <v>39</v>
      </c>
      <c r="C1099" t="s">
        <v>36</v>
      </c>
      <c r="D1099" t="s">
        <v>32</v>
      </c>
      <c r="E1099" s="1">
        <v>44937</v>
      </c>
      <c r="F1099" s="1">
        <v>44943</v>
      </c>
      <c r="G1099" s="2">
        <v>90.3</v>
      </c>
      <c r="H1099" s="2">
        <v>248.01</v>
      </c>
      <c r="I1099" t="s">
        <v>15</v>
      </c>
      <c r="J1099" s="2">
        <v>1076</v>
      </c>
      <c r="K1099" s="2">
        <v>6</v>
      </c>
    </row>
    <row r="1100" spans="1:11" x14ac:dyDescent="0.25">
      <c r="A1100" t="s">
        <v>1146</v>
      </c>
      <c r="B1100" t="s">
        <v>20</v>
      </c>
      <c r="C1100" t="s">
        <v>13</v>
      </c>
      <c r="D1100" t="s">
        <v>42</v>
      </c>
      <c r="E1100" s="1">
        <v>45016</v>
      </c>
      <c r="F1100" s="1">
        <v>45020</v>
      </c>
      <c r="G1100" s="2">
        <v>30.3</v>
      </c>
      <c r="H1100" s="2">
        <v>127.04</v>
      </c>
      <c r="I1100" t="s">
        <v>15</v>
      </c>
      <c r="J1100" s="2">
        <v>862</v>
      </c>
      <c r="K1100" s="2">
        <v>4</v>
      </c>
    </row>
    <row r="1101" spans="1:11" x14ac:dyDescent="0.25">
      <c r="A1101" t="s">
        <v>1147</v>
      </c>
      <c r="B1101" t="s">
        <v>56</v>
      </c>
      <c r="C1101" t="s">
        <v>17</v>
      </c>
      <c r="D1101" t="s">
        <v>25</v>
      </c>
      <c r="E1101" s="1">
        <v>45224</v>
      </c>
      <c r="F1101" s="1">
        <v>45230</v>
      </c>
      <c r="G1101" s="2">
        <v>12.6</v>
      </c>
      <c r="H1101" s="2">
        <v>158.56</v>
      </c>
      <c r="I1101" t="s">
        <v>15</v>
      </c>
      <c r="J1101" s="2">
        <v>1256</v>
      </c>
      <c r="K1101" s="2">
        <v>6</v>
      </c>
    </row>
    <row r="1102" spans="1:11" x14ac:dyDescent="0.25">
      <c r="A1102" t="s">
        <v>1148</v>
      </c>
      <c r="B1102" t="s">
        <v>51</v>
      </c>
      <c r="C1102" t="s">
        <v>54</v>
      </c>
      <c r="D1102" t="s">
        <v>32</v>
      </c>
      <c r="E1102" s="1">
        <v>45178</v>
      </c>
      <c r="F1102" s="1">
        <v>45182</v>
      </c>
      <c r="G1102" s="2">
        <v>15</v>
      </c>
      <c r="H1102" s="2">
        <v>185.82</v>
      </c>
      <c r="I1102" t="s">
        <v>15</v>
      </c>
      <c r="J1102" s="2">
        <v>1368</v>
      </c>
      <c r="K1102" s="2">
        <v>4</v>
      </c>
    </row>
    <row r="1103" spans="1:11" x14ac:dyDescent="0.25">
      <c r="A1103" t="s">
        <v>1149</v>
      </c>
      <c r="B1103" t="s">
        <v>35</v>
      </c>
      <c r="C1103" t="s">
        <v>54</v>
      </c>
      <c r="D1103" t="s">
        <v>25</v>
      </c>
      <c r="E1103" s="1">
        <v>44928</v>
      </c>
      <c r="F1103" s="1">
        <v>44946</v>
      </c>
      <c r="G1103" s="2">
        <v>57.4</v>
      </c>
      <c r="H1103" s="2">
        <v>222.36</v>
      </c>
      <c r="I1103" t="s">
        <v>47</v>
      </c>
      <c r="J1103" s="2">
        <v>1350</v>
      </c>
      <c r="K1103" s="2">
        <v>5</v>
      </c>
    </row>
    <row r="1104" spans="1:11" x14ac:dyDescent="0.25">
      <c r="A1104" t="s">
        <v>1150</v>
      </c>
      <c r="B1104" t="s">
        <v>30</v>
      </c>
      <c r="C1104" t="s">
        <v>21</v>
      </c>
      <c r="D1104" t="s">
        <v>14</v>
      </c>
      <c r="E1104" s="1">
        <v>45252</v>
      </c>
      <c r="F1104" s="1">
        <v>45257</v>
      </c>
      <c r="G1104" s="2">
        <v>61.5</v>
      </c>
      <c r="H1104" s="2">
        <v>383.67</v>
      </c>
      <c r="I1104" t="s">
        <v>15</v>
      </c>
      <c r="J1104" s="2">
        <v>1976</v>
      </c>
      <c r="K1104" s="2">
        <v>5</v>
      </c>
    </row>
    <row r="1105" spans="1:11" x14ac:dyDescent="0.25">
      <c r="A1105" t="s">
        <v>1151</v>
      </c>
      <c r="B1105" t="s">
        <v>20</v>
      </c>
      <c r="C1105" t="s">
        <v>13</v>
      </c>
      <c r="D1105" t="s">
        <v>32</v>
      </c>
      <c r="E1105" s="1">
        <v>45156</v>
      </c>
      <c r="F1105" s="1">
        <v>45162</v>
      </c>
      <c r="G1105" s="2">
        <v>7.7</v>
      </c>
      <c r="H1105" s="2">
        <v>49.02</v>
      </c>
      <c r="I1105" t="s">
        <v>62</v>
      </c>
      <c r="J1105" s="2">
        <v>313</v>
      </c>
      <c r="K1105" s="2">
        <v>6</v>
      </c>
    </row>
    <row r="1106" spans="1:11" x14ac:dyDescent="0.25">
      <c r="A1106" t="s">
        <v>1152</v>
      </c>
      <c r="B1106" t="s">
        <v>39</v>
      </c>
      <c r="C1106" t="s">
        <v>81</v>
      </c>
      <c r="D1106" t="s">
        <v>32</v>
      </c>
      <c r="E1106" s="1">
        <v>45262</v>
      </c>
      <c r="F1106" s="1">
        <v>45265</v>
      </c>
      <c r="G1106" s="2">
        <v>53.7</v>
      </c>
      <c r="H1106" s="2">
        <v>255.13</v>
      </c>
      <c r="I1106" t="s">
        <v>15</v>
      </c>
      <c r="J1106" s="2">
        <v>1030</v>
      </c>
      <c r="K1106" s="2">
        <v>3</v>
      </c>
    </row>
    <row r="1107" spans="1:11" x14ac:dyDescent="0.25">
      <c r="A1107" t="s">
        <v>1153</v>
      </c>
      <c r="B1107" t="s">
        <v>20</v>
      </c>
      <c r="C1107" t="s">
        <v>13</v>
      </c>
      <c r="D1107" t="s">
        <v>42</v>
      </c>
      <c r="E1107" s="1">
        <v>45141</v>
      </c>
      <c r="F1107" s="1">
        <v>45148</v>
      </c>
      <c r="G1107" s="2">
        <v>54.6</v>
      </c>
      <c r="H1107" s="2">
        <v>6562.21</v>
      </c>
      <c r="I1107" t="s">
        <v>15</v>
      </c>
      <c r="J1107" s="2">
        <v>1942</v>
      </c>
      <c r="K1107" s="2">
        <v>7</v>
      </c>
    </row>
    <row r="1108" spans="1:11" x14ac:dyDescent="0.25">
      <c r="A1108" t="s">
        <v>1154</v>
      </c>
      <c r="B1108" t="s">
        <v>56</v>
      </c>
      <c r="C1108" t="s">
        <v>13</v>
      </c>
      <c r="D1108" t="s">
        <v>14</v>
      </c>
      <c r="E1108" s="1">
        <v>44997</v>
      </c>
      <c r="F1108" s="1">
        <v>45000</v>
      </c>
      <c r="G1108" s="2">
        <v>19</v>
      </c>
      <c r="H1108" s="2">
        <v>180.68</v>
      </c>
      <c r="I1108" t="s">
        <v>15</v>
      </c>
      <c r="J1108" s="2">
        <v>1291</v>
      </c>
      <c r="K1108" s="2">
        <v>3</v>
      </c>
    </row>
    <row r="1109" spans="1:11" x14ac:dyDescent="0.25">
      <c r="A1109" t="s">
        <v>1155</v>
      </c>
      <c r="B1109" t="s">
        <v>49</v>
      </c>
      <c r="C1109" t="s">
        <v>36</v>
      </c>
      <c r="D1109" t="s">
        <v>32</v>
      </c>
      <c r="E1109" s="1">
        <v>45255</v>
      </c>
      <c r="F1109" s="1">
        <v>45264</v>
      </c>
      <c r="G1109" s="2">
        <v>12.6</v>
      </c>
      <c r="H1109" s="2">
        <v>291.61</v>
      </c>
      <c r="I1109" t="s">
        <v>47</v>
      </c>
      <c r="J1109" s="2">
        <v>1899</v>
      </c>
      <c r="K1109" s="2">
        <v>5</v>
      </c>
    </row>
    <row r="1110" spans="1:11" x14ac:dyDescent="0.25">
      <c r="A1110" t="s">
        <v>1156</v>
      </c>
      <c r="B1110" t="s">
        <v>23</v>
      </c>
      <c r="C1110" t="s">
        <v>54</v>
      </c>
      <c r="D1110" t="s">
        <v>14</v>
      </c>
      <c r="E1110" s="1">
        <v>45103</v>
      </c>
      <c r="F1110" s="1">
        <v>45108</v>
      </c>
      <c r="G1110" s="2">
        <v>54.3</v>
      </c>
      <c r="H1110" s="2">
        <v>314.48</v>
      </c>
      <c r="I1110" t="s">
        <v>15</v>
      </c>
      <c r="J1110" s="2">
        <v>1853</v>
      </c>
      <c r="K1110" s="2">
        <v>5</v>
      </c>
    </row>
    <row r="1111" spans="1:11" x14ac:dyDescent="0.25">
      <c r="A1111" t="s">
        <v>1157</v>
      </c>
      <c r="B1111" t="s">
        <v>20</v>
      </c>
      <c r="C1111" t="s">
        <v>28</v>
      </c>
      <c r="D1111" t="s">
        <v>18</v>
      </c>
      <c r="E1111" s="1">
        <v>44934</v>
      </c>
      <c r="F1111" s="1">
        <v>44937</v>
      </c>
      <c r="G1111" s="2">
        <v>11.8</v>
      </c>
      <c r="H1111" s="2">
        <v>193.89</v>
      </c>
      <c r="I1111" t="s">
        <v>15</v>
      </c>
      <c r="J1111" s="2">
        <v>1435</v>
      </c>
      <c r="K1111" s="2">
        <v>3</v>
      </c>
    </row>
    <row r="1112" spans="1:11" x14ac:dyDescent="0.25">
      <c r="A1112" t="s">
        <v>1158</v>
      </c>
      <c r="B1112" t="s">
        <v>51</v>
      </c>
      <c r="C1112" t="s">
        <v>36</v>
      </c>
      <c r="D1112" t="s">
        <v>32</v>
      </c>
      <c r="E1112" s="1">
        <v>45139</v>
      </c>
      <c r="F1112" s="1">
        <v>45145</v>
      </c>
      <c r="G1112" s="2">
        <v>22.9</v>
      </c>
      <c r="H1112" s="2">
        <v>358.05</v>
      </c>
      <c r="I1112" t="s">
        <v>15</v>
      </c>
      <c r="J1112" s="2">
        <v>2443</v>
      </c>
      <c r="K1112" s="2">
        <v>6</v>
      </c>
    </row>
    <row r="1113" spans="1:11" x14ac:dyDescent="0.25">
      <c r="A1113" t="s">
        <v>1159</v>
      </c>
      <c r="B1113" t="s">
        <v>49</v>
      </c>
      <c r="C1113" t="s">
        <v>13</v>
      </c>
      <c r="D1113" t="s">
        <v>59</v>
      </c>
      <c r="E1113" s="1">
        <v>44965</v>
      </c>
      <c r="F1113" s="1">
        <v>44967</v>
      </c>
      <c r="G1113" s="2">
        <v>24.1</v>
      </c>
      <c r="H1113" s="2">
        <v>80.77</v>
      </c>
      <c r="I1113" t="s">
        <v>15</v>
      </c>
      <c r="J1113" s="2">
        <v>531</v>
      </c>
      <c r="K1113" s="2">
        <v>2</v>
      </c>
    </row>
    <row r="1114" spans="1:11" x14ac:dyDescent="0.25">
      <c r="A1114" t="s">
        <v>1160</v>
      </c>
      <c r="B1114" t="s">
        <v>39</v>
      </c>
      <c r="C1114" t="s">
        <v>21</v>
      </c>
      <c r="D1114" t="s">
        <v>59</v>
      </c>
      <c r="E1114" s="1">
        <v>45076</v>
      </c>
      <c r="F1114" s="1">
        <v>45077</v>
      </c>
      <c r="G1114" s="2">
        <v>24.2</v>
      </c>
      <c r="H1114" s="2">
        <v>44.49</v>
      </c>
      <c r="I1114" t="s">
        <v>15</v>
      </c>
      <c r="J1114" s="2">
        <v>134</v>
      </c>
      <c r="K1114" s="2">
        <v>1</v>
      </c>
    </row>
    <row r="1115" spans="1:11" x14ac:dyDescent="0.25">
      <c r="A1115" t="s">
        <v>1161</v>
      </c>
      <c r="B1115" t="s">
        <v>27</v>
      </c>
      <c r="C1115" t="s">
        <v>24</v>
      </c>
      <c r="D1115" t="s">
        <v>32</v>
      </c>
      <c r="E1115" s="1">
        <v>45105</v>
      </c>
      <c r="F1115" s="1">
        <v>45110</v>
      </c>
      <c r="G1115" s="2">
        <v>54.5</v>
      </c>
      <c r="H1115" s="2">
        <v>373.97</v>
      </c>
      <c r="I1115" t="s">
        <v>15</v>
      </c>
      <c r="J1115" s="2">
        <v>2490</v>
      </c>
      <c r="K1115" s="2">
        <v>5</v>
      </c>
    </row>
    <row r="1116" spans="1:11" x14ac:dyDescent="0.25">
      <c r="A1116" t="s">
        <v>1162</v>
      </c>
      <c r="B1116" t="s">
        <v>35</v>
      </c>
      <c r="C1116" t="s">
        <v>70</v>
      </c>
      <c r="D1116" t="s">
        <v>37</v>
      </c>
      <c r="E1116" s="1">
        <v>44983</v>
      </c>
      <c r="F1116" s="1">
        <v>44992</v>
      </c>
      <c r="G1116" s="2">
        <v>26.2</v>
      </c>
      <c r="H1116" s="2">
        <v>282.94</v>
      </c>
      <c r="I1116" t="s">
        <v>15</v>
      </c>
      <c r="J1116" s="2">
        <v>2291</v>
      </c>
      <c r="K1116" s="2">
        <v>9</v>
      </c>
    </row>
    <row r="1117" spans="1:11" x14ac:dyDescent="0.25">
      <c r="A1117" t="s">
        <v>1163</v>
      </c>
      <c r="B1117" t="s">
        <v>39</v>
      </c>
      <c r="C1117" t="s">
        <v>17</v>
      </c>
      <c r="D1117" t="s">
        <v>18</v>
      </c>
      <c r="E1117" s="1">
        <v>44987</v>
      </c>
      <c r="F1117" s="1">
        <v>44992</v>
      </c>
      <c r="G1117" s="2">
        <v>17.8</v>
      </c>
      <c r="H1117" s="2">
        <v>123.19</v>
      </c>
      <c r="I1117" t="s">
        <v>15</v>
      </c>
      <c r="J1117" s="2">
        <v>800</v>
      </c>
      <c r="K1117" s="2">
        <v>5</v>
      </c>
    </row>
    <row r="1118" spans="1:11" x14ac:dyDescent="0.25">
      <c r="A1118" t="s">
        <v>1164</v>
      </c>
      <c r="B1118" t="s">
        <v>20</v>
      </c>
      <c r="C1118" t="s">
        <v>54</v>
      </c>
      <c r="D1118" t="s">
        <v>42</v>
      </c>
      <c r="E1118" s="1">
        <v>45277</v>
      </c>
      <c r="F1118" s="1">
        <v>45281</v>
      </c>
      <c r="G1118" s="2">
        <v>16.399999999999999</v>
      </c>
      <c r="H1118" s="2">
        <v>316.52</v>
      </c>
      <c r="I1118" t="s">
        <v>67</v>
      </c>
      <c r="J1118" s="2">
        <v>1914</v>
      </c>
      <c r="K1118" s="2">
        <v>4</v>
      </c>
    </row>
    <row r="1119" spans="1:11" x14ac:dyDescent="0.25">
      <c r="A1119" t="s">
        <v>1165</v>
      </c>
      <c r="B1119" t="s">
        <v>56</v>
      </c>
      <c r="C1119" t="s">
        <v>40</v>
      </c>
      <c r="D1119" t="s">
        <v>59</v>
      </c>
      <c r="E1119" s="1">
        <v>45017</v>
      </c>
      <c r="G1119" s="2">
        <v>10.8</v>
      </c>
      <c r="H1119" s="2">
        <v>218.34</v>
      </c>
      <c r="I1119" t="s">
        <v>15</v>
      </c>
      <c r="J1119" s="2">
        <v>1937</v>
      </c>
      <c r="K1119" s="2">
        <v>5</v>
      </c>
    </row>
    <row r="1120" spans="1:11" x14ac:dyDescent="0.25">
      <c r="A1120" t="s">
        <v>1166</v>
      </c>
      <c r="B1120" t="s">
        <v>30</v>
      </c>
      <c r="C1120" t="s">
        <v>28</v>
      </c>
      <c r="D1120" t="s">
        <v>37</v>
      </c>
      <c r="E1120" s="1">
        <v>44951</v>
      </c>
      <c r="F1120" s="1">
        <v>44956</v>
      </c>
      <c r="G1120" s="2">
        <v>44.6</v>
      </c>
      <c r="H1120" s="2">
        <v>209.38</v>
      </c>
      <c r="I1120" t="s">
        <v>15</v>
      </c>
      <c r="J1120" s="2">
        <v>1333</v>
      </c>
      <c r="K1120" s="2">
        <v>5</v>
      </c>
    </row>
    <row r="1121" spans="1:11" x14ac:dyDescent="0.25">
      <c r="A1121" t="s">
        <v>1167</v>
      </c>
      <c r="B1121" t="s">
        <v>23</v>
      </c>
      <c r="C1121" t="s">
        <v>24</v>
      </c>
      <c r="D1121" t="s">
        <v>59</v>
      </c>
      <c r="E1121" s="1">
        <v>45289</v>
      </c>
      <c r="F1121" s="1">
        <v>45295</v>
      </c>
      <c r="G1121" s="2">
        <v>6.7</v>
      </c>
      <c r="H1121" s="2">
        <v>88.73</v>
      </c>
      <c r="I1121" t="s">
        <v>15</v>
      </c>
      <c r="J1121" s="2">
        <v>627</v>
      </c>
      <c r="K1121" s="2">
        <v>6</v>
      </c>
    </row>
    <row r="1122" spans="1:11" x14ac:dyDescent="0.25">
      <c r="A1122" t="s">
        <v>1168</v>
      </c>
      <c r="B1122" t="s">
        <v>51</v>
      </c>
      <c r="C1122" t="s">
        <v>21</v>
      </c>
      <c r="D1122" t="s">
        <v>32</v>
      </c>
      <c r="E1122" s="1">
        <v>45258</v>
      </c>
      <c r="F1122" s="1">
        <v>45262</v>
      </c>
      <c r="G1122" s="2">
        <v>54.5</v>
      </c>
      <c r="H1122" s="2">
        <v>232.49</v>
      </c>
      <c r="I1122" t="s">
        <v>15</v>
      </c>
      <c r="J1122" s="2">
        <v>866</v>
      </c>
      <c r="K1122" s="2">
        <v>4</v>
      </c>
    </row>
    <row r="1123" spans="1:11" x14ac:dyDescent="0.25">
      <c r="A1123" t="s">
        <v>1169</v>
      </c>
      <c r="B1123" t="s">
        <v>49</v>
      </c>
      <c r="C1123" t="s">
        <v>46</v>
      </c>
      <c r="D1123" t="s">
        <v>32</v>
      </c>
      <c r="E1123" s="1">
        <v>45165</v>
      </c>
      <c r="F1123" s="1">
        <v>45170</v>
      </c>
      <c r="G1123" s="2">
        <v>17.2</v>
      </c>
      <c r="H1123" s="2">
        <v>248.83</v>
      </c>
      <c r="I1123" t="s">
        <v>15</v>
      </c>
      <c r="J1123" s="2">
        <v>1896</v>
      </c>
      <c r="K1123" s="2">
        <v>5</v>
      </c>
    </row>
    <row r="1124" spans="1:11" x14ac:dyDescent="0.25">
      <c r="A1124" t="s">
        <v>1170</v>
      </c>
      <c r="B1124" t="s">
        <v>20</v>
      </c>
      <c r="C1124" t="s">
        <v>13</v>
      </c>
      <c r="D1124" t="s">
        <v>32</v>
      </c>
      <c r="E1124" s="1">
        <v>45181</v>
      </c>
      <c r="F1124" s="1">
        <v>45187</v>
      </c>
      <c r="G1124" s="2">
        <v>30.8</v>
      </c>
      <c r="H1124" s="2">
        <v>314.99</v>
      </c>
      <c r="I1124" t="s">
        <v>15</v>
      </c>
      <c r="J1124" s="2">
        <v>1981</v>
      </c>
      <c r="K1124" s="2">
        <v>6</v>
      </c>
    </row>
    <row r="1125" spans="1:11" x14ac:dyDescent="0.25">
      <c r="A1125" t="s">
        <v>1171</v>
      </c>
      <c r="B1125" t="s">
        <v>12</v>
      </c>
      <c r="C1125" t="s">
        <v>21</v>
      </c>
      <c r="D1125" t="s">
        <v>14</v>
      </c>
      <c r="E1125" s="1">
        <v>44987</v>
      </c>
      <c r="F1125" s="1">
        <v>44988</v>
      </c>
      <c r="G1125" s="2">
        <v>14</v>
      </c>
      <c r="H1125" s="2">
        <v>50.83</v>
      </c>
      <c r="I1125" t="s">
        <v>62</v>
      </c>
      <c r="J1125" s="2">
        <v>266</v>
      </c>
      <c r="K1125" s="2">
        <v>1</v>
      </c>
    </row>
    <row r="1126" spans="1:11" x14ac:dyDescent="0.25">
      <c r="A1126" t="s">
        <v>1172</v>
      </c>
      <c r="B1126" t="s">
        <v>51</v>
      </c>
      <c r="C1126" t="s">
        <v>21</v>
      </c>
      <c r="D1126" t="s">
        <v>14</v>
      </c>
      <c r="E1126" s="1">
        <v>45016</v>
      </c>
      <c r="F1126" s="1">
        <v>45020</v>
      </c>
      <c r="G1126" s="2">
        <v>7.9</v>
      </c>
      <c r="H1126" s="2">
        <v>219.09</v>
      </c>
      <c r="I1126" t="s">
        <v>15</v>
      </c>
      <c r="J1126" s="2">
        <v>1665</v>
      </c>
      <c r="K1126" s="2">
        <v>4</v>
      </c>
    </row>
    <row r="1127" spans="1:11" x14ac:dyDescent="0.25">
      <c r="A1127" t="s">
        <v>1173</v>
      </c>
      <c r="B1127" t="s">
        <v>56</v>
      </c>
      <c r="C1127" t="s">
        <v>31</v>
      </c>
      <c r="D1127" t="s">
        <v>18</v>
      </c>
      <c r="E1127" s="1">
        <v>45285</v>
      </c>
      <c r="F1127" s="1">
        <v>45289</v>
      </c>
      <c r="G1127" s="2">
        <v>14.3</v>
      </c>
      <c r="H1127" s="2">
        <v>256.95999999999998</v>
      </c>
      <c r="I1127" t="s">
        <v>15</v>
      </c>
      <c r="J1127" s="2">
        <v>1446</v>
      </c>
      <c r="K1127" s="2">
        <v>4</v>
      </c>
    </row>
    <row r="1128" spans="1:11" x14ac:dyDescent="0.25">
      <c r="A1128" t="s">
        <v>1174</v>
      </c>
      <c r="B1128" t="s">
        <v>39</v>
      </c>
      <c r="C1128" t="s">
        <v>54</v>
      </c>
      <c r="D1128" t="s">
        <v>14</v>
      </c>
      <c r="E1128" s="1">
        <v>45169</v>
      </c>
      <c r="F1128" s="1">
        <v>45171</v>
      </c>
      <c r="G1128" s="2">
        <v>40.700000000000003</v>
      </c>
      <c r="H1128" s="2">
        <v>140.21</v>
      </c>
      <c r="I1128" t="s">
        <v>15</v>
      </c>
      <c r="J1128" s="2">
        <v>807</v>
      </c>
      <c r="K1128" s="2">
        <v>2</v>
      </c>
    </row>
    <row r="1129" spans="1:11" x14ac:dyDescent="0.25">
      <c r="A1129" t="s">
        <v>1175</v>
      </c>
      <c r="B1129" t="s">
        <v>51</v>
      </c>
      <c r="C1129" t="s">
        <v>52</v>
      </c>
      <c r="D1129" t="s">
        <v>32</v>
      </c>
      <c r="E1129" s="1">
        <v>45186</v>
      </c>
      <c r="F1129" s="1">
        <v>45192</v>
      </c>
      <c r="G1129" s="2">
        <v>24.5</v>
      </c>
      <c r="H1129" s="2">
        <v>300.24</v>
      </c>
      <c r="I1129" t="s">
        <v>15</v>
      </c>
      <c r="J1129" s="2">
        <v>1863</v>
      </c>
      <c r="K1129" s="2">
        <v>6</v>
      </c>
    </row>
    <row r="1130" spans="1:11" x14ac:dyDescent="0.25">
      <c r="A1130" t="s">
        <v>1176</v>
      </c>
      <c r="B1130" t="s">
        <v>56</v>
      </c>
      <c r="C1130" t="s">
        <v>52</v>
      </c>
      <c r="D1130" t="s">
        <v>42</v>
      </c>
      <c r="E1130" s="1">
        <v>45150</v>
      </c>
      <c r="F1130" s="1">
        <v>45157</v>
      </c>
      <c r="G1130" s="2">
        <v>28.4</v>
      </c>
      <c r="H1130" s="2">
        <v>95.99</v>
      </c>
      <c r="I1130" t="s">
        <v>47</v>
      </c>
      <c r="J1130" s="2">
        <v>496</v>
      </c>
      <c r="K1130" s="2">
        <v>1</v>
      </c>
    </row>
    <row r="1131" spans="1:11" x14ac:dyDescent="0.25">
      <c r="A1131" t="s">
        <v>1177</v>
      </c>
      <c r="B1131" t="s">
        <v>49</v>
      </c>
      <c r="C1131" t="s">
        <v>52</v>
      </c>
      <c r="D1131" t="s">
        <v>59</v>
      </c>
      <c r="E1131" s="1">
        <v>45223</v>
      </c>
      <c r="F1131" s="1">
        <v>45227</v>
      </c>
      <c r="G1131" s="2">
        <v>21.5</v>
      </c>
      <c r="H1131" s="2">
        <v>200.39</v>
      </c>
      <c r="I1131" t="s">
        <v>15</v>
      </c>
      <c r="J1131" s="2">
        <v>1391</v>
      </c>
      <c r="K1131" s="2">
        <v>4</v>
      </c>
    </row>
    <row r="1132" spans="1:11" x14ac:dyDescent="0.25">
      <c r="A1132" t="s">
        <v>1178</v>
      </c>
      <c r="B1132" t="s">
        <v>51</v>
      </c>
      <c r="C1132" t="s">
        <v>28</v>
      </c>
      <c r="D1132" t="s">
        <v>18</v>
      </c>
      <c r="E1132" s="1">
        <v>45087</v>
      </c>
      <c r="F1132" s="1">
        <v>45088</v>
      </c>
      <c r="G1132" s="2">
        <v>18.2</v>
      </c>
      <c r="H1132" s="2">
        <v>77.400000000000006</v>
      </c>
      <c r="I1132" t="s">
        <v>15</v>
      </c>
      <c r="J1132" s="2">
        <v>361</v>
      </c>
      <c r="K1132" s="2">
        <v>1</v>
      </c>
    </row>
    <row r="1133" spans="1:11" x14ac:dyDescent="0.25">
      <c r="A1133" t="s">
        <v>1179</v>
      </c>
      <c r="B1133" t="s">
        <v>39</v>
      </c>
      <c r="C1133" t="s">
        <v>57</v>
      </c>
      <c r="D1133" t="s">
        <v>14</v>
      </c>
      <c r="E1133" s="1">
        <v>45259</v>
      </c>
      <c r="F1133" s="1">
        <v>45265</v>
      </c>
      <c r="G1133" s="2">
        <v>1.1000000000000001</v>
      </c>
      <c r="H1133" s="2">
        <v>394.62</v>
      </c>
      <c r="I1133" t="s">
        <v>15</v>
      </c>
      <c r="J1133" s="2">
        <v>2484</v>
      </c>
      <c r="K1133" s="2">
        <v>6</v>
      </c>
    </row>
    <row r="1134" spans="1:11" x14ac:dyDescent="0.25">
      <c r="A1134" t="s">
        <v>1180</v>
      </c>
      <c r="B1134" t="s">
        <v>23</v>
      </c>
      <c r="C1134" t="s">
        <v>57</v>
      </c>
      <c r="D1134" t="s">
        <v>42</v>
      </c>
      <c r="E1134" s="1">
        <v>45277</v>
      </c>
      <c r="F1134" s="1">
        <v>45291</v>
      </c>
      <c r="G1134" s="2">
        <v>35.4</v>
      </c>
      <c r="H1134" s="2">
        <v>212.98</v>
      </c>
      <c r="I1134" t="s">
        <v>47</v>
      </c>
      <c r="J1134" s="2">
        <v>1171</v>
      </c>
      <c r="K1134" s="2">
        <v>5</v>
      </c>
    </row>
    <row r="1135" spans="1:11" x14ac:dyDescent="0.25">
      <c r="A1135" t="s">
        <v>1181</v>
      </c>
      <c r="B1135" t="s">
        <v>23</v>
      </c>
      <c r="C1135" t="s">
        <v>44</v>
      </c>
      <c r="D1135" t="s">
        <v>14</v>
      </c>
      <c r="E1135" s="1">
        <v>45119</v>
      </c>
      <c r="F1135" s="1">
        <v>45124</v>
      </c>
      <c r="G1135" s="2">
        <v>10.4</v>
      </c>
      <c r="H1135" s="2">
        <v>107.97</v>
      </c>
      <c r="I1135" t="s">
        <v>15</v>
      </c>
      <c r="J1135" s="2">
        <v>810</v>
      </c>
      <c r="K1135" s="2">
        <v>5</v>
      </c>
    </row>
    <row r="1136" spans="1:11" x14ac:dyDescent="0.25">
      <c r="A1136" t="s">
        <v>1182</v>
      </c>
      <c r="B1136" t="s">
        <v>23</v>
      </c>
      <c r="C1136" t="s">
        <v>17</v>
      </c>
      <c r="D1136" t="s">
        <v>59</v>
      </c>
      <c r="E1136" s="1">
        <v>44964</v>
      </c>
      <c r="F1136" s="1">
        <v>44968</v>
      </c>
      <c r="G1136" s="2">
        <v>15.6</v>
      </c>
      <c r="H1136" s="2">
        <v>159.13</v>
      </c>
      <c r="I1136" t="s">
        <v>15</v>
      </c>
      <c r="J1136" s="2">
        <v>1230</v>
      </c>
      <c r="K1136" s="2">
        <v>4</v>
      </c>
    </row>
    <row r="1137" spans="1:11" x14ac:dyDescent="0.25">
      <c r="A1137" t="s">
        <v>1183</v>
      </c>
      <c r="B1137" t="s">
        <v>51</v>
      </c>
      <c r="C1137" t="s">
        <v>70</v>
      </c>
      <c r="D1137" t="s">
        <v>59</v>
      </c>
      <c r="E1137" s="1">
        <v>45260</v>
      </c>
      <c r="F1137" s="1">
        <v>45267</v>
      </c>
      <c r="G1137" s="2">
        <v>9.6</v>
      </c>
      <c r="I1137" t="s">
        <v>15</v>
      </c>
      <c r="J1137" s="2">
        <v>1000</v>
      </c>
      <c r="K1137" s="2">
        <v>7</v>
      </c>
    </row>
    <row r="1138" spans="1:11" x14ac:dyDescent="0.25">
      <c r="A1138" t="s">
        <v>1184</v>
      </c>
      <c r="B1138" t="s">
        <v>30</v>
      </c>
      <c r="C1138" t="s">
        <v>40</v>
      </c>
      <c r="D1138" t="s">
        <v>18</v>
      </c>
      <c r="E1138" s="1">
        <v>45258</v>
      </c>
      <c r="F1138" s="1">
        <v>45259</v>
      </c>
      <c r="G1138" s="2">
        <v>15</v>
      </c>
      <c r="H1138" s="2">
        <v>48.67</v>
      </c>
      <c r="I1138" t="s">
        <v>15</v>
      </c>
      <c r="J1138" s="2">
        <v>173</v>
      </c>
      <c r="K1138" s="2">
        <v>1</v>
      </c>
    </row>
    <row r="1139" spans="1:11" x14ac:dyDescent="0.25">
      <c r="A1139" t="s">
        <v>1185</v>
      </c>
      <c r="B1139" t="s">
        <v>49</v>
      </c>
      <c r="C1139" t="s">
        <v>46</v>
      </c>
      <c r="D1139" t="s">
        <v>42</v>
      </c>
      <c r="E1139" s="1">
        <v>44978</v>
      </c>
      <c r="F1139" s="1">
        <v>44983</v>
      </c>
      <c r="G1139" s="2">
        <v>15.1</v>
      </c>
      <c r="H1139" s="2">
        <v>223.5</v>
      </c>
      <c r="I1139" t="s">
        <v>15</v>
      </c>
      <c r="J1139" s="2">
        <v>1689</v>
      </c>
      <c r="K1139" s="2">
        <v>5</v>
      </c>
    </row>
    <row r="1140" spans="1:11" x14ac:dyDescent="0.25">
      <c r="A1140" t="s">
        <v>1186</v>
      </c>
      <c r="B1140" t="s">
        <v>35</v>
      </c>
      <c r="C1140" t="s">
        <v>81</v>
      </c>
      <c r="D1140" t="s">
        <v>59</v>
      </c>
      <c r="E1140" s="1">
        <v>44984</v>
      </c>
      <c r="F1140" s="1">
        <v>44988</v>
      </c>
      <c r="G1140" s="2">
        <v>26.1</v>
      </c>
      <c r="H1140" s="2">
        <v>147.22</v>
      </c>
      <c r="I1140" t="s">
        <v>62</v>
      </c>
      <c r="J1140" s="2">
        <v>1000</v>
      </c>
      <c r="K1140" s="2">
        <v>4</v>
      </c>
    </row>
    <row r="1141" spans="1:11" x14ac:dyDescent="0.25">
      <c r="A1141" t="s">
        <v>1187</v>
      </c>
      <c r="B1141" t="s">
        <v>56</v>
      </c>
      <c r="C1141" t="s">
        <v>31</v>
      </c>
      <c r="D1141" t="s">
        <v>32</v>
      </c>
      <c r="E1141" s="1">
        <v>45130</v>
      </c>
      <c r="F1141" s="1">
        <v>45133</v>
      </c>
      <c r="G1141" s="2">
        <v>49.8</v>
      </c>
      <c r="H1141" s="2">
        <v>191.95</v>
      </c>
      <c r="I1141" t="s">
        <v>15</v>
      </c>
      <c r="J1141" s="2">
        <v>910</v>
      </c>
      <c r="K1141" s="2">
        <v>3</v>
      </c>
    </row>
    <row r="1142" spans="1:11" x14ac:dyDescent="0.25">
      <c r="A1142" t="s">
        <v>1188</v>
      </c>
      <c r="B1142" t="s">
        <v>49</v>
      </c>
      <c r="C1142" t="s">
        <v>52</v>
      </c>
      <c r="D1142" t="s">
        <v>37</v>
      </c>
      <c r="E1142" s="1">
        <v>45106</v>
      </c>
      <c r="F1142" s="1">
        <v>45108</v>
      </c>
      <c r="G1142" s="2">
        <v>21.1</v>
      </c>
      <c r="H1142" s="2">
        <v>42.11</v>
      </c>
      <c r="I1142" t="s">
        <v>15</v>
      </c>
      <c r="J1142" s="2">
        <v>111</v>
      </c>
      <c r="K1142" s="2">
        <v>2</v>
      </c>
    </row>
    <row r="1143" spans="1:11" x14ac:dyDescent="0.25">
      <c r="A1143" t="s">
        <v>1189</v>
      </c>
      <c r="B1143" t="s">
        <v>20</v>
      </c>
      <c r="C1143" t="s">
        <v>13</v>
      </c>
      <c r="D1143" t="s">
        <v>14</v>
      </c>
      <c r="E1143" s="1">
        <v>45236</v>
      </c>
      <c r="F1143" s="1">
        <v>45248</v>
      </c>
      <c r="G1143" s="2">
        <v>49.6</v>
      </c>
      <c r="H1143" s="2">
        <v>245.62</v>
      </c>
      <c r="I1143" t="s">
        <v>47</v>
      </c>
      <c r="J1143" s="2">
        <v>1043</v>
      </c>
      <c r="K1143" s="2">
        <v>5</v>
      </c>
    </row>
    <row r="1144" spans="1:11" x14ac:dyDescent="0.25">
      <c r="A1144" t="s">
        <v>1190</v>
      </c>
      <c r="B1144" t="s">
        <v>49</v>
      </c>
      <c r="C1144" t="s">
        <v>13</v>
      </c>
      <c r="D1144" t="s">
        <v>32</v>
      </c>
      <c r="E1144" s="1">
        <v>44991</v>
      </c>
      <c r="F1144" s="1">
        <v>44994</v>
      </c>
      <c r="G1144" s="2">
        <v>51.1</v>
      </c>
      <c r="H1144" s="2">
        <v>221.01</v>
      </c>
      <c r="I1144" t="s">
        <v>15</v>
      </c>
      <c r="J1144" s="2">
        <v>1170</v>
      </c>
      <c r="K1144" s="2">
        <v>3</v>
      </c>
    </row>
    <row r="1145" spans="1:11" x14ac:dyDescent="0.25">
      <c r="A1145" t="s">
        <v>1191</v>
      </c>
      <c r="B1145" t="s">
        <v>39</v>
      </c>
      <c r="C1145" t="s">
        <v>52</v>
      </c>
      <c r="D1145" t="s">
        <v>37</v>
      </c>
      <c r="E1145" s="1">
        <v>45276</v>
      </c>
      <c r="F1145" s="1">
        <v>45278</v>
      </c>
      <c r="G1145" s="2">
        <v>1.9</v>
      </c>
      <c r="H1145" s="2">
        <v>119.85</v>
      </c>
      <c r="I1145" t="s">
        <v>15</v>
      </c>
      <c r="J1145" s="2">
        <v>796</v>
      </c>
      <c r="K1145" s="2">
        <v>2</v>
      </c>
    </row>
    <row r="1146" spans="1:11" x14ac:dyDescent="0.25">
      <c r="A1146" t="s">
        <v>1192</v>
      </c>
      <c r="B1146" t="s">
        <v>23</v>
      </c>
      <c r="C1146" t="s">
        <v>70</v>
      </c>
      <c r="D1146" t="s">
        <v>25</v>
      </c>
      <c r="E1146" s="1">
        <v>45107</v>
      </c>
      <c r="F1146" s="1">
        <v>45111</v>
      </c>
      <c r="G1146" s="2">
        <v>21.2</v>
      </c>
      <c r="H1146" s="2">
        <v>271.48</v>
      </c>
      <c r="I1146" t="s">
        <v>15</v>
      </c>
      <c r="J1146" s="2">
        <v>1849</v>
      </c>
      <c r="K1146" s="2">
        <v>4</v>
      </c>
    </row>
    <row r="1147" spans="1:11" x14ac:dyDescent="0.25">
      <c r="A1147" t="s">
        <v>1193</v>
      </c>
      <c r="B1147" t="s">
        <v>12</v>
      </c>
      <c r="C1147" t="s">
        <v>70</v>
      </c>
      <c r="D1147" t="s">
        <v>25</v>
      </c>
      <c r="E1147" s="1">
        <v>45291</v>
      </c>
      <c r="F1147" s="1">
        <v>45299</v>
      </c>
      <c r="G1147" s="2">
        <v>44.8</v>
      </c>
      <c r="H1147" s="2">
        <v>183.23</v>
      </c>
      <c r="I1147" t="s">
        <v>62</v>
      </c>
      <c r="J1147" s="2">
        <v>716</v>
      </c>
      <c r="K1147" s="2">
        <v>8</v>
      </c>
    </row>
    <row r="1148" spans="1:11" x14ac:dyDescent="0.25">
      <c r="A1148" t="s">
        <v>1194</v>
      </c>
      <c r="B1148" t="s">
        <v>56</v>
      </c>
      <c r="C1148" t="s">
        <v>70</v>
      </c>
      <c r="D1148" t="s">
        <v>42</v>
      </c>
      <c r="E1148" s="1">
        <v>44937</v>
      </c>
      <c r="F1148" s="1">
        <v>44938</v>
      </c>
      <c r="G1148" s="2">
        <v>6.6</v>
      </c>
      <c r="H1148" s="2">
        <v>39.880000000000003</v>
      </c>
      <c r="I1148" t="s">
        <v>15</v>
      </c>
      <c r="J1148" s="2">
        <v>265</v>
      </c>
      <c r="K1148" s="2">
        <v>1</v>
      </c>
    </row>
    <row r="1149" spans="1:11" x14ac:dyDescent="0.25">
      <c r="A1149" t="s">
        <v>1195</v>
      </c>
      <c r="B1149" t="s">
        <v>35</v>
      </c>
      <c r="C1149" t="s">
        <v>24</v>
      </c>
      <c r="D1149" t="s">
        <v>59</v>
      </c>
      <c r="E1149" s="1">
        <v>45280</v>
      </c>
      <c r="F1149" s="1">
        <v>45285</v>
      </c>
      <c r="G1149" s="2">
        <v>29.9</v>
      </c>
      <c r="H1149" s="2">
        <v>233.47</v>
      </c>
      <c r="I1149" t="s">
        <v>15</v>
      </c>
      <c r="J1149" s="2">
        <v>1576</v>
      </c>
      <c r="K1149" s="2">
        <v>5</v>
      </c>
    </row>
    <row r="1150" spans="1:11" x14ac:dyDescent="0.25">
      <c r="A1150" t="s">
        <v>1196</v>
      </c>
      <c r="B1150" t="s">
        <v>20</v>
      </c>
      <c r="C1150" t="s">
        <v>28</v>
      </c>
      <c r="D1150" t="s">
        <v>32</v>
      </c>
      <c r="E1150" s="1">
        <v>44947</v>
      </c>
      <c r="F1150" s="1">
        <v>44951</v>
      </c>
      <c r="G1150" s="2">
        <v>48.1</v>
      </c>
      <c r="H1150" s="2">
        <v>261.72000000000003</v>
      </c>
      <c r="I1150" t="s">
        <v>15</v>
      </c>
      <c r="J1150" s="2">
        <v>1435</v>
      </c>
      <c r="K1150" s="2">
        <v>4</v>
      </c>
    </row>
    <row r="1151" spans="1:11" x14ac:dyDescent="0.25">
      <c r="A1151" t="s">
        <v>1197</v>
      </c>
      <c r="B1151" t="s">
        <v>49</v>
      </c>
      <c r="C1151" t="s">
        <v>44</v>
      </c>
      <c r="D1151" t="s">
        <v>59</v>
      </c>
      <c r="E1151" s="1">
        <v>45246</v>
      </c>
      <c r="F1151" s="1">
        <v>45249</v>
      </c>
      <c r="G1151" s="2">
        <v>19</v>
      </c>
      <c r="H1151" s="2">
        <v>782.71</v>
      </c>
      <c r="I1151" t="s">
        <v>15</v>
      </c>
      <c r="J1151" s="2">
        <v>870</v>
      </c>
      <c r="K1151" s="2">
        <v>3</v>
      </c>
    </row>
    <row r="1152" spans="1:11" x14ac:dyDescent="0.25">
      <c r="A1152" t="s">
        <v>1198</v>
      </c>
      <c r="B1152" t="s">
        <v>56</v>
      </c>
      <c r="C1152" t="s">
        <v>21</v>
      </c>
      <c r="D1152" t="s">
        <v>14</v>
      </c>
      <c r="E1152" s="1">
        <v>45163</v>
      </c>
      <c r="F1152" s="1">
        <v>45170</v>
      </c>
      <c r="G1152" s="2">
        <v>25.3</v>
      </c>
      <c r="H1152" s="2">
        <v>334.33</v>
      </c>
      <c r="I1152" t="s">
        <v>15</v>
      </c>
      <c r="J1152" s="2">
        <v>2305</v>
      </c>
      <c r="K1152" s="2">
        <v>7</v>
      </c>
    </row>
    <row r="1153" spans="1:11" x14ac:dyDescent="0.25">
      <c r="A1153" t="s">
        <v>1199</v>
      </c>
      <c r="B1153" t="s">
        <v>51</v>
      </c>
      <c r="C1153" t="s">
        <v>46</v>
      </c>
      <c r="D1153" t="s">
        <v>25</v>
      </c>
      <c r="E1153" s="1">
        <v>45253</v>
      </c>
      <c r="F1153" s="1">
        <v>45254</v>
      </c>
      <c r="G1153" s="2">
        <v>10.7</v>
      </c>
      <c r="H1153" s="2">
        <v>42.56</v>
      </c>
      <c r="I1153" t="s">
        <v>15</v>
      </c>
      <c r="J1153" s="2">
        <v>215</v>
      </c>
      <c r="K1153" s="2">
        <v>1</v>
      </c>
    </row>
    <row r="1154" spans="1:11" x14ac:dyDescent="0.25">
      <c r="A1154" t="s">
        <v>1200</v>
      </c>
      <c r="B1154" t="s">
        <v>56</v>
      </c>
      <c r="C1154" t="s">
        <v>81</v>
      </c>
      <c r="D1154" t="s">
        <v>18</v>
      </c>
      <c r="E1154" s="1">
        <v>45180</v>
      </c>
      <c r="F1154" s="1">
        <v>45186</v>
      </c>
      <c r="G1154" s="2">
        <v>9.1999999999999993</v>
      </c>
      <c r="H1154" s="2">
        <v>225.24</v>
      </c>
      <c r="I1154" t="s">
        <v>62</v>
      </c>
      <c r="J1154" s="2">
        <v>1505</v>
      </c>
      <c r="K1154" s="2">
        <v>6</v>
      </c>
    </row>
    <row r="1155" spans="1:11" x14ac:dyDescent="0.25">
      <c r="A1155" t="s">
        <v>1201</v>
      </c>
      <c r="B1155" t="s">
        <v>12</v>
      </c>
      <c r="C1155" t="s">
        <v>13</v>
      </c>
      <c r="D1155" t="s">
        <v>42</v>
      </c>
      <c r="E1155" s="1">
        <v>45162</v>
      </c>
      <c r="F1155" s="1">
        <v>45169</v>
      </c>
      <c r="G1155" s="2">
        <v>0.3</v>
      </c>
      <c r="H1155" s="2">
        <v>273.62</v>
      </c>
      <c r="I1155" t="s">
        <v>15</v>
      </c>
      <c r="J1155" s="2">
        <v>2149</v>
      </c>
      <c r="K1155" s="2">
        <v>7</v>
      </c>
    </row>
    <row r="1156" spans="1:11" x14ac:dyDescent="0.25">
      <c r="A1156" t="s">
        <v>1202</v>
      </c>
      <c r="B1156" t="s">
        <v>49</v>
      </c>
      <c r="C1156" t="s">
        <v>44</v>
      </c>
      <c r="D1156" t="s">
        <v>37</v>
      </c>
      <c r="E1156" s="1">
        <v>45210</v>
      </c>
      <c r="F1156" s="1">
        <v>45216</v>
      </c>
      <c r="G1156" s="2">
        <v>18.5</v>
      </c>
      <c r="H1156" s="2">
        <v>225.53</v>
      </c>
      <c r="I1156" t="s">
        <v>15</v>
      </c>
      <c r="J1156" s="2">
        <v>1585</v>
      </c>
      <c r="K1156" s="2">
        <v>6</v>
      </c>
    </row>
    <row r="1157" spans="1:11" x14ac:dyDescent="0.25">
      <c r="A1157" t="s">
        <v>1203</v>
      </c>
      <c r="B1157" t="s">
        <v>20</v>
      </c>
      <c r="C1157" t="s">
        <v>44</v>
      </c>
      <c r="D1157" t="s">
        <v>18</v>
      </c>
      <c r="E1157" s="1">
        <v>45188</v>
      </c>
      <c r="F1157" s="1">
        <v>45191</v>
      </c>
      <c r="G1157" s="2">
        <v>10.199999999999999</v>
      </c>
      <c r="H1157" s="2">
        <v>31.86</v>
      </c>
      <c r="I1157" t="s">
        <v>15</v>
      </c>
      <c r="J1157" s="2">
        <v>112</v>
      </c>
      <c r="K1157" s="2">
        <v>3</v>
      </c>
    </row>
    <row r="1158" spans="1:11" x14ac:dyDescent="0.25">
      <c r="A1158" t="s">
        <v>1204</v>
      </c>
      <c r="B1158" t="s">
        <v>27</v>
      </c>
      <c r="C1158" t="s">
        <v>57</v>
      </c>
      <c r="D1158" t="s">
        <v>42</v>
      </c>
      <c r="E1158" s="1">
        <v>45159</v>
      </c>
      <c r="F1158" s="1">
        <v>45166</v>
      </c>
      <c r="G1158" s="2">
        <v>72.2</v>
      </c>
      <c r="H1158" s="2">
        <v>354.2</v>
      </c>
      <c r="I1158" t="s">
        <v>15</v>
      </c>
      <c r="J1158" s="2">
        <v>2135</v>
      </c>
      <c r="K1158" s="2">
        <v>7</v>
      </c>
    </row>
    <row r="1159" spans="1:11" x14ac:dyDescent="0.25">
      <c r="A1159" t="s">
        <v>1205</v>
      </c>
      <c r="B1159" t="s">
        <v>56</v>
      </c>
      <c r="C1159" t="s">
        <v>46</v>
      </c>
      <c r="D1159" t="s">
        <v>32</v>
      </c>
      <c r="E1159" s="1">
        <v>45173</v>
      </c>
      <c r="F1159" s="1">
        <v>45179</v>
      </c>
      <c r="G1159" s="2">
        <v>25</v>
      </c>
      <c r="H1159" s="2">
        <v>316.11</v>
      </c>
      <c r="I1159" t="s">
        <v>15</v>
      </c>
      <c r="J1159" s="2">
        <v>2154</v>
      </c>
      <c r="K1159" s="2">
        <v>6</v>
      </c>
    </row>
    <row r="1160" spans="1:11" x14ac:dyDescent="0.25">
      <c r="A1160" t="s">
        <v>1206</v>
      </c>
      <c r="B1160" t="s">
        <v>12</v>
      </c>
      <c r="C1160" t="s">
        <v>46</v>
      </c>
      <c r="D1160" t="s">
        <v>25</v>
      </c>
      <c r="E1160" s="1">
        <v>45183</v>
      </c>
      <c r="F1160" s="1">
        <v>45188</v>
      </c>
      <c r="G1160" s="2">
        <v>9.6</v>
      </c>
      <c r="H1160" s="2">
        <v>202.87</v>
      </c>
      <c r="I1160" t="s">
        <v>62</v>
      </c>
      <c r="J1160" s="2">
        <v>1608</v>
      </c>
      <c r="K1160" s="2">
        <v>5</v>
      </c>
    </row>
    <row r="1161" spans="1:11" x14ac:dyDescent="0.25">
      <c r="A1161" t="s">
        <v>1207</v>
      </c>
      <c r="B1161" t="s">
        <v>23</v>
      </c>
      <c r="C1161" t="s">
        <v>17</v>
      </c>
      <c r="D1161" t="s">
        <v>18</v>
      </c>
      <c r="E1161" s="1">
        <v>45158</v>
      </c>
      <c r="F1161" s="1">
        <v>45161</v>
      </c>
      <c r="G1161" s="2">
        <v>6.9</v>
      </c>
      <c r="H1161" s="2">
        <v>149.93</v>
      </c>
      <c r="I1161" t="s">
        <v>15</v>
      </c>
      <c r="J1161" s="2">
        <v>1077</v>
      </c>
      <c r="K1161" s="2">
        <v>3</v>
      </c>
    </row>
    <row r="1162" spans="1:11" x14ac:dyDescent="0.25">
      <c r="A1162" t="s">
        <v>1208</v>
      </c>
      <c r="B1162" t="s">
        <v>49</v>
      </c>
      <c r="C1162" t="s">
        <v>81</v>
      </c>
      <c r="D1162" t="s">
        <v>59</v>
      </c>
      <c r="E1162" s="1">
        <v>45259</v>
      </c>
      <c r="F1162" s="1">
        <v>45261</v>
      </c>
      <c r="G1162" s="2">
        <v>15.1</v>
      </c>
      <c r="H1162" s="2">
        <v>99.27</v>
      </c>
      <c r="I1162" t="s">
        <v>15</v>
      </c>
      <c r="J1162" s="2">
        <v>565</v>
      </c>
      <c r="K1162" s="2">
        <v>2</v>
      </c>
    </row>
    <row r="1163" spans="1:11" x14ac:dyDescent="0.25">
      <c r="A1163" t="s">
        <v>1209</v>
      </c>
      <c r="B1163" t="s">
        <v>35</v>
      </c>
      <c r="C1163" t="s">
        <v>81</v>
      </c>
      <c r="D1163" t="s">
        <v>42</v>
      </c>
      <c r="E1163" s="1">
        <v>45055</v>
      </c>
      <c r="F1163" s="1">
        <v>45058</v>
      </c>
      <c r="G1163" s="2">
        <v>67.400000000000006</v>
      </c>
      <c r="H1163" s="2">
        <v>220.93</v>
      </c>
      <c r="I1163" t="s">
        <v>15</v>
      </c>
      <c r="J1163" s="2">
        <v>1000</v>
      </c>
      <c r="K1163" s="2">
        <v>3</v>
      </c>
    </row>
    <row r="1164" spans="1:11" x14ac:dyDescent="0.25">
      <c r="A1164" t="s">
        <v>1210</v>
      </c>
      <c r="B1164" t="s">
        <v>12</v>
      </c>
      <c r="C1164" t="s">
        <v>44</v>
      </c>
      <c r="D1164" t="s">
        <v>18</v>
      </c>
      <c r="E1164" s="1">
        <v>45213</v>
      </c>
      <c r="F1164" s="1">
        <v>45214</v>
      </c>
      <c r="G1164" s="2">
        <v>18.3</v>
      </c>
      <c r="H1164" s="2">
        <v>87.07</v>
      </c>
      <c r="I1164" t="s">
        <v>15</v>
      </c>
      <c r="J1164" s="2">
        <v>453</v>
      </c>
      <c r="K1164" s="2">
        <v>1</v>
      </c>
    </row>
    <row r="1165" spans="1:11" x14ac:dyDescent="0.25">
      <c r="A1165" t="s">
        <v>1211</v>
      </c>
      <c r="B1165" t="s">
        <v>56</v>
      </c>
      <c r="C1165" t="s">
        <v>57</v>
      </c>
      <c r="D1165" t="s">
        <v>37</v>
      </c>
      <c r="E1165" s="1">
        <v>44963</v>
      </c>
      <c r="F1165" s="1">
        <v>44966</v>
      </c>
      <c r="G1165" s="2">
        <v>94.1</v>
      </c>
      <c r="H1165" s="2">
        <v>117.26</v>
      </c>
      <c r="I1165" t="s">
        <v>15</v>
      </c>
      <c r="J1165" s="2">
        <v>132</v>
      </c>
      <c r="K1165" s="2">
        <v>3</v>
      </c>
    </row>
    <row r="1166" spans="1:11" x14ac:dyDescent="0.25">
      <c r="A1166" t="s">
        <v>1212</v>
      </c>
      <c r="B1166" t="s">
        <v>20</v>
      </c>
      <c r="C1166" t="s">
        <v>28</v>
      </c>
      <c r="D1166" t="s">
        <v>18</v>
      </c>
      <c r="E1166" s="1">
        <v>44944</v>
      </c>
      <c r="F1166" s="1">
        <v>44947</v>
      </c>
      <c r="G1166" s="2">
        <v>8.1999999999999993</v>
      </c>
      <c r="H1166" s="2">
        <v>207.39</v>
      </c>
      <c r="I1166" t="s">
        <v>15</v>
      </c>
      <c r="J1166" s="2">
        <v>1435</v>
      </c>
      <c r="K1166" s="2">
        <v>3</v>
      </c>
    </row>
    <row r="1167" spans="1:11" x14ac:dyDescent="0.25">
      <c r="A1167" t="s">
        <v>1213</v>
      </c>
      <c r="B1167" t="s">
        <v>39</v>
      </c>
      <c r="C1167" t="s">
        <v>31</v>
      </c>
      <c r="D1167" t="s">
        <v>14</v>
      </c>
      <c r="E1167" s="1">
        <v>45032</v>
      </c>
      <c r="F1167" s="1">
        <v>45037</v>
      </c>
      <c r="G1167" s="2">
        <v>7</v>
      </c>
      <c r="H1167" s="2">
        <v>291.75</v>
      </c>
      <c r="I1167" t="s">
        <v>15</v>
      </c>
      <c r="J1167" s="2">
        <v>2078</v>
      </c>
      <c r="K1167" s="2">
        <v>5</v>
      </c>
    </row>
    <row r="1168" spans="1:11" x14ac:dyDescent="0.25">
      <c r="A1168" t="s">
        <v>1214</v>
      </c>
      <c r="B1168" t="s">
        <v>20</v>
      </c>
      <c r="C1168" t="s">
        <v>21</v>
      </c>
      <c r="D1168" t="s">
        <v>59</v>
      </c>
      <c r="E1168" s="1">
        <v>44951</v>
      </c>
      <c r="F1168" s="1">
        <v>44955</v>
      </c>
      <c r="G1168" s="2">
        <v>53.6</v>
      </c>
      <c r="H1168" s="2">
        <v>196.98</v>
      </c>
      <c r="I1168" t="s">
        <v>15</v>
      </c>
      <c r="J1168" s="2">
        <v>1047</v>
      </c>
      <c r="K1168" s="2">
        <v>4</v>
      </c>
    </row>
    <row r="1169" spans="1:11" x14ac:dyDescent="0.25">
      <c r="A1169" t="s">
        <v>1215</v>
      </c>
      <c r="B1169" t="s">
        <v>27</v>
      </c>
      <c r="C1169" t="s">
        <v>46</v>
      </c>
      <c r="D1169" t="s">
        <v>18</v>
      </c>
      <c r="E1169" s="1">
        <v>45152</v>
      </c>
      <c r="F1169" s="1">
        <v>45157</v>
      </c>
      <c r="G1169" s="2">
        <v>5.7</v>
      </c>
      <c r="H1169" s="2">
        <v>241.01</v>
      </c>
      <c r="I1169" t="s">
        <v>15</v>
      </c>
      <c r="J1169" s="2">
        <v>1582</v>
      </c>
      <c r="K1169" s="2">
        <v>5</v>
      </c>
    </row>
    <row r="1170" spans="1:11" x14ac:dyDescent="0.25">
      <c r="A1170" t="s">
        <v>1216</v>
      </c>
      <c r="B1170" t="s">
        <v>20</v>
      </c>
      <c r="C1170" t="s">
        <v>52</v>
      </c>
      <c r="D1170" t="s">
        <v>14</v>
      </c>
      <c r="E1170" s="1">
        <v>45144</v>
      </c>
      <c r="F1170" s="1">
        <v>45149</v>
      </c>
      <c r="G1170" s="2">
        <v>27.1</v>
      </c>
      <c r="H1170" s="2">
        <v>75.569999999999993</v>
      </c>
      <c r="I1170" t="s">
        <v>15</v>
      </c>
      <c r="J1170" s="2">
        <v>373</v>
      </c>
      <c r="K1170" s="2">
        <v>5</v>
      </c>
    </row>
    <row r="1171" spans="1:11" x14ac:dyDescent="0.25">
      <c r="A1171" t="s">
        <v>1217</v>
      </c>
      <c r="B1171" t="s">
        <v>30</v>
      </c>
      <c r="C1171" t="s">
        <v>46</v>
      </c>
      <c r="D1171" t="s">
        <v>37</v>
      </c>
      <c r="E1171" s="1">
        <v>45203</v>
      </c>
      <c r="F1171" s="1">
        <v>45216</v>
      </c>
      <c r="G1171" s="2">
        <v>15.9</v>
      </c>
      <c r="H1171" s="2">
        <v>216.07</v>
      </c>
      <c r="I1171" t="s">
        <v>47</v>
      </c>
      <c r="J1171" s="2">
        <v>1814</v>
      </c>
      <c r="K1171" s="2">
        <v>6</v>
      </c>
    </row>
    <row r="1172" spans="1:11" x14ac:dyDescent="0.25">
      <c r="A1172" t="s">
        <v>1218</v>
      </c>
      <c r="B1172" t="s">
        <v>39</v>
      </c>
      <c r="C1172" t="s">
        <v>54</v>
      </c>
      <c r="D1172" t="s">
        <v>37</v>
      </c>
      <c r="E1172" s="1">
        <v>45115</v>
      </c>
      <c r="F1172" s="1">
        <v>45119</v>
      </c>
      <c r="G1172" s="2">
        <v>6.5</v>
      </c>
      <c r="H1172" s="2">
        <v>156</v>
      </c>
      <c r="I1172" t="s">
        <v>15</v>
      </c>
      <c r="J1172" s="2">
        <v>1302</v>
      </c>
      <c r="K1172" s="2">
        <v>4</v>
      </c>
    </row>
    <row r="1173" spans="1:11" x14ac:dyDescent="0.25">
      <c r="A1173" t="s">
        <v>1219</v>
      </c>
      <c r="B1173" t="s">
        <v>39</v>
      </c>
      <c r="C1173" t="s">
        <v>17</v>
      </c>
      <c r="D1173" t="s">
        <v>14</v>
      </c>
      <c r="E1173" s="1">
        <v>45286</v>
      </c>
      <c r="F1173" s="1">
        <v>45289</v>
      </c>
      <c r="G1173" s="2">
        <v>4.7</v>
      </c>
      <c r="H1173" s="2">
        <v>116.83</v>
      </c>
      <c r="I1173" t="s">
        <v>15</v>
      </c>
      <c r="J1173" s="2">
        <v>800</v>
      </c>
      <c r="K1173" s="2">
        <v>3</v>
      </c>
    </row>
    <row r="1174" spans="1:11" x14ac:dyDescent="0.25">
      <c r="A1174" t="s">
        <v>1220</v>
      </c>
      <c r="B1174" t="s">
        <v>20</v>
      </c>
      <c r="C1174" t="s">
        <v>24</v>
      </c>
      <c r="D1174" t="s">
        <v>25</v>
      </c>
      <c r="E1174" s="1">
        <v>45218</v>
      </c>
      <c r="F1174" s="1">
        <v>45232</v>
      </c>
      <c r="G1174" s="2">
        <v>17.3</v>
      </c>
      <c r="H1174" s="2">
        <v>156.69999999999999</v>
      </c>
      <c r="I1174" t="s">
        <v>47</v>
      </c>
      <c r="J1174" s="2">
        <v>1135</v>
      </c>
      <c r="K1174" s="2">
        <v>5</v>
      </c>
    </row>
    <row r="1175" spans="1:11" x14ac:dyDescent="0.25">
      <c r="A1175" t="s">
        <v>1221</v>
      </c>
      <c r="B1175" t="s">
        <v>27</v>
      </c>
      <c r="C1175" t="s">
        <v>57</v>
      </c>
      <c r="D1175" t="s">
        <v>42</v>
      </c>
      <c r="E1175" s="1">
        <v>45149</v>
      </c>
      <c r="F1175" s="1">
        <v>45152</v>
      </c>
      <c r="G1175" s="2">
        <v>60.8</v>
      </c>
      <c r="H1175" s="2">
        <v>217.77</v>
      </c>
      <c r="I1175" t="s">
        <v>15</v>
      </c>
      <c r="J1175" s="2">
        <v>1157</v>
      </c>
      <c r="K1175" s="2">
        <v>3</v>
      </c>
    </row>
    <row r="1176" spans="1:11" x14ac:dyDescent="0.25">
      <c r="A1176" t="s">
        <v>1222</v>
      </c>
      <c r="B1176" t="s">
        <v>56</v>
      </c>
      <c r="C1176" t="s">
        <v>36</v>
      </c>
      <c r="D1176" t="s">
        <v>32</v>
      </c>
      <c r="E1176" s="1">
        <v>45117</v>
      </c>
      <c r="F1176" s="1">
        <v>45122</v>
      </c>
      <c r="G1176" s="2">
        <v>17.100000000000001</v>
      </c>
      <c r="H1176" s="2">
        <v>278.83</v>
      </c>
      <c r="I1176" t="s">
        <v>15</v>
      </c>
      <c r="J1176" s="2">
        <v>1989</v>
      </c>
      <c r="K1176" s="2">
        <v>5</v>
      </c>
    </row>
    <row r="1177" spans="1:11" x14ac:dyDescent="0.25">
      <c r="A1177" t="s">
        <v>1223</v>
      </c>
      <c r="B1177" t="s">
        <v>49</v>
      </c>
      <c r="C1177" t="s">
        <v>36</v>
      </c>
      <c r="D1177" t="s">
        <v>59</v>
      </c>
      <c r="E1177" s="1">
        <v>44979</v>
      </c>
      <c r="F1177" s="1">
        <v>44980</v>
      </c>
      <c r="G1177" s="2">
        <v>21.6</v>
      </c>
      <c r="H1177" s="2">
        <v>64.62</v>
      </c>
      <c r="I1177" t="s">
        <v>15</v>
      </c>
      <c r="J1177" s="2">
        <v>374</v>
      </c>
      <c r="K1177" s="2">
        <v>1</v>
      </c>
    </row>
    <row r="1178" spans="1:11" x14ac:dyDescent="0.25">
      <c r="A1178" t="s">
        <v>1224</v>
      </c>
      <c r="B1178" t="s">
        <v>30</v>
      </c>
      <c r="C1178" t="s">
        <v>36</v>
      </c>
      <c r="D1178" t="s">
        <v>32</v>
      </c>
      <c r="E1178" s="1">
        <v>45086</v>
      </c>
      <c r="F1178" s="1">
        <v>45087</v>
      </c>
      <c r="G1178" s="2">
        <v>13.1</v>
      </c>
      <c r="H1178" s="2">
        <v>32.11</v>
      </c>
      <c r="I1178" t="s">
        <v>62</v>
      </c>
      <c r="J1178" s="2">
        <v>131</v>
      </c>
      <c r="K1178" s="2">
        <v>1</v>
      </c>
    </row>
    <row r="1179" spans="1:11" x14ac:dyDescent="0.25">
      <c r="A1179" t="s">
        <v>1225</v>
      </c>
      <c r="B1179" t="s">
        <v>56</v>
      </c>
      <c r="C1179" t="s">
        <v>57</v>
      </c>
      <c r="D1179" t="s">
        <v>42</v>
      </c>
      <c r="E1179" s="1">
        <v>45149</v>
      </c>
      <c r="F1179" s="1">
        <v>45151</v>
      </c>
      <c r="G1179" s="2">
        <v>31.4</v>
      </c>
      <c r="H1179" s="2">
        <v>92.42</v>
      </c>
      <c r="I1179" t="s">
        <v>15</v>
      </c>
      <c r="J1179" s="2">
        <v>422</v>
      </c>
      <c r="K1179" s="2">
        <v>2</v>
      </c>
    </row>
    <row r="1180" spans="1:11" x14ac:dyDescent="0.25">
      <c r="A1180" t="s">
        <v>1226</v>
      </c>
      <c r="B1180" t="s">
        <v>30</v>
      </c>
      <c r="C1180" t="s">
        <v>17</v>
      </c>
      <c r="D1180" t="s">
        <v>32</v>
      </c>
      <c r="E1180" s="1">
        <v>45112</v>
      </c>
      <c r="F1180" s="1">
        <v>45117</v>
      </c>
      <c r="G1180" s="2">
        <v>38</v>
      </c>
      <c r="H1180" s="2">
        <v>329.04</v>
      </c>
      <c r="I1180" t="s">
        <v>15</v>
      </c>
      <c r="J1180" s="2">
        <v>1940</v>
      </c>
      <c r="K1180" s="2">
        <v>5</v>
      </c>
    </row>
    <row r="1181" spans="1:11" x14ac:dyDescent="0.25">
      <c r="A1181" t="s">
        <v>1227</v>
      </c>
      <c r="B1181" t="s">
        <v>51</v>
      </c>
      <c r="C1181" t="s">
        <v>44</v>
      </c>
      <c r="D1181" t="s">
        <v>18</v>
      </c>
      <c r="E1181" s="1">
        <v>45286</v>
      </c>
      <c r="F1181" s="1">
        <v>45303</v>
      </c>
      <c r="G1181" s="2">
        <v>13.4</v>
      </c>
      <c r="H1181" s="2">
        <v>137.91</v>
      </c>
      <c r="I1181" t="s">
        <v>47</v>
      </c>
      <c r="J1181" s="2">
        <v>790</v>
      </c>
      <c r="K1181" s="2">
        <v>4</v>
      </c>
    </row>
    <row r="1182" spans="1:11" x14ac:dyDescent="0.25">
      <c r="A1182" t="s">
        <v>1228</v>
      </c>
      <c r="B1182" t="s">
        <v>51</v>
      </c>
      <c r="C1182" t="s">
        <v>24</v>
      </c>
      <c r="D1182" t="s">
        <v>18</v>
      </c>
      <c r="E1182" s="1">
        <v>45023</v>
      </c>
      <c r="F1182" s="1">
        <v>45026</v>
      </c>
      <c r="G1182" s="2">
        <v>13</v>
      </c>
      <c r="H1182" s="2">
        <v>123.25</v>
      </c>
      <c r="I1182" t="s">
        <v>15</v>
      </c>
      <c r="J1182" s="2">
        <v>860</v>
      </c>
      <c r="K1182" s="2">
        <v>3</v>
      </c>
    </row>
    <row r="1183" spans="1:11" x14ac:dyDescent="0.25">
      <c r="A1183" t="s">
        <v>1229</v>
      </c>
      <c r="B1183" t="s">
        <v>27</v>
      </c>
      <c r="C1183" t="s">
        <v>54</v>
      </c>
      <c r="D1183" t="s">
        <v>25</v>
      </c>
      <c r="E1183" s="1">
        <v>45125</v>
      </c>
      <c r="F1183" s="1">
        <v>45128</v>
      </c>
      <c r="G1183" s="2">
        <v>7.2</v>
      </c>
      <c r="H1183" s="2">
        <v>139.61000000000001</v>
      </c>
      <c r="I1183" t="s">
        <v>15</v>
      </c>
      <c r="J1183" s="2">
        <v>1122</v>
      </c>
      <c r="K1183" s="2">
        <v>3</v>
      </c>
    </row>
    <row r="1184" spans="1:11" x14ac:dyDescent="0.25">
      <c r="A1184" t="s">
        <v>1230</v>
      </c>
      <c r="B1184" t="s">
        <v>27</v>
      </c>
      <c r="C1184" t="s">
        <v>57</v>
      </c>
      <c r="D1184" t="s">
        <v>32</v>
      </c>
      <c r="E1184" s="1">
        <v>45031</v>
      </c>
      <c r="F1184" s="1">
        <v>45035</v>
      </c>
      <c r="G1184" s="2">
        <v>8.4</v>
      </c>
      <c r="H1184" s="2">
        <v>214.35</v>
      </c>
      <c r="I1184" t="s">
        <v>62</v>
      </c>
      <c r="J1184" s="2">
        <v>1640</v>
      </c>
      <c r="K1184" s="2">
        <v>4</v>
      </c>
    </row>
    <row r="1185" spans="1:11" x14ac:dyDescent="0.25">
      <c r="A1185" t="s">
        <v>1231</v>
      </c>
      <c r="B1185" t="s">
        <v>51</v>
      </c>
      <c r="C1185" t="s">
        <v>13</v>
      </c>
      <c r="D1185" t="s">
        <v>18</v>
      </c>
      <c r="E1185" s="1">
        <v>45240</v>
      </c>
      <c r="F1185" s="1">
        <v>45248</v>
      </c>
      <c r="G1185" s="2">
        <v>9.5</v>
      </c>
      <c r="H1185" s="2">
        <v>353.39</v>
      </c>
      <c r="I1185" t="s">
        <v>15</v>
      </c>
      <c r="J1185" s="2">
        <v>2274</v>
      </c>
      <c r="K1185" s="2">
        <v>8</v>
      </c>
    </row>
    <row r="1186" spans="1:11" x14ac:dyDescent="0.25">
      <c r="A1186" t="s">
        <v>1232</v>
      </c>
      <c r="B1186" t="s">
        <v>51</v>
      </c>
      <c r="C1186" t="s">
        <v>81</v>
      </c>
      <c r="D1186" t="s">
        <v>59</v>
      </c>
      <c r="E1186" s="1">
        <v>44954</v>
      </c>
      <c r="F1186" s="1">
        <v>44955</v>
      </c>
      <c r="G1186" s="2">
        <v>21.7</v>
      </c>
      <c r="H1186" s="2">
        <v>78.83</v>
      </c>
      <c r="I1186" t="s">
        <v>15</v>
      </c>
      <c r="J1186" s="2">
        <v>461</v>
      </c>
      <c r="K1186" s="2">
        <v>1</v>
      </c>
    </row>
    <row r="1187" spans="1:11" x14ac:dyDescent="0.25">
      <c r="A1187" t="s">
        <v>1233</v>
      </c>
      <c r="B1187" t="s">
        <v>35</v>
      </c>
      <c r="C1187" t="s">
        <v>46</v>
      </c>
      <c r="D1187" t="s">
        <v>14</v>
      </c>
      <c r="E1187" s="1">
        <v>45104</v>
      </c>
      <c r="F1187" s="1">
        <v>45109</v>
      </c>
      <c r="G1187" s="2">
        <v>10.199999999999999</v>
      </c>
      <c r="I1187" t="s">
        <v>15</v>
      </c>
      <c r="J1187" s="2">
        <v>1924</v>
      </c>
      <c r="K1187" s="2">
        <v>5</v>
      </c>
    </row>
    <row r="1188" spans="1:11" x14ac:dyDescent="0.25">
      <c r="A1188" t="s">
        <v>1234</v>
      </c>
      <c r="B1188" t="s">
        <v>20</v>
      </c>
      <c r="C1188" t="s">
        <v>21</v>
      </c>
      <c r="D1188" t="s">
        <v>32</v>
      </c>
      <c r="E1188" s="1">
        <v>44969</v>
      </c>
      <c r="F1188" s="1">
        <v>44939</v>
      </c>
      <c r="G1188" s="2">
        <v>22.1</v>
      </c>
      <c r="H1188" s="2">
        <v>301.23</v>
      </c>
      <c r="I1188" t="s">
        <v>47</v>
      </c>
      <c r="J1188" s="2">
        <v>1879</v>
      </c>
      <c r="K1188" s="2">
        <v>5</v>
      </c>
    </row>
    <row r="1189" spans="1:11" x14ac:dyDescent="0.25">
      <c r="A1189" t="s">
        <v>1235</v>
      </c>
      <c r="B1189" t="s">
        <v>12</v>
      </c>
      <c r="C1189" t="s">
        <v>40</v>
      </c>
      <c r="D1189" t="s">
        <v>18</v>
      </c>
      <c r="E1189" s="1">
        <v>44934</v>
      </c>
      <c r="F1189" s="1">
        <v>44937</v>
      </c>
      <c r="G1189" s="2">
        <v>13.5</v>
      </c>
      <c r="H1189" s="2">
        <v>116.78</v>
      </c>
      <c r="I1189" t="s">
        <v>62</v>
      </c>
      <c r="J1189" s="2">
        <v>702</v>
      </c>
      <c r="K1189" s="2">
        <v>3</v>
      </c>
    </row>
    <row r="1190" spans="1:11" x14ac:dyDescent="0.25">
      <c r="A1190" t="s">
        <v>1236</v>
      </c>
      <c r="B1190" t="s">
        <v>39</v>
      </c>
      <c r="C1190" t="s">
        <v>81</v>
      </c>
      <c r="D1190" t="s">
        <v>42</v>
      </c>
      <c r="E1190" s="1">
        <v>44983</v>
      </c>
      <c r="F1190" s="1">
        <v>44953</v>
      </c>
      <c r="G1190" s="2">
        <v>45</v>
      </c>
      <c r="H1190" s="2">
        <v>182.33</v>
      </c>
      <c r="I1190" t="s">
        <v>67</v>
      </c>
      <c r="J1190" s="2">
        <v>1030</v>
      </c>
      <c r="K1190" s="2">
        <v>3</v>
      </c>
    </row>
    <row r="1191" spans="1:11" x14ac:dyDescent="0.25">
      <c r="A1191" t="s">
        <v>1237</v>
      </c>
      <c r="B1191" t="s">
        <v>27</v>
      </c>
      <c r="C1191" t="s">
        <v>13</v>
      </c>
      <c r="D1191" t="s">
        <v>32</v>
      </c>
      <c r="E1191" s="1">
        <v>45251</v>
      </c>
      <c r="F1191" s="1">
        <v>45254</v>
      </c>
      <c r="G1191" s="2">
        <v>43.7</v>
      </c>
      <c r="H1191" s="2">
        <v>135.18</v>
      </c>
      <c r="I1191" t="s">
        <v>15</v>
      </c>
      <c r="J1191" s="2">
        <v>462</v>
      </c>
      <c r="K1191" s="2">
        <v>3</v>
      </c>
    </row>
    <row r="1192" spans="1:11" x14ac:dyDescent="0.25">
      <c r="A1192" t="s">
        <v>1238</v>
      </c>
      <c r="B1192" t="s">
        <v>35</v>
      </c>
      <c r="C1192" t="s">
        <v>57</v>
      </c>
      <c r="D1192" t="s">
        <v>32</v>
      </c>
      <c r="E1192" s="1">
        <v>45007</v>
      </c>
      <c r="F1192" s="1">
        <v>45009</v>
      </c>
      <c r="G1192" s="2">
        <v>152.69999999999999</v>
      </c>
      <c r="H1192" s="2">
        <v>290.77</v>
      </c>
      <c r="I1192" t="s">
        <v>15</v>
      </c>
      <c r="J1192" s="2">
        <v>841</v>
      </c>
      <c r="K1192" s="2">
        <v>2</v>
      </c>
    </row>
    <row r="1193" spans="1:11" x14ac:dyDescent="0.25">
      <c r="A1193" t="s">
        <v>1239</v>
      </c>
      <c r="B1193" t="s">
        <v>27</v>
      </c>
      <c r="C1193" t="s">
        <v>13</v>
      </c>
      <c r="D1193" t="s">
        <v>25</v>
      </c>
      <c r="E1193" s="1">
        <v>45057</v>
      </c>
      <c r="F1193" s="1">
        <v>45062</v>
      </c>
      <c r="G1193" s="2">
        <v>39.299999999999997</v>
      </c>
      <c r="H1193" s="2">
        <v>186.59</v>
      </c>
      <c r="I1193" t="s">
        <v>15</v>
      </c>
      <c r="J1193" s="2">
        <v>1317</v>
      </c>
      <c r="K1193" s="2">
        <v>5</v>
      </c>
    </row>
    <row r="1194" spans="1:11" x14ac:dyDescent="0.25">
      <c r="A1194" t="s">
        <v>1240</v>
      </c>
      <c r="B1194" t="s">
        <v>20</v>
      </c>
      <c r="C1194" t="s">
        <v>13</v>
      </c>
      <c r="D1194" t="s">
        <v>25</v>
      </c>
      <c r="E1194" s="1">
        <v>45264</v>
      </c>
      <c r="F1194" s="1">
        <v>45269</v>
      </c>
      <c r="G1194" s="2">
        <v>19</v>
      </c>
      <c r="H1194" s="2">
        <v>416.08</v>
      </c>
      <c r="I1194" t="s">
        <v>15</v>
      </c>
      <c r="J1194" s="2">
        <v>2473</v>
      </c>
      <c r="K1194" s="2">
        <v>5</v>
      </c>
    </row>
    <row r="1195" spans="1:11" x14ac:dyDescent="0.25">
      <c r="A1195" t="s">
        <v>1241</v>
      </c>
      <c r="B1195" t="s">
        <v>51</v>
      </c>
      <c r="C1195" t="s">
        <v>44</v>
      </c>
      <c r="D1195" t="s">
        <v>32</v>
      </c>
      <c r="E1195" s="1">
        <v>45125</v>
      </c>
      <c r="F1195" s="1">
        <v>45128</v>
      </c>
      <c r="G1195" s="2">
        <v>9.6999999999999993</v>
      </c>
      <c r="I1195" t="s">
        <v>15</v>
      </c>
      <c r="J1195" s="2">
        <v>790</v>
      </c>
      <c r="K1195" s="2">
        <v>3</v>
      </c>
    </row>
    <row r="1196" spans="1:11" x14ac:dyDescent="0.25">
      <c r="A1196" t="s">
        <v>1242</v>
      </c>
      <c r="B1196" t="s">
        <v>56</v>
      </c>
      <c r="C1196" t="s">
        <v>52</v>
      </c>
      <c r="D1196" t="s">
        <v>37</v>
      </c>
      <c r="E1196" s="1">
        <v>44978</v>
      </c>
      <c r="F1196" s="1">
        <v>44983</v>
      </c>
      <c r="G1196" s="2">
        <v>8.3000000000000007</v>
      </c>
      <c r="H1196" s="2">
        <v>181.52</v>
      </c>
      <c r="I1196" t="s">
        <v>15</v>
      </c>
      <c r="J1196" s="2">
        <v>1457</v>
      </c>
      <c r="K1196" s="2">
        <v>5</v>
      </c>
    </row>
    <row r="1197" spans="1:11" x14ac:dyDescent="0.25">
      <c r="A1197" t="s">
        <v>1243</v>
      </c>
      <c r="B1197" t="s">
        <v>12</v>
      </c>
      <c r="C1197" t="s">
        <v>52</v>
      </c>
      <c r="D1197" t="s">
        <v>42</v>
      </c>
      <c r="E1197" s="1">
        <v>45094</v>
      </c>
      <c r="F1197" s="1">
        <v>45098</v>
      </c>
      <c r="G1197" s="2">
        <v>9.9</v>
      </c>
      <c r="H1197" s="2">
        <v>202.54</v>
      </c>
      <c r="I1197" t="s">
        <v>15</v>
      </c>
      <c r="J1197" s="2">
        <v>1493</v>
      </c>
      <c r="K1197" s="2">
        <v>4</v>
      </c>
    </row>
    <row r="1198" spans="1:11" x14ac:dyDescent="0.25">
      <c r="A1198" t="s">
        <v>1244</v>
      </c>
      <c r="B1198" t="s">
        <v>49</v>
      </c>
      <c r="C1198" t="s">
        <v>13</v>
      </c>
      <c r="D1198" t="s">
        <v>14</v>
      </c>
      <c r="E1198" s="1">
        <v>45251</v>
      </c>
      <c r="F1198" s="1">
        <v>45257</v>
      </c>
      <c r="G1198" s="2">
        <v>27.3</v>
      </c>
      <c r="H1198" s="2">
        <v>317.02</v>
      </c>
      <c r="I1198" t="s">
        <v>67</v>
      </c>
      <c r="J1198" s="2">
        <v>1876</v>
      </c>
      <c r="K1198" s="2">
        <v>6</v>
      </c>
    </row>
    <row r="1199" spans="1:11" x14ac:dyDescent="0.25">
      <c r="A1199" t="s">
        <v>1245</v>
      </c>
      <c r="B1199" t="s">
        <v>12</v>
      </c>
      <c r="C1199" t="s">
        <v>40</v>
      </c>
      <c r="D1199" t="s">
        <v>59</v>
      </c>
      <c r="E1199" s="1">
        <v>45131</v>
      </c>
      <c r="F1199" s="1">
        <v>45133</v>
      </c>
      <c r="G1199" s="2">
        <v>27.9</v>
      </c>
      <c r="H1199" s="2">
        <v>146.44</v>
      </c>
      <c r="I1199" t="s">
        <v>15</v>
      </c>
      <c r="J1199" s="2">
        <v>1067</v>
      </c>
      <c r="K1199" s="2">
        <v>2</v>
      </c>
    </row>
    <row r="1200" spans="1:11" x14ac:dyDescent="0.25">
      <c r="A1200" t="s">
        <v>1246</v>
      </c>
      <c r="B1200" t="s">
        <v>56</v>
      </c>
      <c r="C1200" t="s">
        <v>44</v>
      </c>
      <c r="D1200" t="s">
        <v>59</v>
      </c>
      <c r="E1200" s="1">
        <v>44950</v>
      </c>
      <c r="F1200" s="1">
        <v>44958</v>
      </c>
      <c r="G1200" s="2">
        <v>58.9</v>
      </c>
      <c r="H1200" s="2">
        <v>257.07</v>
      </c>
      <c r="I1200" t="s">
        <v>15</v>
      </c>
      <c r="J1200" s="2">
        <v>1762</v>
      </c>
      <c r="K1200" s="2">
        <v>8</v>
      </c>
    </row>
    <row r="1201" spans="1:11" x14ac:dyDescent="0.25">
      <c r="A1201" t="s">
        <v>1247</v>
      </c>
      <c r="B1201" t="s">
        <v>27</v>
      </c>
      <c r="C1201" t="s">
        <v>44</v>
      </c>
      <c r="D1201" t="s">
        <v>18</v>
      </c>
      <c r="E1201" s="1">
        <v>45096</v>
      </c>
      <c r="F1201" s="1">
        <v>45101</v>
      </c>
      <c r="G1201" s="2">
        <v>83.7</v>
      </c>
      <c r="H1201" s="2">
        <v>296.97000000000003</v>
      </c>
      <c r="I1201" t="s">
        <v>15</v>
      </c>
      <c r="J1201" s="2">
        <v>1417</v>
      </c>
      <c r="K1201" s="2">
        <v>5</v>
      </c>
    </row>
    <row r="1202" spans="1:11" x14ac:dyDescent="0.25">
      <c r="A1202" t="s">
        <v>1248</v>
      </c>
      <c r="B1202" t="s">
        <v>39</v>
      </c>
      <c r="C1202" t="s">
        <v>70</v>
      </c>
      <c r="D1202" t="s">
        <v>42</v>
      </c>
      <c r="E1202" s="1">
        <v>45059</v>
      </c>
      <c r="F1202" s="1">
        <v>45065</v>
      </c>
      <c r="G1202" s="2">
        <v>19.8</v>
      </c>
      <c r="H1202" s="2">
        <v>271.24</v>
      </c>
      <c r="I1202" t="s">
        <v>15</v>
      </c>
      <c r="J1202" s="2">
        <v>1945</v>
      </c>
      <c r="K1202" s="2">
        <v>6</v>
      </c>
    </row>
    <row r="1203" spans="1:11" x14ac:dyDescent="0.25">
      <c r="A1203" t="s">
        <v>1249</v>
      </c>
      <c r="B1203" t="s">
        <v>12</v>
      </c>
      <c r="C1203" t="s">
        <v>81</v>
      </c>
      <c r="D1203" t="s">
        <v>14</v>
      </c>
      <c r="E1203" s="1">
        <v>45212</v>
      </c>
      <c r="F1203" s="1">
        <v>45215</v>
      </c>
      <c r="G1203" s="2">
        <v>17.5</v>
      </c>
      <c r="H1203" s="2">
        <v>90.05</v>
      </c>
      <c r="I1203" t="s">
        <v>15</v>
      </c>
      <c r="J1203" s="2">
        <v>591</v>
      </c>
      <c r="K1203" s="2">
        <v>3</v>
      </c>
    </row>
    <row r="1204" spans="1:11" x14ac:dyDescent="0.25">
      <c r="A1204" t="s">
        <v>1250</v>
      </c>
      <c r="B1204" t="s">
        <v>56</v>
      </c>
      <c r="C1204" t="s">
        <v>17</v>
      </c>
      <c r="D1204" t="s">
        <v>32</v>
      </c>
      <c r="E1204" s="1">
        <v>45290</v>
      </c>
      <c r="F1204" s="1">
        <v>45293</v>
      </c>
      <c r="G1204" s="2">
        <v>19</v>
      </c>
      <c r="H1204" s="2">
        <v>153.22999999999999</v>
      </c>
      <c r="I1204" t="s">
        <v>15</v>
      </c>
      <c r="J1204" s="2">
        <v>850</v>
      </c>
      <c r="K1204" s="2">
        <v>3</v>
      </c>
    </row>
    <row r="1205" spans="1:11" x14ac:dyDescent="0.25">
      <c r="A1205" t="s">
        <v>1251</v>
      </c>
      <c r="B1205" t="s">
        <v>23</v>
      </c>
      <c r="C1205" t="s">
        <v>70</v>
      </c>
      <c r="D1205" t="s">
        <v>25</v>
      </c>
      <c r="E1205" s="1">
        <v>45269</v>
      </c>
      <c r="F1205" s="1">
        <v>45272</v>
      </c>
      <c r="G1205" s="2">
        <v>10.9</v>
      </c>
      <c r="H1205" s="2">
        <v>201.11</v>
      </c>
      <c r="I1205" t="s">
        <v>15</v>
      </c>
      <c r="J1205" s="2">
        <v>1413</v>
      </c>
      <c r="K1205" s="2">
        <v>3</v>
      </c>
    </row>
    <row r="1206" spans="1:11" x14ac:dyDescent="0.25">
      <c r="A1206" t="s">
        <v>1252</v>
      </c>
      <c r="B1206" t="s">
        <v>20</v>
      </c>
      <c r="C1206" t="s">
        <v>24</v>
      </c>
      <c r="D1206" t="s">
        <v>25</v>
      </c>
      <c r="E1206" s="1">
        <v>44966</v>
      </c>
      <c r="F1206" s="1">
        <v>44977</v>
      </c>
      <c r="G1206" s="2">
        <v>28.6</v>
      </c>
      <c r="H1206" s="2">
        <v>180.9</v>
      </c>
      <c r="I1206" t="s">
        <v>47</v>
      </c>
      <c r="J1206" s="2">
        <v>1135</v>
      </c>
      <c r="K1206" s="2">
        <v>3</v>
      </c>
    </row>
    <row r="1207" spans="1:11" x14ac:dyDescent="0.25">
      <c r="A1207" t="s">
        <v>1253</v>
      </c>
      <c r="B1207" t="s">
        <v>49</v>
      </c>
      <c r="C1207" t="s">
        <v>21</v>
      </c>
      <c r="D1207" t="s">
        <v>18</v>
      </c>
      <c r="E1207" s="1">
        <v>45104</v>
      </c>
      <c r="F1207" s="1">
        <v>45119</v>
      </c>
      <c r="G1207" s="2">
        <v>17</v>
      </c>
      <c r="H1207" s="2">
        <v>217.08</v>
      </c>
      <c r="I1207" t="s">
        <v>47</v>
      </c>
      <c r="J1207" s="2">
        <v>1396</v>
      </c>
      <c r="K1207" s="2">
        <v>7</v>
      </c>
    </row>
    <row r="1208" spans="1:11" x14ac:dyDescent="0.25">
      <c r="A1208" t="s">
        <v>1254</v>
      </c>
      <c r="B1208" t="s">
        <v>49</v>
      </c>
      <c r="C1208" t="s">
        <v>46</v>
      </c>
      <c r="D1208" t="s">
        <v>32</v>
      </c>
      <c r="E1208" s="1">
        <v>45162</v>
      </c>
      <c r="F1208" s="1">
        <v>45167</v>
      </c>
      <c r="G1208" s="2">
        <v>34.1</v>
      </c>
      <c r="H1208" s="2">
        <v>328.13</v>
      </c>
      <c r="I1208" t="s">
        <v>15</v>
      </c>
      <c r="J1208" s="2">
        <v>2324</v>
      </c>
      <c r="K1208" s="2">
        <v>5</v>
      </c>
    </row>
    <row r="1209" spans="1:11" x14ac:dyDescent="0.25">
      <c r="A1209" t="s">
        <v>1255</v>
      </c>
      <c r="B1209" t="s">
        <v>23</v>
      </c>
      <c r="C1209" t="s">
        <v>36</v>
      </c>
      <c r="D1209" t="s">
        <v>18</v>
      </c>
      <c r="E1209" s="1">
        <v>45011</v>
      </c>
      <c r="F1209" s="1">
        <v>45016</v>
      </c>
      <c r="G1209" s="2">
        <v>10.5</v>
      </c>
      <c r="H1209" s="2">
        <v>366.13</v>
      </c>
      <c r="I1209" t="s">
        <v>15</v>
      </c>
      <c r="J1209" s="2">
        <v>2421</v>
      </c>
      <c r="K1209" s="2">
        <v>5</v>
      </c>
    </row>
    <row r="1210" spans="1:11" x14ac:dyDescent="0.25">
      <c r="A1210" t="s">
        <v>1256</v>
      </c>
      <c r="B1210" t="s">
        <v>56</v>
      </c>
      <c r="C1210" t="s">
        <v>81</v>
      </c>
      <c r="D1210" t="s">
        <v>14</v>
      </c>
      <c r="E1210" s="1">
        <v>44975</v>
      </c>
      <c r="F1210" s="1">
        <v>44980</v>
      </c>
      <c r="G1210" s="2">
        <v>6.5</v>
      </c>
      <c r="H1210" s="2">
        <v>158.31</v>
      </c>
      <c r="I1210" t="s">
        <v>15</v>
      </c>
      <c r="J1210" s="2">
        <v>1109</v>
      </c>
      <c r="K1210" s="2">
        <v>5</v>
      </c>
    </row>
    <row r="1211" spans="1:11" x14ac:dyDescent="0.25">
      <c r="A1211" t="s">
        <v>1257</v>
      </c>
      <c r="B1211" t="s">
        <v>49</v>
      </c>
      <c r="C1211" t="s">
        <v>57</v>
      </c>
      <c r="D1211" t="s">
        <v>25</v>
      </c>
      <c r="E1211" s="1">
        <v>45137</v>
      </c>
      <c r="F1211" s="1">
        <v>45143</v>
      </c>
      <c r="G1211" s="2">
        <v>27.1</v>
      </c>
      <c r="H1211" s="2">
        <v>259.17</v>
      </c>
      <c r="I1211" t="s">
        <v>15</v>
      </c>
      <c r="J1211" s="2">
        <v>2087</v>
      </c>
      <c r="K1211" s="2">
        <v>6</v>
      </c>
    </row>
    <row r="1212" spans="1:11" x14ac:dyDescent="0.25">
      <c r="A1212" t="s">
        <v>1258</v>
      </c>
      <c r="B1212" t="s">
        <v>35</v>
      </c>
      <c r="C1212" t="s">
        <v>28</v>
      </c>
      <c r="D1212" t="s">
        <v>32</v>
      </c>
      <c r="E1212" s="1">
        <v>44944</v>
      </c>
      <c r="F1212" s="1">
        <v>44950</v>
      </c>
      <c r="G1212" s="2">
        <v>30</v>
      </c>
      <c r="H1212" s="2">
        <v>343.66</v>
      </c>
      <c r="I1212" t="s">
        <v>15</v>
      </c>
      <c r="J1212" s="2">
        <v>2379</v>
      </c>
      <c r="K1212" s="2">
        <v>6</v>
      </c>
    </row>
    <row r="1213" spans="1:11" x14ac:dyDescent="0.25">
      <c r="A1213" t="s">
        <v>1259</v>
      </c>
      <c r="B1213" t="s">
        <v>20</v>
      </c>
      <c r="C1213" t="s">
        <v>13</v>
      </c>
      <c r="D1213" t="s">
        <v>32</v>
      </c>
      <c r="E1213" s="1">
        <v>45093</v>
      </c>
      <c r="F1213" s="1">
        <v>45105</v>
      </c>
      <c r="G1213" s="2">
        <v>250.9</v>
      </c>
      <c r="H1213" s="2">
        <v>395</v>
      </c>
      <c r="I1213" t="s">
        <v>47</v>
      </c>
      <c r="J1213" s="2">
        <v>239</v>
      </c>
      <c r="K1213" s="2">
        <v>1</v>
      </c>
    </row>
    <row r="1214" spans="1:11" x14ac:dyDescent="0.25">
      <c r="A1214" t="s">
        <v>1260</v>
      </c>
      <c r="B1214" t="s">
        <v>51</v>
      </c>
      <c r="C1214" t="s">
        <v>17</v>
      </c>
      <c r="D1214" t="s">
        <v>25</v>
      </c>
      <c r="E1214" s="1">
        <v>45103</v>
      </c>
      <c r="F1214" s="1">
        <v>45106</v>
      </c>
      <c r="G1214" s="2">
        <v>23.5</v>
      </c>
      <c r="H1214" s="2">
        <v>119.58</v>
      </c>
      <c r="I1214" t="s">
        <v>15</v>
      </c>
      <c r="J1214" s="2">
        <v>870</v>
      </c>
      <c r="K1214" s="2">
        <v>3</v>
      </c>
    </row>
    <row r="1215" spans="1:11" x14ac:dyDescent="0.25">
      <c r="A1215" t="s">
        <v>1261</v>
      </c>
      <c r="B1215" t="s">
        <v>35</v>
      </c>
      <c r="C1215" t="s">
        <v>57</v>
      </c>
      <c r="D1215" t="s">
        <v>18</v>
      </c>
      <c r="E1215" s="1">
        <v>44975</v>
      </c>
      <c r="G1215" s="2">
        <v>18.5</v>
      </c>
      <c r="H1215" s="2">
        <v>171.77</v>
      </c>
      <c r="I1215" t="s">
        <v>47</v>
      </c>
      <c r="J1215" s="2">
        <v>1073</v>
      </c>
      <c r="K1215" s="2">
        <v>3</v>
      </c>
    </row>
    <row r="1216" spans="1:11" x14ac:dyDescent="0.25">
      <c r="A1216" t="s">
        <v>1262</v>
      </c>
      <c r="B1216" t="s">
        <v>35</v>
      </c>
      <c r="C1216" t="s">
        <v>54</v>
      </c>
      <c r="D1216" t="s">
        <v>32</v>
      </c>
      <c r="E1216" s="1">
        <v>45011</v>
      </c>
      <c r="F1216" s="1">
        <v>45016</v>
      </c>
      <c r="G1216" s="2">
        <v>81.7</v>
      </c>
      <c r="H1216" s="2">
        <v>289.48</v>
      </c>
      <c r="I1216" t="s">
        <v>15</v>
      </c>
      <c r="J1216" s="2">
        <v>1350</v>
      </c>
      <c r="K1216" s="2">
        <v>5</v>
      </c>
    </row>
    <row r="1217" spans="1:11" x14ac:dyDescent="0.25">
      <c r="A1217" t="s">
        <v>1263</v>
      </c>
      <c r="B1217" t="s">
        <v>56</v>
      </c>
      <c r="C1217" t="s">
        <v>28</v>
      </c>
      <c r="D1217" t="s">
        <v>42</v>
      </c>
      <c r="E1217" s="1">
        <v>44958</v>
      </c>
      <c r="F1217" s="1">
        <v>44960</v>
      </c>
      <c r="G1217" s="2">
        <v>17.5</v>
      </c>
      <c r="H1217" s="2">
        <v>66.25</v>
      </c>
      <c r="I1217" t="s">
        <v>15</v>
      </c>
      <c r="J1217" s="2">
        <v>438</v>
      </c>
      <c r="K1217" s="2">
        <v>2</v>
      </c>
    </row>
    <row r="1218" spans="1:11" x14ac:dyDescent="0.25">
      <c r="A1218" t="s">
        <v>1264</v>
      </c>
      <c r="B1218" t="s">
        <v>12</v>
      </c>
      <c r="C1218" t="s">
        <v>28</v>
      </c>
      <c r="D1218" t="s">
        <v>37</v>
      </c>
      <c r="E1218" s="1">
        <v>45232</v>
      </c>
      <c r="F1218" s="1">
        <v>45241</v>
      </c>
      <c r="G1218" s="2">
        <v>26.1</v>
      </c>
      <c r="H1218" s="2">
        <v>286.32</v>
      </c>
      <c r="I1218" t="s">
        <v>47</v>
      </c>
      <c r="J1218" s="2">
        <v>1611</v>
      </c>
      <c r="K1218" s="2">
        <v>4</v>
      </c>
    </row>
    <row r="1219" spans="1:11" x14ac:dyDescent="0.25">
      <c r="A1219" t="s">
        <v>1265</v>
      </c>
      <c r="B1219" t="s">
        <v>49</v>
      </c>
      <c r="C1219" t="s">
        <v>24</v>
      </c>
      <c r="D1219" t="s">
        <v>42</v>
      </c>
      <c r="E1219" s="1">
        <v>45088</v>
      </c>
      <c r="F1219" s="1">
        <v>45093</v>
      </c>
      <c r="G1219" s="2">
        <v>80.8</v>
      </c>
      <c r="H1219" s="2">
        <v>209.48</v>
      </c>
      <c r="I1219" t="s">
        <v>15</v>
      </c>
      <c r="J1219" s="2">
        <v>805</v>
      </c>
      <c r="K1219" s="2">
        <v>5</v>
      </c>
    </row>
    <row r="1220" spans="1:11" x14ac:dyDescent="0.25">
      <c r="A1220" t="s">
        <v>1266</v>
      </c>
      <c r="B1220" t="s">
        <v>23</v>
      </c>
      <c r="C1220" t="s">
        <v>52</v>
      </c>
      <c r="D1220" t="s">
        <v>32</v>
      </c>
      <c r="E1220" s="1">
        <v>44982</v>
      </c>
      <c r="F1220" s="1">
        <v>44984</v>
      </c>
      <c r="G1220" s="2">
        <v>36.799999999999997</v>
      </c>
      <c r="H1220" s="2">
        <v>78.75</v>
      </c>
      <c r="I1220" t="s">
        <v>15</v>
      </c>
      <c r="J1220" s="2">
        <v>196</v>
      </c>
      <c r="K1220" s="2">
        <v>2</v>
      </c>
    </row>
    <row r="1221" spans="1:11" x14ac:dyDescent="0.25">
      <c r="A1221" t="s">
        <v>1267</v>
      </c>
      <c r="B1221" t="s">
        <v>39</v>
      </c>
      <c r="C1221" t="s">
        <v>57</v>
      </c>
      <c r="D1221" t="s">
        <v>18</v>
      </c>
      <c r="E1221" s="1">
        <v>45045</v>
      </c>
      <c r="F1221" s="1">
        <v>45049</v>
      </c>
      <c r="G1221" s="2">
        <v>48.2</v>
      </c>
      <c r="H1221" s="2">
        <v>262.05</v>
      </c>
      <c r="I1221" t="s">
        <v>15</v>
      </c>
      <c r="J1221" s="2">
        <v>1272</v>
      </c>
      <c r="K1221" s="2">
        <v>4</v>
      </c>
    </row>
    <row r="1222" spans="1:11" x14ac:dyDescent="0.25">
      <c r="A1222" t="s">
        <v>1268</v>
      </c>
      <c r="B1222" t="s">
        <v>30</v>
      </c>
      <c r="C1222" t="s">
        <v>52</v>
      </c>
      <c r="D1222" t="s">
        <v>14</v>
      </c>
      <c r="E1222" s="1">
        <v>45143</v>
      </c>
      <c r="F1222" s="1">
        <v>45150</v>
      </c>
      <c r="G1222" s="2">
        <v>42</v>
      </c>
      <c r="H1222" s="2">
        <v>359.87</v>
      </c>
      <c r="I1222" t="s">
        <v>15</v>
      </c>
      <c r="J1222" s="2">
        <v>2255</v>
      </c>
      <c r="K1222" s="2">
        <v>7</v>
      </c>
    </row>
    <row r="1223" spans="1:11" x14ac:dyDescent="0.25">
      <c r="A1223" t="s">
        <v>1269</v>
      </c>
      <c r="B1223" t="s">
        <v>12</v>
      </c>
      <c r="C1223" t="s">
        <v>70</v>
      </c>
      <c r="D1223" t="s">
        <v>42</v>
      </c>
      <c r="E1223" s="1">
        <v>45235</v>
      </c>
      <c r="F1223" s="1">
        <v>45237</v>
      </c>
      <c r="G1223" s="2">
        <v>29.5</v>
      </c>
      <c r="H1223" s="2">
        <v>109.58</v>
      </c>
      <c r="I1223" t="s">
        <v>62</v>
      </c>
      <c r="J1223" s="2">
        <v>409</v>
      </c>
      <c r="K1223" s="2">
        <v>2</v>
      </c>
    </row>
    <row r="1224" spans="1:11" x14ac:dyDescent="0.25">
      <c r="A1224" t="s">
        <v>1270</v>
      </c>
      <c r="B1224" t="s">
        <v>56</v>
      </c>
      <c r="C1224" t="s">
        <v>17</v>
      </c>
      <c r="D1224" t="s">
        <v>14</v>
      </c>
      <c r="E1224" s="1">
        <v>45211</v>
      </c>
      <c r="G1224" s="2">
        <v>5.5</v>
      </c>
      <c r="H1224" s="2">
        <v>49.39</v>
      </c>
      <c r="I1224" t="s">
        <v>15</v>
      </c>
      <c r="J1224" s="2">
        <v>338</v>
      </c>
      <c r="K1224" s="2">
        <v>3</v>
      </c>
    </row>
    <row r="1225" spans="1:11" x14ac:dyDescent="0.25">
      <c r="A1225" t="s">
        <v>1271</v>
      </c>
      <c r="B1225" t="s">
        <v>49</v>
      </c>
      <c r="C1225" t="s">
        <v>13</v>
      </c>
      <c r="D1225" t="s">
        <v>32</v>
      </c>
      <c r="E1225" s="1">
        <v>45174</v>
      </c>
      <c r="F1225" s="1">
        <v>45180</v>
      </c>
      <c r="G1225" s="2">
        <v>24.9</v>
      </c>
      <c r="H1225" s="2">
        <v>351.21</v>
      </c>
      <c r="I1225" t="s">
        <v>15</v>
      </c>
      <c r="J1225" s="2">
        <v>2438</v>
      </c>
      <c r="K1225" s="2">
        <v>6</v>
      </c>
    </row>
    <row r="1226" spans="1:11" x14ac:dyDescent="0.25">
      <c r="A1226" t="s">
        <v>1272</v>
      </c>
      <c r="B1226" t="s">
        <v>12</v>
      </c>
      <c r="C1226" t="s">
        <v>28</v>
      </c>
      <c r="D1226" t="s">
        <v>14</v>
      </c>
      <c r="E1226" s="1">
        <v>45255</v>
      </c>
      <c r="F1226" s="1">
        <v>45259</v>
      </c>
      <c r="G1226" s="2">
        <v>17.899999999999999</v>
      </c>
      <c r="H1226" s="2">
        <v>336.25</v>
      </c>
      <c r="I1226" t="s">
        <v>15</v>
      </c>
      <c r="J1226" s="2">
        <v>2051</v>
      </c>
      <c r="K1226" s="2">
        <v>4</v>
      </c>
    </row>
    <row r="1227" spans="1:11" x14ac:dyDescent="0.25">
      <c r="A1227" t="s">
        <v>1273</v>
      </c>
      <c r="B1227" t="s">
        <v>39</v>
      </c>
      <c r="C1227" t="s">
        <v>44</v>
      </c>
      <c r="D1227" t="s">
        <v>59</v>
      </c>
      <c r="E1227" s="1">
        <v>45171</v>
      </c>
      <c r="F1227" s="1">
        <v>45177</v>
      </c>
      <c r="G1227" s="2">
        <v>15.1</v>
      </c>
      <c r="H1227" s="2">
        <v>253.23</v>
      </c>
      <c r="I1227" t="s">
        <v>15</v>
      </c>
      <c r="J1227" s="2">
        <v>2145</v>
      </c>
      <c r="K1227" s="2">
        <v>6</v>
      </c>
    </row>
    <row r="1228" spans="1:11" x14ac:dyDescent="0.25">
      <c r="A1228" t="s">
        <v>1274</v>
      </c>
      <c r="B1228" t="s">
        <v>30</v>
      </c>
      <c r="C1228" t="s">
        <v>54</v>
      </c>
      <c r="D1228" t="s">
        <v>18</v>
      </c>
      <c r="E1228" s="1">
        <v>45156</v>
      </c>
      <c r="F1228" s="1">
        <v>45171</v>
      </c>
      <c r="G1228" s="2">
        <v>36.299999999999997</v>
      </c>
      <c r="H1228" s="2">
        <v>266.23</v>
      </c>
      <c r="I1228" t="s">
        <v>47</v>
      </c>
      <c r="J1228" s="2">
        <v>1635</v>
      </c>
      <c r="K1228" s="2">
        <v>4</v>
      </c>
    </row>
    <row r="1229" spans="1:11" x14ac:dyDescent="0.25">
      <c r="A1229" t="s">
        <v>1275</v>
      </c>
      <c r="B1229" t="s">
        <v>12</v>
      </c>
      <c r="C1229" t="s">
        <v>31</v>
      </c>
      <c r="D1229" t="s">
        <v>14</v>
      </c>
      <c r="E1229" s="1">
        <v>45086</v>
      </c>
      <c r="F1229" s="1">
        <v>45093</v>
      </c>
      <c r="G1229" s="2">
        <v>17.399999999999999</v>
      </c>
      <c r="H1229" s="2">
        <v>250.19</v>
      </c>
      <c r="I1229" t="s">
        <v>15</v>
      </c>
      <c r="J1229" s="2">
        <v>1839</v>
      </c>
      <c r="K1229" s="2">
        <v>7</v>
      </c>
    </row>
    <row r="1230" spans="1:11" x14ac:dyDescent="0.25">
      <c r="A1230" t="s">
        <v>1276</v>
      </c>
      <c r="B1230" t="s">
        <v>56</v>
      </c>
      <c r="C1230" t="s">
        <v>70</v>
      </c>
      <c r="D1230" t="s">
        <v>37</v>
      </c>
      <c r="E1230" s="1">
        <v>45225</v>
      </c>
      <c r="F1230" s="1">
        <v>45229</v>
      </c>
      <c r="G1230" s="2">
        <v>18.399999999999999</v>
      </c>
      <c r="H1230" s="2">
        <v>115.48</v>
      </c>
      <c r="I1230" t="s">
        <v>15</v>
      </c>
      <c r="J1230" s="2">
        <v>723</v>
      </c>
      <c r="K1230" s="2">
        <v>4</v>
      </c>
    </row>
    <row r="1231" spans="1:11" x14ac:dyDescent="0.25">
      <c r="A1231" t="s">
        <v>1277</v>
      </c>
      <c r="B1231" t="s">
        <v>30</v>
      </c>
      <c r="C1231" t="s">
        <v>46</v>
      </c>
      <c r="D1231" t="s">
        <v>42</v>
      </c>
      <c r="E1231" s="1">
        <v>45151</v>
      </c>
      <c r="F1231" s="1">
        <v>45153</v>
      </c>
      <c r="G1231" s="2">
        <v>10.4</v>
      </c>
      <c r="H1231" s="2">
        <v>80.42</v>
      </c>
      <c r="I1231" t="s">
        <v>15</v>
      </c>
      <c r="J1231" s="2">
        <v>615</v>
      </c>
      <c r="K1231" s="2">
        <v>2</v>
      </c>
    </row>
    <row r="1232" spans="1:11" x14ac:dyDescent="0.25">
      <c r="A1232" t="s">
        <v>1278</v>
      </c>
      <c r="B1232" t="s">
        <v>39</v>
      </c>
      <c r="C1232" t="s">
        <v>44</v>
      </c>
      <c r="D1232" t="s">
        <v>37</v>
      </c>
      <c r="E1232" s="1">
        <v>45059</v>
      </c>
      <c r="F1232" s="1">
        <v>45062</v>
      </c>
      <c r="G1232" s="2">
        <v>17.8</v>
      </c>
      <c r="H1232" s="2">
        <v>122.76</v>
      </c>
      <c r="I1232" t="s">
        <v>15</v>
      </c>
      <c r="J1232" s="2">
        <v>809</v>
      </c>
      <c r="K1232" s="2">
        <v>3</v>
      </c>
    </row>
    <row r="1233" spans="1:11" x14ac:dyDescent="0.25">
      <c r="A1233" t="s">
        <v>1279</v>
      </c>
      <c r="B1233" t="s">
        <v>30</v>
      </c>
      <c r="C1233" t="s">
        <v>52</v>
      </c>
      <c r="D1233" t="s">
        <v>59</v>
      </c>
      <c r="E1233" s="1">
        <v>45265</v>
      </c>
      <c r="F1233" s="1">
        <v>45274</v>
      </c>
      <c r="G1233" s="2">
        <v>65.599999999999994</v>
      </c>
      <c r="H1233" s="2">
        <v>368.43</v>
      </c>
      <c r="I1233" t="s">
        <v>15</v>
      </c>
      <c r="J1233" s="2">
        <v>2255</v>
      </c>
      <c r="K1233" s="2">
        <v>9</v>
      </c>
    </row>
    <row r="1234" spans="1:11" x14ac:dyDescent="0.25">
      <c r="A1234" t="s">
        <v>1280</v>
      </c>
      <c r="B1234" t="s">
        <v>35</v>
      </c>
      <c r="C1234" t="s">
        <v>28</v>
      </c>
      <c r="D1234" t="s">
        <v>37</v>
      </c>
      <c r="E1234" s="1">
        <v>45047</v>
      </c>
      <c r="F1234" s="1">
        <v>45051</v>
      </c>
      <c r="G1234" s="2">
        <v>9.6999999999999993</v>
      </c>
      <c r="H1234" s="2">
        <v>120.4</v>
      </c>
      <c r="I1234" t="s">
        <v>15</v>
      </c>
      <c r="J1234" s="2">
        <v>997</v>
      </c>
      <c r="K1234" s="2">
        <v>4</v>
      </c>
    </row>
    <row r="1235" spans="1:11" x14ac:dyDescent="0.25">
      <c r="A1235" t="s">
        <v>1281</v>
      </c>
      <c r="B1235" t="s">
        <v>30</v>
      </c>
      <c r="C1235" t="s">
        <v>24</v>
      </c>
      <c r="D1235" t="s">
        <v>59</v>
      </c>
      <c r="E1235" s="1">
        <v>44937</v>
      </c>
      <c r="F1235" s="1">
        <v>44938</v>
      </c>
      <c r="G1235" s="2">
        <v>36.200000000000003</v>
      </c>
      <c r="I1235" t="s">
        <v>15</v>
      </c>
      <c r="J1235" s="2">
        <v>101</v>
      </c>
      <c r="K1235" s="2">
        <v>1</v>
      </c>
    </row>
    <row r="1236" spans="1:11" x14ac:dyDescent="0.25">
      <c r="A1236" t="s">
        <v>1282</v>
      </c>
      <c r="B1236" t="s">
        <v>20</v>
      </c>
      <c r="C1236" t="s">
        <v>28</v>
      </c>
      <c r="D1236" t="s">
        <v>18</v>
      </c>
      <c r="E1236" s="1">
        <v>45063</v>
      </c>
      <c r="F1236" s="1">
        <v>45069</v>
      </c>
      <c r="G1236" s="2">
        <v>6.2</v>
      </c>
      <c r="H1236" s="2">
        <v>210.74</v>
      </c>
      <c r="I1236" t="s">
        <v>47</v>
      </c>
      <c r="J1236" s="2">
        <v>1435</v>
      </c>
      <c r="K1236" s="2">
        <v>5</v>
      </c>
    </row>
    <row r="1237" spans="1:11" x14ac:dyDescent="0.25">
      <c r="A1237" t="s">
        <v>1283</v>
      </c>
      <c r="B1237" t="s">
        <v>27</v>
      </c>
      <c r="C1237" t="s">
        <v>57</v>
      </c>
      <c r="D1237" t="s">
        <v>42</v>
      </c>
      <c r="E1237" s="1">
        <v>45114</v>
      </c>
      <c r="F1237" s="1">
        <v>45121</v>
      </c>
      <c r="G1237" s="2">
        <v>42.8</v>
      </c>
      <c r="H1237" s="2">
        <v>322.49</v>
      </c>
      <c r="I1237" t="s">
        <v>15</v>
      </c>
      <c r="J1237" s="2">
        <v>2389</v>
      </c>
      <c r="K1237" s="2">
        <v>7</v>
      </c>
    </row>
    <row r="1238" spans="1:11" x14ac:dyDescent="0.25">
      <c r="A1238" t="s">
        <v>1284</v>
      </c>
      <c r="B1238" t="s">
        <v>49</v>
      </c>
      <c r="C1238" t="s">
        <v>28</v>
      </c>
      <c r="D1238" t="s">
        <v>25</v>
      </c>
      <c r="E1238" s="1">
        <v>45007</v>
      </c>
      <c r="F1238" s="1">
        <v>45013</v>
      </c>
      <c r="G1238" s="2">
        <v>10.6</v>
      </c>
      <c r="H1238" s="2">
        <v>256.26</v>
      </c>
      <c r="I1238" t="s">
        <v>67</v>
      </c>
      <c r="J1238" s="2">
        <v>2001</v>
      </c>
      <c r="K1238" s="2">
        <v>6</v>
      </c>
    </row>
    <row r="1239" spans="1:11" x14ac:dyDescent="0.25">
      <c r="A1239" t="s">
        <v>1285</v>
      </c>
      <c r="B1239" t="s">
        <v>12</v>
      </c>
      <c r="C1239" t="s">
        <v>40</v>
      </c>
      <c r="D1239" t="s">
        <v>59</v>
      </c>
      <c r="E1239" s="1">
        <v>44953</v>
      </c>
      <c r="F1239" s="1">
        <v>44957</v>
      </c>
      <c r="G1239" s="2">
        <v>10.6</v>
      </c>
      <c r="H1239" s="2">
        <v>107.5</v>
      </c>
      <c r="I1239" t="s">
        <v>15</v>
      </c>
      <c r="J1239" s="2">
        <v>788</v>
      </c>
      <c r="K1239" s="2">
        <v>4</v>
      </c>
    </row>
    <row r="1240" spans="1:11" x14ac:dyDescent="0.25">
      <c r="A1240" t="s">
        <v>1286</v>
      </c>
      <c r="B1240" t="s">
        <v>56</v>
      </c>
      <c r="C1240" t="s">
        <v>70</v>
      </c>
      <c r="D1240" t="s">
        <v>59</v>
      </c>
      <c r="E1240" s="1">
        <v>45045</v>
      </c>
      <c r="F1240" s="1">
        <v>45050</v>
      </c>
      <c r="G1240" s="2">
        <v>81.2</v>
      </c>
      <c r="H1240" s="2">
        <v>243.39</v>
      </c>
      <c r="I1240" t="s">
        <v>15</v>
      </c>
      <c r="J1240" s="2">
        <v>1220</v>
      </c>
      <c r="K1240" s="2">
        <v>5</v>
      </c>
    </row>
    <row r="1241" spans="1:11" x14ac:dyDescent="0.25">
      <c r="A1241" t="s">
        <v>1287</v>
      </c>
      <c r="B1241" t="s">
        <v>56</v>
      </c>
      <c r="C1241" t="s">
        <v>28</v>
      </c>
      <c r="D1241" t="s">
        <v>42</v>
      </c>
      <c r="E1241" s="1">
        <v>44950</v>
      </c>
      <c r="F1241" s="1">
        <v>44952</v>
      </c>
      <c r="G1241" s="2">
        <v>25.9</v>
      </c>
      <c r="H1241" s="2">
        <v>66.72</v>
      </c>
      <c r="I1241" t="s">
        <v>15</v>
      </c>
      <c r="J1241" s="2">
        <v>300</v>
      </c>
      <c r="K1241" s="2">
        <v>2</v>
      </c>
    </row>
    <row r="1242" spans="1:11" x14ac:dyDescent="0.25">
      <c r="A1242" t="s">
        <v>1288</v>
      </c>
      <c r="B1242" t="s">
        <v>30</v>
      </c>
      <c r="C1242" t="s">
        <v>81</v>
      </c>
      <c r="D1242" t="s">
        <v>18</v>
      </c>
      <c r="E1242" s="1">
        <v>44941</v>
      </c>
      <c r="F1242" s="1">
        <v>44947</v>
      </c>
      <c r="G1242" s="2">
        <v>10.3</v>
      </c>
      <c r="H1242" s="2">
        <v>310.05</v>
      </c>
      <c r="I1242" t="s">
        <v>15</v>
      </c>
      <c r="J1242" s="2">
        <v>2006</v>
      </c>
      <c r="K1242" s="2">
        <v>6</v>
      </c>
    </row>
    <row r="1243" spans="1:11" x14ac:dyDescent="0.25">
      <c r="A1243" t="s">
        <v>1289</v>
      </c>
      <c r="B1243" t="s">
        <v>30</v>
      </c>
      <c r="C1243" t="s">
        <v>81</v>
      </c>
      <c r="D1243" t="s">
        <v>42</v>
      </c>
      <c r="E1243" s="1">
        <v>45146</v>
      </c>
      <c r="F1243" s="1">
        <v>45148</v>
      </c>
      <c r="G1243" s="2">
        <v>22.8</v>
      </c>
      <c r="H1243" s="2">
        <v>46.91</v>
      </c>
      <c r="I1243" t="s">
        <v>15</v>
      </c>
      <c r="J1243" s="2">
        <v>203</v>
      </c>
      <c r="K1243" s="2">
        <v>2</v>
      </c>
    </row>
    <row r="1244" spans="1:11" x14ac:dyDescent="0.25">
      <c r="A1244" t="s">
        <v>1290</v>
      </c>
      <c r="B1244" t="s">
        <v>56</v>
      </c>
      <c r="C1244" t="s">
        <v>21</v>
      </c>
      <c r="D1244" t="s">
        <v>18</v>
      </c>
      <c r="E1244" s="1">
        <v>44946</v>
      </c>
      <c r="F1244" s="1">
        <v>44948</v>
      </c>
      <c r="G1244" s="2">
        <v>10.199999999999999</v>
      </c>
      <c r="H1244" s="2">
        <v>112.82</v>
      </c>
      <c r="I1244" t="s">
        <v>15</v>
      </c>
      <c r="J1244" s="2">
        <v>751</v>
      </c>
      <c r="K1244" s="2">
        <v>2</v>
      </c>
    </row>
    <row r="1245" spans="1:11" x14ac:dyDescent="0.25">
      <c r="A1245" t="s">
        <v>1291</v>
      </c>
      <c r="B1245" t="s">
        <v>39</v>
      </c>
      <c r="C1245" t="s">
        <v>24</v>
      </c>
      <c r="D1245" t="s">
        <v>18</v>
      </c>
      <c r="E1245" s="1">
        <v>45068</v>
      </c>
      <c r="F1245" s="1">
        <v>45073</v>
      </c>
      <c r="G1245" s="2">
        <v>37.4</v>
      </c>
      <c r="H1245" s="2">
        <v>350.17</v>
      </c>
      <c r="I1245" t="s">
        <v>62</v>
      </c>
      <c r="J1245" s="2">
        <v>2290</v>
      </c>
      <c r="K1245" s="2">
        <v>5</v>
      </c>
    </row>
    <row r="1246" spans="1:11" x14ac:dyDescent="0.25">
      <c r="A1246" t="s">
        <v>1292</v>
      </c>
      <c r="B1246" t="s">
        <v>27</v>
      </c>
      <c r="C1246" t="s">
        <v>57</v>
      </c>
      <c r="D1246" t="s">
        <v>18</v>
      </c>
      <c r="E1246" s="1">
        <v>45200</v>
      </c>
      <c r="F1246" s="1">
        <v>45202</v>
      </c>
      <c r="G1246" s="2">
        <v>13.8</v>
      </c>
      <c r="H1246" s="2">
        <v>60.56</v>
      </c>
      <c r="I1246" t="s">
        <v>15</v>
      </c>
      <c r="J1246" s="2">
        <v>261</v>
      </c>
      <c r="K1246" s="2">
        <v>2</v>
      </c>
    </row>
    <row r="1247" spans="1:11" x14ac:dyDescent="0.25">
      <c r="A1247" t="s">
        <v>1293</v>
      </c>
      <c r="B1247" t="s">
        <v>12</v>
      </c>
      <c r="C1247" t="s">
        <v>24</v>
      </c>
      <c r="D1247" t="s">
        <v>14</v>
      </c>
      <c r="E1247" s="1">
        <v>45180</v>
      </c>
      <c r="F1247" s="1">
        <v>45185</v>
      </c>
      <c r="G1247" s="2">
        <v>45.4</v>
      </c>
      <c r="H1247" s="2">
        <v>270.54000000000002</v>
      </c>
      <c r="I1247" t="s">
        <v>15</v>
      </c>
      <c r="J1247" s="2">
        <v>1794</v>
      </c>
      <c r="K1247" s="2">
        <v>5</v>
      </c>
    </row>
    <row r="1248" spans="1:11" x14ac:dyDescent="0.25">
      <c r="A1248" t="s">
        <v>1294</v>
      </c>
      <c r="B1248" t="s">
        <v>51</v>
      </c>
      <c r="C1248" t="s">
        <v>44</v>
      </c>
      <c r="D1248" t="s">
        <v>25</v>
      </c>
      <c r="E1248" s="1">
        <v>44973</v>
      </c>
      <c r="F1248" s="1">
        <v>44975</v>
      </c>
      <c r="G1248" s="2">
        <v>10.8</v>
      </c>
      <c r="H1248" s="2">
        <v>105.44</v>
      </c>
      <c r="I1248" t="s">
        <v>15</v>
      </c>
      <c r="J1248" s="2">
        <v>790</v>
      </c>
      <c r="K1248" s="2">
        <v>2</v>
      </c>
    </row>
    <row r="1249" spans="1:11" x14ac:dyDescent="0.25">
      <c r="A1249" t="s">
        <v>1295</v>
      </c>
      <c r="B1249" t="s">
        <v>35</v>
      </c>
      <c r="C1249" t="s">
        <v>21</v>
      </c>
      <c r="D1249" t="s">
        <v>18</v>
      </c>
      <c r="E1249" s="1">
        <v>45106</v>
      </c>
      <c r="F1249" s="1">
        <v>45111</v>
      </c>
      <c r="G1249" s="2">
        <v>47.3</v>
      </c>
      <c r="H1249" s="2">
        <v>347.27</v>
      </c>
      <c r="I1249" t="s">
        <v>15</v>
      </c>
      <c r="J1249" s="2">
        <v>2055</v>
      </c>
      <c r="K1249" s="2">
        <v>5</v>
      </c>
    </row>
    <row r="1250" spans="1:11" x14ac:dyDescent="0.25">
      <c r="A1250" t="s">
        <v>1296</v>
      </c>
      <c r="B1250" t="s">
        <v>49</v>
      </c>
      <c r="C1250" t="s">
        <v>81</v>
      </c>
      <c r="D1250" t="s">
        <v>18</v>
      </c>
      <c r="E1250" s="1">
        <v>45179</v>
      </c>
      <c r="F1250" s="1">
        <v>45186</v>
      </c>
      <c r="G1250" s="2">
        <v>58</v>
      </c>
      <c r="H1250" s="2">
        <v>389.41</v>
      </c>
      <c r="I1250" t="s">
        <v>47</v>
      </c>
      <c r="J1250" s="2">
        <v>2199</v>
      </c>
      <c r="K1250" s="2">
        <v>6</v>
      </c>
    </row>
    <row r="1251" spans="1:11" x14ac:dyDescent="0.25">
      <c r="A1251" t="s">
        <v>1297</v>
      </c>
      <c r="B1251" t="s">
        <v>27</v>
      </c>
      <c r="C1251" t="s">
        <v>57</v>
      </c>
      <c r="D1251" t="s">
        <v>32</v>
      </c>
      <c r="E1251" s="1">
        <v>44983</v>
      </c>
      <c r="F1251" s="1">
        <v>44986</v>
      </c>
      <c r="G1251" s="2">
        <v>21.4</v>
      </c>
      <c r="H1251" s="2">
        <v>136.38999999999999</v>
      </c>
      <c r="I1251" t="s">
        <v>62</v>
      </c>
      <c r="J1251" s="2">
        <v>799</v>
      </c>
      <c r="K1251" s="2">
        <v>3</v>
      </c>
    </row>
    <row r="1252" spans="1:11" x14ac:dyDescent="0.25">
      <c r="A1252" t="s">
        <v>1298</v>
      </c>
      <c r="B1252" t="s">
        <v>20</v>
      </c>
      <c r="C1252" t="s">
        <v>36</v>
      </c>
      <c r="D1252" t="s">
        <v>42</v>
      </c>
      <c r="E1252" s="1">
        <v>44953</v>
      </c>
      <c r="F1252" s="1">
        <v>44954</v>
      </c>
      <c r="G1252" s="2">
        <v>15.8</v>
      </c>
      <c r="H1252" s="2">
        <v>48.13</v>
      </c>
      <c r="I1252" t="s">
        <v>15</v>
      </c>
      <c r="J1252" s="2">
        <v>250</v>
      </c>
      <c r="K1252" s="2">
        <v>1</v>
      </c>
    </row>
    <row r="1253" spans="1:11" x14ac:dyDescent="0.25">
      <c r="A1253" t="s">
        <v>1299</v>
      </c>
      <c r="B1253" t="s">
        <v>23</v>
      </c>
      <c r="C1253" t="s">
        <v>21</v>
      </c>
      <c r="D1253" t="s">
        <v>18</v>
      </c>
      <c r="E1253" s="1">
        <v>45118</v>
      </c>
      <c r="F1253" s="1">
        <v>45123</v>
      </c>
      <c r="G1253" s="2">
        <v>10.8</v>
      </c>
      <c r="H1253" s="2">
        <v>224.13</v>
      </c>
      <c r="I1253" t="s">
        <v>15</v>
      </c>
      <c r="J1253" s="2">
        <v>1409</v>
      </c>
      <c r="K1253" s="2">
        <v>5</v>
      </c>
    </row>
    <row r="1254" spans="1:11" x14ac:dyDescent="0.25">
      <c r="A1254" t="s">
        <v>1300</v>
      </c>
      <c r="B1254" t="s">
        <v>27</v>
      </c>
      <c r="C1254" t="s">
        <v>17</v>
      </c>
      <c r="D1254" t="s">
        <v>37</v>
      </c>
      <c r="E1254" s="1">
        <v>45050</v>
      </c>
      <c r="F1254" s="1">
        <v>45058</v>
      </c>
      <c r="G1254" s="2">
        <v>40.5</v>
      </c>
      <c r="H1254" s="2">
        <v>236.11</v>
      </c>
      <c r="I1254" t="s">
        <v>47</v>
      </c>
      <c r="J1254" s="2">
        <v>1756</v>
      </c>
      <c r="K1254" s="2">
        <v>4</v>
      </c>
    </row>
    <row r="1255" spans="1:11" x14ac:dyDescent="0.25">
      <c r="A1255" t="s">
        <v>1301</v>
      </c>
      <c r="B1255" t="s">
        <v>35</v>
      </c>
      <c r="C1255" t="s">
        <v>36</v>
      </c>
      <c r="D1255" t="s">
        <v>59</v>
      </c>
      <c r="E1255" s="1">
        <v>45074</v>
      </c>
      <c r="F1255" s="1">
        <v>45078</v>
      </c>
      <c r="G1255" s="2">
        <v>9.9</v>
      </c>
      <c r="H1255" s="2">
        <v>150.46</v>
      </c>
      <c r="I1255" t="s">
        <v>15</v>
      </c>
      <c r="J1255" s="2">
        <v>1129</v>
      </c>
      <c r="K1255" s="2">
        <v>4</v>
      </c>
    </row>
    <row r="1256" spans="1:11" x14ac:dyDescent="0.25">
      <c r="A1256" t="s">
        <v>1302</v>
      </c>
      <c r="B1256" t="s">
        <v>39</v>
      </c>
      <c r="C1256" t="s">
        <v>17</v>
      </c>
      <c r="D1256" t="s">
        <v>42</v>
      </c>
      <c r="E1256" s="1">
        <v>45198</v>
      </c>
      <c r="F1256" s="1">
        <v>45203</v>
      </c>
      <c r="G1256" s="2">
        <v>44.4</v>
      </c>
      <c r="H1256" s="2">
        <v>152.04</v>
      </c>
      <c r="I1256" t="s">
        <v>15</v>
      </c>
      <c r="J1256" s="2">
        <v>800</v>
      </c>
      <c r="K1256" s="2">
        <v>5</v>
      </c>
    </row>
    <row r="1257" spans="1:11" x14ac:dyDescent="0.25">
      <c r="A1257" t="s">
        <v>1303</v>
      </c>
      <c r="B1257" t="s">
        <v>51</v>
      </c>
      <c r="C1257" t="s">
        <v>31</v>
      </c>
      <c r="D1257" t="s">
        <v>14</v>
      </c>
      <c r="E1257" s="1">
        <v>45228</v>
      </c>
      <c r="F1257" s="1">
        <v>45231</v>
      </c>
      <c r="G1257" s="2">
        <v>15.5</v>
      </c>
      <c r="H1257" s="2">
        <v>159.84</v>
      </c>
      <c r="I1257" t="s">
        <v>15</v>
      </c>
      <c r="J1257" s="2">
        <v>1090</v>
      </c>
      <c r="K1257" s="2">
        <v>3</v>
      </c>
    </row>
    <row r="1258" spans="1:11" x14ac:dyDescent="0.25">
      <c r="A1258" t="s">
        <v>1304</v>
      </c>
      <c r="B1258" t="s">
        <v>51</v>
      </c>
      <c r="C1258" t="s">
        <v>44</v>
      </c>
      <c r="D1258" t="s">
        <v>25</v>
      </c>
      <c r="E1258" s="1">
        <v>45279</v>
      </c>
      <c r="F1258" s="1">
        <v>45283</v>
      </c>
      <c r="G1258" s="2">
        <v>13.5</v>
      </c>
      <c r="H1258" s="2">
        <v>123.13</v>
      </c>
      <c r="I1258" t="s">
        <v>15</v>
      </c>
      <c r="J1258" s="2">
        <v>790</v>
      </c>
      <c r="K1258" s="2">
        <v>4</v>
      </c>
    </row>
    <row r="1259" spans="1:11" x14ac:dyDescent="0.25">
      <c r="A1259" t="s">
        <v>1305</v>
      </c>
      <c r="B1259" t="s">
        <v>39</v>
      </c>
      <c r="C1259" t="s">
        <v>57</v>
      </c>
      <c r="D1259" t="s">
        <v>59</v>
      </c>
      <c r="E1259" s="1">
        <v>45212</v>
      </c>
      <c r="G1259" s="2">
        <v>6.4</v>
      </c>
      <c r="H1259" s="2">
        <v>191.61</v>
      </c>
      <c r="I1259" t="s">
        <v>15</v>
      </c>
      <c r="J1259" s="2">
        <v>1770</v>
      </c>
      <c r="K1259" s="2">
        <v>6</v>
      </c>
    </row>
    <row r="1260" spans="1:11" x14ac:dyDescent="0.25">
      <c r="A1260" t="s">
        <v>1306</v>
      </c>
      <c r="B1260" t="s">
        <v>35</v>
      </c>
      <c r="C1260" t="s">
        <v>28</v>
      </c>
      <c r="D1260" t="s">
        <v>37</v>
      </c>
      <c r="E1260" s="1">
        <v>45220</v>
      </c>
      <c r="F1260" s="1">
        <v>45225</v>
      </c>
      <c r="G1260" s="2">
        <v>14.5</v>
      </c>
      <c r="H1260" s="2">
        <v>202.38</v>
      </c>
      <c r="I1260" t="s">
        <v>15</v>
      </c>
      <c r="J1260" s="2">
        <v>1704</v>
      </c>
      <c r="K1260" s="2">
        <v>5</v>
      </c>
    </row>
    <row r="1261" spans="1:11" x14ac:dyDescent="0.25">
      <c r="A1261" t="s">
        <v>1307</v>
      </c>
      <c r="B1261" t="s">
        <v>23</v>
      </c>
      <c r="C1261" t="s">
        <v>70</v>
      </c>
      <c r="D1261" t="s">
        <v>42</v>
      </c>
      <c r="E1261" s="1">
        <v>45037</v>
      </c>
      <c r="F1261" s="1">
        <v>45043</v>
      </c>
      <c r="G1261" s="2">
        <v>45.4</v>
      </c>
      <c r="H1261" s="2">
        <v>102.09</v>
      </c>
      <c r="I1261" t="s">
        <v>47</v>
      </c>
      <c r="J1261" s="2">
        <v>473</v>
      </c>
      <c r="K1261" s="2">
        <v>2</v>
      </c>
    </row>
    <row r="1262" spans="1:11" x14ac:dyDescent="0.25">
      <c r="A1262" t="s">
        <v>1308</v>
      </c>
      <c r="B1262" t="s">
        <v>12</v>
      </c>
      <c r="C1262" t="s">
        <v>44</v>
      </c>
      <c r="D1262" t="s">
        <v>14</v>
      </c>
      <c r="E1262" s="1">
        <v>44961</v>
      </c>
      <c r="F1262" s="1">
        <v>44964</v>
      </c>
      <c r="G1262" s="2">
        <v>13.1</v>
      </c>
      <c r="H1262" s="2">
        <v>195.45</v>
      </c>
      <c r="I1262" t="s">
        <v>15</v>
      </c>
      <c r="J1262" s="2">
        <v>1331</v>
      </c>
      <c r="K1262" s="2">
        <v>3</v>
      </c>
    </row>
    <row r="1263" spans="1:11" x14ac:dyDescent="0.25">
      <c r="A1263" t="s">
        <v>1309</v>
      </c>
      <c r="B1263" t="s">
        <v>51</v>
      </c>
      <c r="C1263" t="s">
        <v>24</v>
      </c>
      <c r="D1263" t="s">
        <v>42</v>
      </c>
      <c r="E1263" s="1">
        <v>44979</v>
      </c>
      <c r="F1263" s="1">
        <v>44982</v>
      </c>
      <c r="G1263" s="2">
        <v>25.7</v>
      </c>
      <c r="H1263" s="2">
        <v>159.21</v>
      </c>
      <c r="I1263" t="s">
        <v>15</v>
      </c>
      <c r="J1263" s="2">
        <v>1023</v>
      </c>
      <c r="K1263" s="2">
        <v>3</v>
      </c>
    </row>
    <row r="1264" spans="1:11" x14ac:dyDescent="0.25">
      <c r="A1264" t="s">
        <v>1310</v>
      </c>
      <c r="B1264" t="s">
        <v>20</v>
      </c>
      <c r="C1264" t="s">
        <v>36</v>
      </c>
      <c r="D1264" t="s">
        <v>59</v>
      </c>
      <c r="E1264" s="1">
        <v>45077</v>
      </c>
      <c r="F1264" s="1">
        <v>45080</v>
      </c>
      <c r="G1264" s="2">
        <v>70.5</v>
      </c>
      <c r="H1264" s="2">
        <v>159.12</v>
      </c>
      <c r="I1264" t="s">
        <v>15</v>
      </c>
      <c r="J1264" s="2">
        <v>800</v>
      </c>
      <c r="K1264" s="2">
        <v>3</v>
      </c>
    </row>
    <row r="1265" spans="1:11" x14ac:dyDescent="0.25">
      <c r="A1265" t="s">
        <v>1311</v>
      </c>
      <c r="B1265" t="s">
        <v>39</v>
      </c>
      <c r="C1265" t="s">
        <v>40</v>
      </c>
      <c r="D1265" t="s">
        <v>42</v>
      </c>
      <c r="E1265" s="1">
        <v>45172</v>
      </c>
      <c r="F1265" s="1">
        <v>45176</v>
      </c>
      <c r="G1265" s="2">
        <v>17</v>
      </c>
      <c r="H1265" s="2">
        <v>257.86</v>
      </c>
      <c r="I1265" t="s">
        <v>15</v>
      </c>
      <c r="J1265" s="2">
        <v>1985</v>
      </c>
      <c r="K1265" s="2">
        <v>4</v>
      </c>
    </row>
    <row r="1266" spans="1:11" x14ac:dyDescent="0.25">
      <c r="A1266" t="s">
        <v>1312</v>
      </c>
      <c r="B1266" t="s">
        <v>49</v>
      </c>
      <c r="C1266" t="s">
        <v>36</v>
      </c>
      <c r="D1266" t="s">
        <v>42</v>
      </c>
      <c r="E1266" s="1">
        <v>45147</v>
      </c>
      <c r="F1266" s="1">
        <v>45150</v>
      </c>
      <c r="G1266" s="2">
        <v>36.4</v>
      </c>
      <c r="H1266" s="2">
        <v>77.58</v>
      </c>
      <c r="I1266" t="s">
        <v>15</v>
      </c>
      <c r="J1266" s="2">
        <v>243</v>
      </c>
      <c r="K1266" s="2">
        <v>3</v>
      </c>
    </row>
    <row r="1267" spans="1:11" x14ac:dyDescent="0.25">
      <c r="A1267" t="s">
        <v>1313</v>
      </c>
      <c r="B1267" t="s">
        <v>23</v>
      </c>
      <c r="C1267" t="s">
        <v>36</v>
      </c>
      <c r="D1267" t="s">
        <v>14</v>
      </c>
      <c r="E1267" s="1">
        <v>45117</v>
      </c>
      <c r="F1267" s="1">
        <v>45124</v>
      </c>
      <c r="G1267" s="2">
        <v>16.399999999999999</v>
      </c>
      <c r="H1267" s="2">
        <v>265.38</v>
      </c>
      <c r="I1267" t="s">
        <v>15</v>
      </c>
      <c r="J1267" s="2">
        <v>1834</v>
      </c>
      <c r="K1267" s="2">
        <v>7</v>
      </c>
    </row>
    <row r="1268" spans="1:11" x14ac:dyDescent="0.25">
      <c r="A1268" t="s">
        <v>1314</v>
      </c>
      <c r="B1268" t="s">
        <v>49</v>
      </c>
      <c r="C1268" t="s">
        <v>36</v>
      </c>
      <c r="D1268" t="s">
        <v>32</v>
      </c>
      <c r="E1268" s="1">
        <v>45164</v>
      </c>
      <c r="F1268" s="1">
        <v>45168</v>
      </c>
      <c r="G1268" s="2">
        <v>16.399999999999999</v>
      </c>
      <c r="H1268" s="2">
        <v>240.73</v>
      </c>
      <c r="I1268" t="s">
        <v>15</v>
      </c>
      <c r="J1268" s="2">
        <v>1726</v>
      </c>
      <c r="K1268" s="2">
        <v>4</v>
      </c>
    </row>
    <row r="1269" spans="1:11" x14ac:dyDescent="0.25">
      <c r="A1269" t="s">
        <v>1315</v>
      </c>
      <c r="B1269" t="s">
        <v>20</v>
      </c>
      <c r="C1269" t="s">
        <v>36</v>
      </c>
      <c r="D1269" t="s">
        <v>37</v>
      </c>
      <c r="E1269" s="1">
        <v>44957</v>
      </c>
      <c r="F1269" s="1">
        <v>44960</v>
      </c>
      <c r="G1269" s="2">
        <v>9.6</v>
      </c>
      <c r="H1269" s="2">
        <v>153.94999999999999</v>
      </c>
      <c r="I1269" t="s">
        <v>15</v>
      </c>
      <c r="J1269" s="2">
        <v>1168</v>
      </c>
      <c r="K1269" s="2">
        <v>3</v>
      </c>
    </row>
    <row r="1270" spans="1:11" x14ac:dyDescent="0.25">
      <c r="A1270" t="s">
        <v>1316</v>
      </c>
      <c r="B1270" t="s">
        <v>39</v>
      </c>
      <c r="C1270" t="s">
        <v>21</v>
      </c>
      <c r="D1270" t="s">
        <v>37</v>
      </c>
      <c r="E1270" s="1">
        <v>45102</v>
      </c>
      <c r="F1270" s="1">
        <v>45104</v>
      </c>
      <c r="G1270" s="2">
        <v>26.1</v>
      </c>
      <c r="H1270" s="2">
        <v>142.55000000000001</v>
      </c>
      <c r="I1270" t="s">
        <v>15</v>
      </c>
      <c r="J1270" s="2">
        <v>880</v>
      </c>
      <c r="K1270" s="2">
        <v>2</v>
      </c>
    </row>
    <row r="1271" spans="1:11" x14ac:dyDescent="0.25">
      <c r="A1271" t="s">
        <v>1317</v>
      </c>
      <c r="B1271" t="s">
        <v>35</v>
      </c>
      <c r="C1271" t="s">
        <v>57</v>
      </c>
      <c r="D1271" t="s">
        <v>25</v>
      </c>
      <c r="E1271" s="1">
        <v>44967</v>
      </c>
      <c r="F1271" s="1">
        <v>44969</v>
      </c>
      <c r="G1271" s="2">
        <v>21.6</v>
      </c>
      <c r="H1271" s="2">
        <v>60.18</v>
      </c>
      <c r="I1271" t="s">
        <v>15</v>
      </c>
      <c r="J1271" s="2">
        <v>267</v>
      </c>
      <c r="K1271" s="2">
        <v>2</v>
      </c>
    </row>
    <row r="1272" spans="1:11" x14ac:dyDescent="0.25">
      <c r="A1272" t="s">
        <v>1318</v>
      </c>
      <c r="B1272" t="s">
        <v>35</v>
      </c>
      <c r="C1272" t="s">
        <v>46</v>
      </c>
      <c r="D1272" t="s">
        <v>42</v>
      </c>
      <c r="E1272" s="1">
        <v>45111</v>
      </c>
      <c r="F1272" s="1">
        <v>45114</v>
      </c>
      <c r="G1272" s="2">
        <v>19.3</v>
      </c>
      <c r="H1272" s="2">
        <v>163.72999999999999</v>
      </c>
      <c r="I1272" t="s">
        <v>15</v>
      </c>
      <c r="J1272" s="2">
        <v>1097</v>
      </c>
      <c r="K1272" s="2">
        <v>3</v>
      </c>
    </row>
    <row r="1273" spans="1:11" x14ac:dyDescent="0.25">
      <c r="A1273" t="s">
        <v>1319</v>
      </c>
      <c r="B1273" t="s">
        <v>23</v>
      </c>
      <c r="C1273" t="s">
        <v>40</v>
      </c>
      <c r="D1273" t="s">
        <v>14</v>
      </c>
      <c r="E1273" s="1">
        <v>45085</v>
      </c>
      <c r="F1273" s="1">
        <v>45087</v>
      </c>
      <c r="G1273" s="2">
        <v>10.5</v>
      </c>
      <c r="H1273" s="2">
        <v>56.72</v>
      </c>
      <c r="I1273" t="s">
        <v>15</v>
      </c>
      <c r="J1273" s="2">
        <v>329</v>
      </c>
      <c r="K1273" s="2">
        <v>2</v>
      </c>
    </row>
    <row r="1274" spans="1:11" x14ac:dyDescent="0.25">
      <c r="A1274" t="s">
        <v>1320</v>
      </c>
      <c r="B1274" t="s">
        <v>30</v>
      </c>
      <c r="C1274" t="s">
        <v>24</v>
      </c>
      <c r="D1274" t="s">
        <v>32</v>
      </c>
      <c r="E1274" s="1">
        <v>45262</v>
      </c>
      <c r="F1274" s="1">
        <v>45266</v>
      </c>
      <c r="G1274" s="2">
        <v>30.9</v>
      </c>
      <c r="H1274" s="2">
        <v>196.94</v>
      </c>
      <c r="I1274" t="s">
        <v>15</v>
      </c>
      <c r="J1274" s="2">
        <v>880</v>
      </c>
      <c r="K1274" s="2">
        <v>4</v>
      </c>
    </row>
    <row r="1275" spans="1:11" x14ac:dyDescent="0.25">
      <c r="A1275" t="s">
        <v>1321</v>
      </c>
      <c r="B1275" t="s">
        <v>39</v>
      </c>
      <c r="C1275" t="s">
        <v>70</v>
      </c>
      <c r="D1275" t="s">
        <v>42</v>
      </c>
      <c r="E1275" s="1">
        <v>44943</v>
      </c>
      <c r="F1275" s="1">
        <v>44946</v>
      </c>
      <c r="G1275" s="2">
        <v>12</v>
      </c>
      <c r="H1275" s="2">
        <v>59.08</v>
      </c>
      <c r="I1275" t="s">
        <v>62</v>
      </c>
      <c r="J1275" s="2">
        <v>376</v>
      </c>
      <c r="K1275" s="2">
        <v>3</v>
      </c>
    </row>
    <row r="1276" spans="1:11" x14ac:dyDescent="0.25">
      <c r="A1276" t="s">
        <v>1322</v>
      </c>
      <c r="B1276" t="s">
        <v>39</v>
      </c>
      <c r="C1276" t="s">
        <v>40</v>
      </c>
      <c r="D1276" t="s">
        <v>32</v>
      </c>
      <c r="E1276" s="1">
        <v>45271</v>
      </c>
      <c r="F1276" s="1">
        <v>45279</v>
      </c>
      <c r="G1276" s="2">
        <v>13.7</v>
      </c>
      <c r="H1276" s="2">
        <v>383.07</v>
      </c>
      <c r="I1276" t="s">
        <v>15</v>
      </c>
      <c r="J1276" s="2">
        <v>2205</v>
      </c>
      <c r="K1276" s="2">
        <v>8</v>
      </c>
    </row>
    <row r="1277" spans="1:11" x14ac:dyDescent="0.25">
      <c r="A1277" t="s">
        <v>1323</v>
      </c>
      <c r="B1277" t="s">
        <v>20</v>
      </c>
      <c r="C1277" t="s">
        <v>44</v>
      </c>
      <c r="D1277" t="s">
        <v>32</v>
      </c>
      <c r="E1277" s="1">
        <v>44934</v>
      </c>
      <c r="F1277" s="1">
        <v>44936</v>
      </c>
      <c r="G1277" s="2">
        <v>48.3</v>
      </c>
      <c r="H1277" s="2">
        <v>146.26</v>
      </c>
      <c r="I1277" t="s">
        <v>62</v>
      </c>
      <c r="J1277" s="2">
        <v>545</v>
      </c>
      <c r="K1277" s="2">
        <v>2</v>
      </c>
    </row>
    <row r="1278" spans="1:11" x14ac:dyDescent="0.25">
      <c r="A1278" t="s">
        <v>1324</v>
      </c>
      <c r="B1278" t="s">
        <v>35</v>
      </c>
      <c r="C1278" t="s">
        <v>46</v>
      </c>
      <c r="D1278" t="s">
        <v>37</v>
      </c>
      <c r="E1278" s="1">
        <v>45180</v>
      </c>
      <c r="F1278" s="1">
        <v>45191</v>
      </c>
      <c r="G1278" s="2">
        <v>63.6</v>
      </c>
      <c r="H1278" s="2">
        <v>171.47</v>
      </c>
      <c r="I1278" t="s">
        <v>47</v>
      </c>
      <c r="J1278" s="2">
        <v>737</v>
      </c>
      <c r="K1278" s="2">
        <v>2</v>
      </c>
    </row>
    <row r="1279" spans="1:11" x14ac:dyDescent="0.25">
      <c r="A1279" t="s">
        <v>1325</v>
      </c>
      <c r="B1279" t="s">
        <v>20</v>
      </c>
      <c r="C1279" t="s">
        <v>57</v>
      </c>
      <c r="D1279" t="s">
        <v>59</v>
      </c>
      <c r="E1279" s="1">
        <v>45062</v>
      </c>
      <c r="F1279" s="1">
        <v>45069</v>
      </c>
      <c r="G1279" s="2">
        <v>24</v>
      </c>
      <c r="H1279" s="2">
        <v>307.61</v>
      </c>
      <c r="I1279" t="s">
        <v>15</v>
      </c>
      <c r="J1279" s="2">
        <v>2479</v>
      </c>
      <c r="K1279" s="2">
        <v>7</v>
      </c>
    </row>
    <row r="1280" spans="1:11" x14ac:dyDescent="0.25">
      <c r="A1280" t="s">
        <v>1326</v>
      </c>
      <c r="B1280" t="s">
        <v>20</v>
      </c>
      <c r="C1280" t="s">
        <v>28</v>
      </c>
      <c r="D1280" t="s">
        <v>42</v>
      </c>
      <c r="E1280" s="1">
        <v>45233</v>
      </c>
      <c r="F1280" s="1">
        <v>45238</v>
      </c>
      <c r="G1280" s="2">
        <v>35.700000000000003</v>
      </c>
      <c r="H1280" s="2">
        <v>268.47000000000003</v>
      </c>
      <c r="I1280" t="s">
        <v>15</v>
      </c>
      <c r="J1280" s="2">
        <v>1435</v>
      </c>
      <c r="K1280" s="2">
        <v>5</v>
      </c>
    </row>
    <row r="1281" spans="1:11" x14ac:dyDescent="0.25">
      <c r="A1281" t="s">
        <v>1327</v>
      </c>
      <c r="B1281" t="s">
        <v>39</v>
      </c>
      <c r="C1281" t="s">
        <v>40</v>
      </c>
      <c r="D1281" t="s">
        <v>14</v>
      </c>
      <c r="E1281" s="1">
        <v>45130</v>
      </c>
      <c r="F1281" s="1">
        <v>45134</v>
      </c>
      <c r="G1281" s="2">
        <v>33.4</v>
      </c>
      <c r="H1281" s="2">
        <v>131.33000000000001</v>
      </c>
      <c r="I1281" t="s">
        <v>15</v>
      </c>
      <c r="J1281" s="2">
        <v>662</v>
      </c>
      <c r="K1281" s="2">
        <v>4</v>
      </c>
    </row>
    <row r="1282" spans="1:11" x14ac:dyDescent="0.25">
      <c r="A1282" t="s">
        <v>1328</v>
      </c>
      <c r="B1282" t="s">
        <v>39</v>
      </c>
      <c r="C1282" t="s">
        <v>36</v>
      </c>
      <c r="D1282" t="s">
        <v>59</v>
      </c>
      <c r="E1282" s="1">
        <v>45255</v>
      </c>
      <c r="F1282" s="1">
        <v>45263</v>
      </c>
      <c r="G1282" s="2">
        <v>110.7</v>
      </c>
      <c r="H1282" s="2">
        <v>429.91</v>
      </c>
      <c r="I1282" t="s">
        <v>67</v>
      </c>
      <c r="J1282" s="2">
        <v>1985</v>
      </c>
      <c r="K1282" s="2">
        <v>8</v>
      </c>
    </row>
    <row r="1283" spans="1:11" x14ac:dyDescent="0.25">
      <c r="A1283" t="s">
        <v>1329</v>
      </c>
      <c r="B1283" t="s">
        <v>51</v>
      </c>
      <c r="C1283" t="s">
        <v>40</v>
      </c>
      <c r="D1283" t="s">
        <v>25</v>
      </c>
      <c r="E1283" s="1">
        <v>45191</v>
      </c>
      <c r="F1283" s="1">
        <v>45211</v>
      </c>
      <c r="G1283" s="2">
        <v>22.5</v>
      </c>
      <c r="H1283" s="2">
        <v>304.33999999999997</v>
      </c>
      <c r="I1283" t="s">
        <v>47</v>
      </c>
      <c r="J1283" s="2">
        <v>2161</v>
      </c>
      <c r="K1283" s="2">
        <v>7</v>
      </c>
    </row>
    <row r="1284" spans="1:11" x14ac:dyDescent="0.25">
      <c r="A1284" t="s">
        <v>1330</v>
      </c>
      <c r="B1284" t="s">
        <v>30</v>
      </c>
      <c r="C1284" t="s">
        <v>54</v>
      </c>
      <c r="D1284" t="s">
        <v>59</v>
      </c>
      <c r="E1284" s="1">
        <v>45210</v>
      </c>
      <c r="F1284" s="1">
        <v>45180</v>
      </c>
      <c r="G1284" s="2">
        <v>3.3</v>
      </c>
      <c r="H1284" s="2">
        <v>80</v>
      </c>
      <c r="I1284" t="s">
        <v>15</v>
      </c>
      <c r="J1284" s="2">
        <v>677</v>
      </c>
      <c r="K1284" s="2">
        <v>4</v>
      </c>
    </row>
    <row r="1285" spans="1:11" x14ac:dyDescent="0.25">
      <c r="A1285" t="s">
        <v>1331</v>
      </c>
      <c r="B1285" t="s">
        <v>30</v>
      </c>
      <c r="C1285" t="s">
        <v>57</v>
      </c>
      <c r="D1285" t="s">
        <v>32</v>
      </c>
      <c r="E1285" s="1">
        <v>44956</v>
      </c>
      <c r="F1285" s="1">
        <v>44960</v>
      </c>
      <c r="G1285" s="2">
        <v>40.1</v>
      </c>
      <c r="H1285" s="2">
        <v>122.44</v>
      </c>
      <c r="I1285" t="s">
        <v>15</v>
      </c>
      <c r="J1285" s="2">
        <v>454</v>
      </c>
      <c r="K1285" s="2">
        <v>4</v>
      </c>
    </row>
    <row r="1286" spans="1:11" x14ac:dyDescent="0.25">
      <c r="A1286" t="s">
        <v>1332</v>
      </c>
      <c r="B1286" t="s">
        <v>39</v>
      </c>
      <c r="C1286" t="s">
        <v>52</v>
      </c>
      <c r="D1286" t="s">
        <v>25</v>
      </c>
      <c r="E1286" s="1">
        <v>45236</v>
      </c>
      <c r="F1286" s="1">
        <v>45240</v>
      </c>
      <c r="G1286" s="2">
        <v>13.6</v>
      </c>
      <c r="H1286" s="2">
        <v>233.78</v>
      </c>
      <c r="I1286" t="s">
        <v>15</v>
      </c>
      <c r="J1286" s="2">
        <v>1402</v>
      </c>
      <c r="K1286" s="2">
        <v>4</v>
      </c>
    </row>
    <row r="1287" spans="1:11" x14ac:dyDescent="0.25">
      <c r="A1287" t="s">
        <v>1333</v>
      </c>
      <c r="B1287" t="s">
        <v>27</v>
      </c>
      <c r="C1287" t="s">
        <v>54</v>
      </c>
      <c r="D1287" t="s">
        <v>18</v>
      </c>
      <c r="E1287" s="1">
        <v>45133</v>
      </c>
      <c r="F1287" s="1">
        <v>45136</v>
      </c>
      <c r="G1287" s="2">
        <v>24.5</v>
      </c>
      <c r="H1287" s="2">
        <v>70.28</v>
      </c>
      <c r="I1287" t="s">
        <v>15</v>
      </c>
      <c r="J1287" s="2">
        <v>244</v>
      </c>
      <c r="K1287" s="2">
        <v>3</v>
      </c>
    </row>
    <row r="1288" spans="1:11" x14ac:dyDescent="0.25">
      <c r="A1288" t="s">
        <v>1334</v>
      </c>
      <c r="B1288" t="s">
        <v>20</v>
      </c>
      <c r="C1288" t="s">
        <v>44</v>
      </c>
      <c r="D1288" t="s">
        <v>25</v>
      </c>
      <c r="E1288" s="1">
        <v>45169</v>
      </c>
      <c r="F1288" s="1">
        <v>45172</v>
      </c>
      <c r="G1288" s="2">
        <v>23.1</v>
      </c>
      <c r="H1288" s="2">
        <v>157.08000000000001</v>
      </c>
      <c r="I1288" t="s">
        <v>15</v>
      </c>
      <c r="J1288" s="2">
        <v>1139</v>
      </c>
      <c r="K1288" s="2">
        <v>3</v>
      </c>
    </row>
    <row r="1289" spans="1:11" x14ac:dyDescent="0.25">
      <c r="A1289" t="s">
        <v>1335</v>
      </c>
      <c r="B1289" t="s">
        <v>39</v>
      </c>
      <c r="C1289" t="s">
        <v>13</v>
      </c>
      <c r="D1289" t="s">
        <v>42</v>
      </c>
      <c r="E1289" s="1">
        <v>45112</v>
      </c>
      <c r="F1289" s="1">
        <v>45113</v>
      </c>
      <c r="G1289" s="2">
        <v>56.4</v>
      </c>
      <c r="H1289" s="2">
        <v>141.61000000000001</v>
      </c>
      <c r="I1289" t="s">
        <v>15</v>
      </c>
      <c r="J1289" s="2">
        <v>531</v>
      </c>
      <c r="K1289" s="2">
        <v>1</v>
      </c>
    </row>
    <row r="1290" spans="1:11" x14ac:dyDescent="0.25">
      <c r="A1290" t="s">
        <v>1336</v>
      </c>
      <c r="B1290" t="s">
        <v>30</v>
      </c>
      <c r="C1290" t="s">
        <v>17</v>
      </c>
      <c r="D1290" t="s">
        <v>14</v>
      </c>
      <c r="E1290" s="1">
        <v>44990</v>
      </c>
      <c r="F1290" s="1">
        <v>44993</v>
      </c>
      <c r="G1290" s="2">
        <v>29.4</v>
      </c>
      <c r="H1290" s="2">
        <v>124.1</v>
      </c>
      <c r="I1290" t="s">
        <v>15</v>
      </c>
      <c r="J1290" s="2">
        <v>796</v>
      </c>
      <c r="K1290" s="2">
        <v>3</v>
      </c>
    </row>
    <row r="1291" spans="1:11" x14ac:dyDescent="0.25">
      <c r="A1291" t="s">
        <v>1337</v>
      </c>
      <c r="B1291" t="s">
        <v>27</v>
      </c>
      <c r="C1291" t="s">
        <v>44</v>
      </c>
      <c r="D1291" t="s">
        <v>42</v>
      </c>
      <c r="E1291" s="1">
        <v>45233</v>
      </c>
      <c r="F1291" s="1">
        <v>45234</v>
      </c>
      <c r="G1291" s="2">
        <v>10.3</v>
      </c>
      <c r="H1291" s="2">
        <v>40.65</v>
      </c>
      <c r="I1291" t="s">
        <v>60</v>
      </c>
      <c r="J1291" s="2">
        <v>188</v>
      </c>
      <c r="K1291" s="2">
        <v>1</v>
      </c>
    </row>
    <row r="1292" spans="1:11" x14ac:dyDescent="0.25">
      <c r="A1292" t="s">
        <v>1338</v>
      </c>
      <c r="B1292" t="s">
        <v>35</v>
      </c>
      <c r="C1292" t="s">
        <v>81</v>
      </c>
      <c r="D1292" t="s">
        <v>32</v>
      </c>
      <c r="E1292" s="1">
        <v>44991</v>
      </c>
      <c r="F1292" s="1">
        <v>44994</v>
      </c>
      <c r="G1292" s="2">
        <v>10.9</v>
      </c>
      <c r="H1292" s="2">
        <v>138.79</v>
      </c>
      <c r="I1292" t="s">
        <v>15</v>
      </c>
      <c r="J1292" s="2">
        <v>1000</v>
      </c>
      <c r="K1292" s="2">
        <v>3</v>
      </c>
    </row>
    <row r="1293" spans="1:11" x14ac:dyDescent="0.25">
      <c r="A1293" t="s">
        <v>1339</v>
      </c>
      <c r="B1293" t="s">
        <v>12</v>
      </c>
      <c r="C1293" t="s">
        <v>57</v>
      </c>
      <c r="D1293" t="s">
        <v>37</v>
      </c>
      <c r="E1293" s="1">
        <v>45050</v>
      </c>
      <c r="F1293" s="1">
        <v>45055</v>
      </c>
      <c r="G1293" s="2">
        <v>42.1</v>
      </c>
      <c r="H1293" s="2">
        <v>344.29</v>
      </c>
      <c r="I1293" t="s">
        <v>67</v>
      </c>
      <c r="J1293" s="2">
        <v>2219</v>
      </c>
      <c r="K1293" s="2">
        <v>5</v>
      </c>
    </row>
    <row r="1294" spans="1:11" x14ac:dyDescent="0.25">
      <c r="A1294" t="s">
        <v>1340</v>
      </c>
      <c r="B1294" t="s">
        <v>35</v>
      </c>
      <c r="C1294" t="s">
        <v>57</v>
      </c>
      <c r="D1294" t="s">
        <v>32</v>
      </c>
      <c r="E1294" s="1">
        <v>45237</v>
      </c>
      <c r="F1294" s="1">
        <v>45207</v>
      </c>
      <c r="G1294" s="2">
        <v>53</v>
      </c>
      <c r="H1294" s="2">
        <v>355.09</v>
      </c>
      <c r="I1294" t="s">
        <v>47</v>
      </c>
      <c r="J1294" s="2">
        <v>1709</v>
      </c>
      <c r="K1294" s="2">
        <v>4</v>
      </c>
    </row>
    <row r="1295" spans="1:11" x14ac:dyDescent="0.25">
      <c r="A1295" t="s">
        <v>1341</v>
      </c>
      <c r="B1295" t="s">
        <v>30</v>
      </c>
      <c r="C1295" t="s">
        <v>28</v>
      </c>
      <c r="D1295" t="s">
        <v>59</v>
      </c>
      <c r="E1295" s="1">
        <v>44939</v>
      </c>
      <c r="F1295" s="1">
        <v>44944</v>
      </c>
      <c r="G1295" s="2">
        <v>25.4</v>
      </c>
      <c r="H1295" s="2">
        <v>245.02</v>
      </c>
      <c r="I1295" t="s">
        <v>15</v>
      </c>
      <c r="J1295" s="2">
        <v>2110</v>
      </c>
      <c r="K1295" s="2">
        <v>5</v>
      </c>
    </row>
    <row r="1296" spans="1:11" x14ac:dyDescent="0.25">
      <c r="A1296" t="s">
        <v>1342</v>
      </c>
      <c r="B1296" t="s">
        <v>35</v>
      </c>
      <c r="C1296" t="s">
        <v>57</v>
      </c>
      <c r="D1296" t="s">
        <v>42</v>
      </c>
      <c r="E1296" s="1">
        <v>44927</v>
      </c>
      <c r="F1296" s="1">
        <v>44929</v>
      </c>
      <c r="G1296" s="2">
        <v>19.7</v>
      </c>
      <c r="H1296" s="2">
        <v>106.66</v>
      </c>
      <c r="I1296" t="s">
        <v>15</v>
      </c>
      <c r="J1296" s="2">
        <v>784</v>
      </c>
      <c r="K1296" s="2">
        <v>2</v>
      </c>
    </row>
    <row r="1297" spans="1:11" x14ac:dyDescent="0.25">
      <c r="A1297" t="s">
        <v>1343</v>
      </c>
      <c r="B1297" t="s">
        <v>30</v>
      </c>
      <c r="C1297" t="s">
        <v>21</v>
      </c>
      <c r="D1297" t="s">
        <v>59</v>
      </c>
      <c r="E1297" s="1">
        <v>44928</v>
      </c>
      <c r="F1297" s="1">
        <v>44931</v>
      </c>
      <c r="G1297" s="2">
        <v>31.8</v>
      </c>
      <c r="H1297" s="2">
        <v>134.96</v>
      </c>
      <c r="I1297" t="s">
        <v>15</v>
      </c>
      <c r="J1297" s="2">
        <v>786</v>
      </c>
      <c r="K1297" s="2">
        <v>3</v>
      </c>
    </row>
    <row r="1298" spans="1:11" x14ac:dyDescent="0.25">
      <c r="A1298" t="s">
        <v>1344</v>
      </c>
      <c r="B1298" t="s">
        <v>39</v>
      </c>
      <c r="C1298" t="s">
        <v>28</v>
      </c>
      <c r="D1298" t="s">
        <v>42</v>
      </c>
      <c r="E1298" s="1">
        <v>45239</v>
      </c>
      <c r="F1298" s="1">
        <v>45242</v>
      </c>
      <c r="G1298" s="2">
        <v>22.8</v>
      </c>
      <c r="H1298" s="2">
        <v>260.19</v>
      </c>
      <c r="I1298" t="s">
        <v>15</v>
      </c>
      <c r="J1298" s="2">
        <v>1512</v>
      </c>
      <c r="K1298" s="2">
        <v>3</v>
      </c>
    </row>
    <row r="1299" spans="1:11" x14ac:dyDescent="0.25">
      <c r="A1299" t="s">
        <v>1345</v>
      </c>
      <c r="B1299" t="s">
        <v>49</v>
      </c>
      <c r="C1299" t="s">
        <v>36</v>
      </c>
      <c r="D1299" t="s">
        <v>42</v>
      </c>
      <c r="E1299" s="1">
        <v>45162</v>
      </c>
      <c r="F1299" s="1">
        <v>45167</v>
      </c>
      <c r="G1299" s="2">
        <v>10.1</v>
      </c>
      <c r="H1299" s="2">
        <v>185.32</v>
      </c>
      <c r="I1299" t="s">
        <v>15</v>
      </c>
      <c r="J1299" s="2">
        <v>1310</v>
      </c>
      <c r="K1299" s="2">
        <v>5</v>
      </c>
    </row>
    <row r="1300" spans="1:11" x14ac:dyDescent="0.25">
      <c r="A1300" t="s">
        <v>1346</v>
      </c>
      <c r="B1300" t="s">
        <v>51</v>
      </c>
      <c r="C1300" t="s">
        <v>40</v>
      </c>
      <c r="D1300" t="s">
        <v>32</v>
      </c>
      <c r="E1300" s="1">
        <v>45085</v>
      </c>
      <c r="F1300" s="1">
        <v>45093</v>
      </c>
      <c r="G1300" s="2">
        <v>17.3</v>
      </c>
      <c r="H1300" s="2">
        <v>325.14</v>
      </c>
      <c r="I1300" t="s">
        <v>15</v>
      </c>
      <c r="J1300" s="2">
        <v>2398</v>
      </c>
      <c r="K1300" s="2">
        <v>8</v>
      </c>
    </row>
    <row r="1301" spans="1:11" x14ac:dyDescent="0.25">
      <c r="A1301" t="s">
        <v>1347</v>
      </c>
      <c r="B1301" t="s">
        <v>12</v>
      </c>
      <c r="C1301" t="s">
        <v>13</v>
      </c>
      <c r="D1301" t="s">
        <v>37</v>
      </c>
      <c r="E1301" s="1">
        <v>45149</v>
      </c>
      <c r="F1301" s="1">
        <v>45153</v>
      </c>
      <c r="G1301" s="2">
        <v>24.5</v>
      </c>
      <c r="H1301" s="2">
        <v>191.05</v>
      </c>
      <c r="I1301" t="s">
        <v>15</v>
      </c>
      <c r="J1301" s="2">
        <v>1373</v>
      </c>
      <c r="K1301" s="2">
        <v>4</v>
      </c>
    </row>
    <row r="1302" spans="1:11" x14ac:dyDescent="0.25">
      <c r="A1302" t="s">
        <v>1348</v>
      </c>
      <c r="B1302" t="s">
        <v>12</v>
      </c>
      <c r="C1302" t="s">
        <v>17</v>
      </c>
      <c r="D1302" t="s">
        <v>37</v>
      </c>
      <c r="E1302" s="1">
        <v>45174</v>
      </c>
      <c r="F1302" s="1">
        <v>45178</v>
      </c>
      <c r="G1302" s="2">
        <v>6.8</v>
      </c>
      <c r="H1302" s="2">
        <v>141.35</v>
      </c>
      <c r="I1302" t="s">
        <v>15</v>
      </c>
      <c r="J1302" s="2">
        <v>1036</v>
      </c>
      <c r="K1302" s="2">
        <v>4</v>
      </c>
    </row>
    <row r="1303" spans="1:11" x14ac:dyDescent="0.25">
      <c r="A1303" t="s">
        <v>1349</v>
      </c>
      <c r="B1303" t="s">
        <v>12</v>
      </c>
      <c r="C1303" t="s">
        <v>13</v>
      </c>
      <c r="D1303" t="s">
        <v>25</v>
      </c>
      <c r="E1303" s="1">
        <v>45195</v>
      </c>
      <c r="F1303" s="1">
        <v>45199</v>
      </c>
      <c r="G1303" s="2">
        <v>40.5</v>
      </c>
      <c r="H1303" s="2">
        <v>147.62</v>
      </c>
      <c r="I1303" t="s">
        <v>15</v>
      </c>
      <c r="J1303" s="2">
        <v>894</v>
      </c>
      <c r="K1303" s="2">
        <v>4</v>
      </c>
    </row>
    <row r="1304" spans="1:11" x14ac:dyDescent="0.25">
      <c r="A1304" t="s">
        <v>1350</v>
      </c>
      <c r="B1304" t="s">
        <v>23</v>
      </c>
      <c r="C1304" t="s">
        <v>31</v>
      </c>
      <c r="D1304" t="s">
        <v>18</v>
      </c>
      <c r="E1304" s="1">
        <v>44928</v>
      </c>
      <c r="F1304" s="1">
        <v>44932</v>
      </c>
      <c r="G1304" s="2">
        <v>41.8</v>
      </c>
      <c r="H1304" s="2">
        <v>254.48</v>
      </c>
      <c r="I1304" t="s">
        <v>15</v>
      </c>
      <c r="J1304" s="2">
        <v>1261</v>
      </c>
      <c r="K1304" s="2">
        <v>4</v>
      </c>
    </row>
    <row r="1305" spans="1:11" x14ac:dyDescent="0.25">
      <c r="A1305" t="s">
        <v>1351</v>
      </c>
      <c r="B1305" t="s">
        <v>23</v>
      </c>
      <c r="C1305" t="s">
        <v>57</v>
      </c>
      <c r="D1305" t="s">
        <v>42</v>
      </c>
      <c r="E1305" s="1">
        <v>45139</v>
      </c>
      <c r="F1305" s="1">
        <v>45141</v>
      </c>
      <c r="G1305" s="2">
        <v>78.900000000000006</v>
      </c>
      <c r="H1305" s="2">
        <v>171.25</v>
      </c>
      <c r="I1305" t="s">
        <v>15</v>
      </c>
      <c r="J1305" s="2">
        <v>729</v>
      </c>
      <c r="K1305" s="2">
        <v>2</v>
      </c>
    </row>
    <row r="1306" spans="1:11" x14ac:dyDescent="0.25">
      <c r="A1306" t="s">
        <v>1352</v>
      </c>
      <c r="B1306" t="s">
        <v>51</v>
      </c>
      <c r="C1306" t="s">
        <v>54</v>
      </c>
      <c r="D1306" t="s">
        <v>59</v>
      </c>
      <c r="E1306" s="1">
        <v>45285</v>
      </c>
      <c r="F1306" s="1">
        <v>45290</v>
      </c>
      <c r="G1306" s="2">
        <v>12.3</v>
      </c>
      <c r="H1306" s="2">
        <v>325.51</v>
      </c>
      <c r="I1306" t="s">
        <v>15</v>
      </c>
      <c r="J1306" s="2">
        <v>2145</v>
      </c>
      <c r="K1306" s="2">
        <v>5</v>
      </c>
    </row>
    <row r="1307" spans="1:11" x14ac:dyDescent="0.25">
      <c r="A1307" t="s">
        <v>1353</v>
      </c>
      <c r="B1307" t="s">
        <v>39</v>
      </c>
      <c r="C1307" t="s">
        <v>57</v>
      </c>
      <c r="D1307" t="s">
        <v>25</v>
      </c>
      <c r="E1307" s="1">
        <v>45291</v>
      </c>
      <c r="F1307" s="1">
        <v>45296</v>
      </c>
      <c r="G1307" s="2">
        <v>55.7</v>
      </c>
      <c r="H1307" s="2">
        <v>335.88</v>
      </c>
      <c r="I1307" t="s">
        <v>15</v>
      </c>
      <c r="J1307" s="2">
        <v>1737</v>
      </c>
      <c r="K1307" s="2">
        <v>5</v>
      </c>
    </row>
    <row r="1308" spans="1:11" x14ac:dyDescent="0.25">
      <c r="A1308" t="s">
        <v>1354</v>
      </c>
      <c r="B1308" t="s">
        <v>30</v>
      </c>
      <c r="C1308" t="s">
        <v>17</v>
      </c>
      <c r="D1308" t="s">
        <v>14</v>
      </c>
      <c r="E1308" s="1">
        <v>44941</v>
      </c>
      <c r="F1308" s="1">
        <v>44946</v>
      </c>
      <c r="G1308" s="2">
        <v>8.3000000000000007</v>
      </c>
      <c r="H1308" s="2">
        <v>275.36</v>
      </c>
      <c r="I1308" t="s">
        <v>15</v>
      </c>
      <c r="J1308" s="2">
        <v>1965</v>
      </c>
      <c r="K1308" s="2">
        <v>5</v>
      </c>
    </row>
    <row r="1309" spans="1:11" x14ac:dyDescent="0.25">
      <c r="A1309" t="s">
        <v>1355</v>
      </c>
      <c r="B1309" t="s">
        <v>23</v>
      </c>
      <c r="C1309" t="s">
        <v>44</v>
      </c>
      <c r="D1309" t="s">
        <v>32</v>
      </c>
      <c r="E1309" s="1">
        <v>45215</v>
      </c>
      <c r="F1309" s="1">
        <v>45219</v>
      </c>
      <c r="G1309" s="2">
        <v>42.3</v>
      </c>
      <c r="H1309" s="2">
        <v>221.5</v>
      </c>
      <c r="I1309" t="s">
        <v>15</v>
      </c>
      <c r="J1309" s="2">
        <v>1178</v>
      </c>
      <c r="K1309" s="2">
        <v>4</v>
      </c>
    </row>
    <row r="1310" spans="1:11" x14ac:dyDescent="0.25">
      <c r="A1310" t="s">
        <v>1356</v>
      </c>
      <c r="B1310" t="s">
        <v>20</v>
      </c>
      <c r="C1310" t="s">
        <v>52</v>
      </c>
      <c r="D1310" t="s">
        <v>18</v>
      </c>
      <c r="E1310" s="1">
        <v>44999</v>
      </c>
      <c r="F1310" s="1">
        <v>45003</v>
      </c>
      <c r="G1310" s="2">
        <v>7.6</v>
      </c>
      <c r="H1310" s="2">
        <v>61.28</v>
      </c>
      <c r="I1310" t="s">
        <v>15</v>
      </c>
      <c r="J1310" s="2">
        <v>373</v>
      </c>
      <c r="K1310" s="2">
        <v>4</v>
      </c>
    </row>
    <row r="1311" spans="1:11" x14ac:dyDescent="0.25">
      <c r="A1311" t="s">
        <v>1357</v>
      </c>
      <c r="B1311" t="s">
        <v>27</v>
      </c>
      <c r="C1311" t="s">
        <v>46</v>
      </c>
      <c r="D1311" t="s">
        <v>42</v>
      </c>
      <c r="E1311" s="1">
        <v>45132</v>
      </c>
      <c r="F1311" s="1">
        <v>45144</v>
      </c>
      <c r="G1311" s="2">
        <v>4.5999999999999996</v>
      </c>
      <c r="H1311" s="2">
        <v>209.12</v>
      </c>
      <c r="I1311" t="s">
        <v>47</v>
      </c>
      <c r="J1311" s="2">
        <v>1868</v>
      </c>
      <c r="K1311" s="2">
        <v>6</v>
      </c>
    </row>
    <row r="1312" spans="1:11" x14ac:dyDescent="0.25">
      <c r="A1312" t="s">
        <v>1358</v>
      </c>
      <c r="B1312" t="s">
        <v>27</v>
      </c>
      <c r="C1312" t="s">
        <v>44</v>
      </c>
      <c r="D1312" t="s">
        <v>18</v>
      </c>
      <c r="E1312" s="1">
        <v>45226</v>
      </c>
      <c r="F1312" s="1">
        <v>45230</v>
      </c>
      <c r="G1312" s="2">
        <v>11.1</v>
      </c>
      <c r="H1312" s="2">
        <v>100.08</v>
      </c>
      <c r="I1312" t="s">
        <v>15</v>
      </c>
      <c r="J1312" s="2">
        <v>640</v>
      </c>
      <c r="K1312" s="2">
        <v>4</v>
      </c>
    </row>
    <row r="1313" spans="1:11" x14ac:dyDescent="0.25">
      <c r="A1313" t="s">
        <v>1359</v>
      </c>
      <c r="B1313" t="s">
        <v>27</v>
      </c>
      <c r="C1313" t="s">
        <v>31</v>
      </c>
      <c r="D1313" t="s">
        <v>42</v>
      </c>
      <c r="E1313" s="1">
        <v>45172</v>
      </c>
      <c r="F1313" s="1">
        <v>45175</v>
      </c>
      <c r="G1313" s="2">
        <v>7</v>
      </c>
      <c r="H1313" s="2">
        <v>204.47</v>
      </c>
      <c r="I1313" t="s">
        <v>15</v>
      </c>
      <c r="J1313" s="2">
        <v>1503</v>
      </c>
      <c r="K1313" s="2">
        <v>3</v>
      </c>
    </row>
    <row r="1314" spans="1:11" x14ac:dyDescent="0.25">
      <c r="A1314" t="s">
        <v>1360</v>
      </c>
      <c r="B1314" t="s">
        <v>56</v>
      </c>
      <c r="C1314" t="s">
        <v>52</v>
      </c>
      <c r="D1314" t="s">
        <v>37</v>
      </c>
      <c r="E1314" s="1">
        <v>45234</v>
      </c>
      <c r="F1314" s="1">
        <v>45238</v>
      </c>
      <c r="G1314" s="2">
        <v>25.6</v>
      </c>
      <c r="H1314" s="2">
        <v>270.11</v>
      </c>
      <c r="I1314" t="s">
        <v>15</v>
      </c>
      <c r="J1314" s="2">
        <v>1671</v>
      </c>
      <c r="K1314" s="2">
        <v>4</v>
      </c>
    </row>
    <row r="1315" spans="1:11" x14ac:dyDescent="0.25">
      <c r="A1315" t="s">
        <v>1361</v>
      </c>
      <c r="B1315" t="s">
        <v>30</v>
      </c>
      <c r="C1315" t="s">
        <v>21</v>
      </c>
      <c r="D1315" t="s">
        <v>25</v>
      </c>
      <c r="E1315" s="1">
        <v>45048</v>
      </c>
      <c r="F1315" s="1">
        <v>45055</v>
      </c>
      <c r="G1315" s="2">
        <v>16</v>
      </c>
      <c r="H1315" s="2">
        <v>322.60000000000002</v>
      </c>
      <c r="I1315" t="s">
        <v>15</v>
      </c>
      <c r="J1315" s="2">
        <v>2289</v>
      </c>
      <c r="K1315" s="2">
        <v>7</v>
      </c>
    </row>
    <row r="1316" spans="1:11" x14ac:dyDescent="0.25">
      <c r="A1316" t="s">
        <v>1362</v>
      </c>
      <c r="B1316" t="s">
        <v>39</v>
      </c>
      <c r="C1316" t="s">
        <v>52</v>
      </c>
      <c r="D1316" t="s">
        <v>18</v>
      </c>
      <c r="E1316" s="1">
        <v>45154</v>
      </c>
      <c r="F1316" s="1">
        <v>45161</v>
      </c>
      <c r="G1316" s="2">
        <v>9.6</v>
      </c>
      <c r="H1316" s="2">
        <v>248.88</v>
      </c>
      <c r="I1316" t="s">
        <v>15</v>
      </c>
      <c r="J1316" s="2">
        <v>1664</v>
      </c>
      <c r="K1316" s="2">
        <v>7</v>
      </c>
    </row>
    <row r="1317" spans="1:11" x14ac:dyDescent="0.25">
      <c r="A1317" t="s">
        <v>1363</v>
      </c>
      <c r="B1317" t="s">
        <v>23</v>
      </c>
      <c r="C1317" t="s">
        <v>21</v>
      </c>
      <c r="D1317" t="s">
        <v>37</v>
      </c>
      <c r="E1317" s="1">
        <v>45003</v>
      </c>
      <c r="F1317" s="1">
        <v>45005</v>
      </c>
      <c r="G1317" s="2">
        <v>28.8</v>
      </c>
      <c r="H1317" s="2">
        <v>93.05</v>
      </c>
      <c r="I1317" t="s">
        <v>60</v>
      </c>
      <c r="J1317" s="2">
        <v>499</v>
      </c>
      <c r="K1317" s="2">
        <v>2</v>
      </c>
    </row>
    <row r="1318" spans="1:11" x14ac:dyDescent="0.25">
      <c r="A1318" t="s">
        <v>1364</v>
      </c>
      <c r="B1318" t="s">
        <v>49</v>
      </c>
      <c r="C1318" t="s">
        <v>44</v>
      </c>
      <c r="D1318" t="s">
        <v>59</v>
      </c>
      <c r="E1318" s="1">
        <v>44957</v>
      </c>
      <c r="F1318" s="1">
        <v>44963</v>
      </c>
      <c r="G1318" s="2">
        <v>34.6</v>
      </c>
      <c r="H1318" s="2">
        <v>280.52999999999997</v>
      </c>
      <c r="I1318" t="s">
        <v>15</v>
      </c>
      <c r="J1318" s="2">
        <v>2109</v>
      </c>
      <c r="K1318" s="2">
        <v>6</v>
      </c>
    </row>
    <row r="1319" spans="1:11" x14ac:dyDescent="0.25">
      <c r="A1319" t="s">
        <v>1365</v>
      </c>
      <c r="B1319" t="s">
        <v>27</v>
      </c>
      <c r="C1319" t="s">
        <v>81</v>
      </c>
      <c r="D1319" t="s">
        <v>14</v>
      </c>
      <c r="E1319" s="1">
        <v>45028</v>
      </c>
      <c r="F1319" s="1">
        <v>45029</v>
      </c>
      <c r="G1319" s="2">
        <v>21</v>
      </c>
      <c r="H1319" s="2">
        <v>88.46</v>
      </c>
      <c r="I1319" t="s">
        <v>15</v>
      </c>
      <c r="J1319" s="2">
        <v>510</v>
      </c>
      <c r="K1319" s="2">
        <v>1</v>
      </c>
    </row>
    <row r="1320" spans="1:11" x14ac:dyDescent="0.25">
      <c r="A1320" t="s">
        <v>1366</v>
      </c>
      <c r="B1320" t="s">
        <v>35</v>
      </c>
      <c r="C1320" t="s">
        <v>24</v>
      </c>
      <c r="D1320" t="s">
        <v>59</v>
      </c>
      <c r="E1320" s="1">
        <v>45087</v>
      </c>
      <c r="F1320" s="1">
        <v>45093</v>
      </c>
      <c r="G1320" s="2">
        <v>16.899999999999999</v>
      </c>
      <c r="H1320" s="2">
        <v>281.93</v>
      </c>
      <c r="I1320" t="s">
        <v>15</v>
      </c>
      <c r="J1320" s="2">
        <v>2329</v>
      </c>
      <c r="K1320" s="2">
        <v>6</v>
      </c>
    </row>
    <row r="1321" spans="1:11" x14ac:dyDescent="0.25">
      <c r="A1321" t="s">
        <v>1367</v>
      </c>
      <c r="B1321" t="s">
        <v>35</v>
      </c>
      <c r="C1321" t="s">
        <v>21</v>
      </c>
      <c r="D1321" t="s">
        <v>14</v>
      </c>
      <c r="E1321" s="1">
        <v>45171</v>
      </c>
      <c r="F1321" s="1">
        <v>45176</v>
      </c>
      <c r="G1321" s="2">
        <v>21.6</v>
      </c>
      <c r="H1321" s="2">
        <v>251.91</v>
      </c>
      <c r="I1321" t="s">
        <v>15</v>
      </c>
      <c r="J1321" s="2">
        <v>2001</v>
      </c>
      <c r="K1321" s="2">
        <v>5</v>
      </c>
    </row>
    <row r="1322" spans="1:11" x14ac:dyDescent="0.25">
      <c r="A1322" t="s">
        <v>1368</v>
      </c>
      <c r="B1322" t="s">
        <v>20</v>
      </c>
      <c r="C1322" t="s">
        <v>40</v>
      </c>
      <c r="D1322" t="s">
        <v>37</v>
      </c>
      <c r="E1322" s="1">
        <v>45195</v>
      </c>
      <c r="F1322" s="1">
        <v>45196</v>
      </c>
      <c r="G1322" s="2">
        <v>11.8</v>
      </c>
      <c r="H1322" s="2">
        <v>45.15</v>
      </c>
      <c r="I1322" t="s">
        <v>62</v>
      </c>
      <c r="J1322" s="2">
        <v>278</v>
      </c>
      <c r="K1322" s="2">
        <v>1</v>
      </c>
    </row>
    <row r="1323" spans="1:11" x14ac:dyDescent="0.25">
      <c r="A1323" t="s">
        <v>1369</v>
      </c>
      <c r="B1323" t="s">
        <v>56</v>
      </c>
      <c r="C1323" t="s">
        <v>13</v>
      </c>
      <c r="D1323" t="s">
        <v>32</v>
      </c>
      <c r="E1323" s="1">
        <v>45289</v>
      </c>
      <c r="F1323" s="1">
        <v>45293</v>
      </c>
      <c r="G1323" s="2">
        <v>17.2</v>
      </c>
      <c r="H1323" s="2">
        <v>226.51</v>
      </c>
      <c r="I1323" t="s">
        <v>15</v>
      </c>
      <c r="J1323" s="2">
        <v>1179</v>
      </c>
      <c r="K1323" s="2">
        <v>4</v>
      </c>
    </row>
    <row r="1324" spans="1:11" x14ac:dyDescent="0.25">
      <c r="A1324" t="s">
        <v>1370</v>
      </c>
      <c r="B1324" t="s">
        <v>23</v>
      </c>
      <c r="C1324" t="s">
        <v>40</v>
      </c>
      <c r="D1324" t="s">
        <v>42</v>
      </c>
      <c r="E1324" s="1">
        <v>45168</v>
      </c>
      <c r="F1324" s="1">
        <v>45173</v>
      </c>
      <c r="G1324" s="2">
        <v>25.7</v>
      </c>
      <c r="H1324" s="2">
        <v>62.58</v>
      </c>
      <c r="I1324" t="s">
        <v>15</v>
      </c>
      <c r="J1324" s="2">
        <v>251</v>
      </c>
      <c r="K1324" s="2">
        <v>5</v>
      </c>
    </row>
    <row r="1325" spans="1:11" x14ac:dyDescent="0.25">
      <c r="A1325" t="s">
        <v>1371</v>
      </c>
      <c r="B1325" t="s">
        <v>49</v>
      </c>
      <c r="C1325" t="s">
        <v>40</v>
      </c>
      <c r="D1325" t="s">
        <v>14</v>
      </c>
      <c r="E1325" s="1">
        <v>44969</v>
      </c>
      <c r="F1325" s="1">
        <v>44984</v>
      </c>
      <c r="G1325" s="2">
        <v>48.2</v>
      </c>
      <c r="H1325" s="2">
        <v>79.739999999999995</v>
      </c>
      <c r="I1325" t="s">
        <v>47</v>
      </c>
      <c r="J1325" s="2">
        <v>205</v>
      </c>
      <c r="K1325" s="2">
        <v>2</v>
      </c>
    </row>
    <row r="1326" spans="1:11" x14ac:dyDescent="0.25">
      <c r="A1326" t="s">
        <v>1372</v>
      </c>
      <c r="B1326" t="s">
        <v>20</v>
      </c>
      <c r="C1326" t="s">
        <v>70</v>
      </c>
      <c r="D1326" t="s">
        <v>14</v>
      </c>
      <c r="E1326" s="1">
        <v>44954</v>
      </c>
      <c r="F1326" s="1">
        <v>44957</v>
      </c>
      <c r="G1326" s="2">
        <v>51.5</v>
      </c>
      <c r="H1326" s="2">
        <v>165.79</v>
      </c>
      <c r="I1326" t="s">
        <v>15</v>
      </c>
      <c r="J1326" s="2">
        <v>926</v>
      </c>
      <c r="K1326" s="2">
        <v>3</v>
      </c>
    </row>
    <row r="1327" spans="1:11" x14ac:dyDescent="0.25">
      <c r="A1327" t="s">
        <v>1373</v>
      </c>
      <c r="B1327" t="s">
        <v>27</v>
      </c>
      <c r="C1327" t="s">
        <v>40</v>
      </c>
      <c r="D1327" t="s">
        <v>25</v>
      </c>
      <c r="E1327" s="1">
        <v>45030</v>
      </c>
      <c r="F1327" s="1">
        <v>45033</v>
      </c>
      <c r="G1327" s="2">
        <v>26.6</v>
      </c>
      <c r="H1327" s="2">
        <v>68.27</v>
      </c>
      <c r="I1327" t="s">
        <v>67</v>
      </c>
      <c r="J1327" s="2">
        <v>365</v>
      </c>
      <c r="K1327" s="2">
        <v>3</v>
      </c>
    </row>
    <row r="1328" spans="1:11" x14ac:dyDescent="0.25">
      <c r="A1328" t="s">
        <v>1374</v>
      </c>
      <c r="B1328" t="s">
        <v>27</v>
      </c>
      <c r="C1328" t="s">
        <v>36</v>
      </c>
      <c r="D1328" t="s">
        <v>14</v>
      </c>
      <c r="E1328" s="1">
        <v>45015</v>
      </c>
      <c r="F1328" s="1">
        <v>45019</v>
      </c>
      <c r="G1328" s="2">
        <v>127</v>
      </c>
      <c r="H1328" s="2">
        <v>342.1</v>
      </c>
      <c r="I1328" t="s">
        <v>15</v>
      </c>
      <c r="J1328" s="2">
        <v>1334</v>
      </c>
      <c r="K1328" s="2">
        <v>4</v>
      </c>
    </row>
    <row r="1329" spans="1:11" x14ac:dyDescent="0.25">
      <c r="A1329" t="s">
        <v>1375</v>
      </c>
      <c r="B1329" t="s">
        <v>30</v>
      </c>
      <c r="C1329" t="s">
        <v>28</v>
      </c>
      <c r="D1329" t="s">
        <v>14</v>
      </c>
      <c r="E1329" s="1">
        <v>45027</v>
      </c>
      <c r="F1329" s="1">
        <v>45029</v>
      </c>
      <c r="G1329" s="2">
        <v>25.9</v>
      </c>
      <c r="H1329" s="2">
        <v>70.31</v>
      </c>
      <c r="I1329" t="s">
        <v>15</v>
      </c>
      <c r="J1329" s="2">
        <v>326</v>
      </c>
      <c r="K1329" s="2">
        <v>2</v>
      </c>
    </row>
    <row r="1330" spans="1:11" x14ac:dyDescent="0.25">
      <c r="A1330" t="s">
        <v>1376</v>
      </c>
      <c r="B1330" t="s">
        <v>23</v>
      </c>
      <c r="C1330" t="s">
        <v>24</v>
      </c>
      <c r="D1330" t="s">
        <v>25</v>
      </c>
      <c r="E1330" s="1">
        <v>44980</v>
      </c>
      <c r="F1330" s="1">
        <v>44987</v>
      </c>
      <c r="G1330" s="2">
        <v>13.2</v>
      </c>
      <c r="H1330" s="2">
        <v>300.36</v>
      </c>
      <c r="I1330" t="s">
        <v>15</v>
      </c>
      <c r="J1330" s="2">
        <v>2207</v>
      </c>
      <c r="K1330" s="2">
        <v>7</v>
      </c>
    </row>
    <row r="1331" spans="1:11" x14ac:dyDescent="0.25">
      <c r="A1331" t="s">
        <v>1377</v>
      </c>
      <c r="B1331" t="s">
        <v>49</v>
      </c>
      <c r="C1331" t="s">
        <v>21</v>
      </c>
      <c r="D1331" t="s">
        <v>25</v>
      </c>
      <c r="E1331" s="1">
        <v>45289</v>
      </c>
      <c r="F1331" s="1">
        <v>45292</v>
      </c>
      <c r="G1331" s="2">
        <v>14.2</v>
      </c>
      <c r="H1331" s="2">
        <v>109.64</v>
      </c>
      <c r="I1331" t="s">
        <v>15</v>
      </c>
      <c r="J1331" s="2">
        <v>656</v>
      </c>
      <c r="K1331" s="2">
        <v>3</v>
      </c>
    </row>
    <row r="1332" spans="1:11" x14ac:dyDescent="0.25">
      <c r="A1332" t="s">
        <v>1378</v>
      </c>
      <c r="B1332" t="s">
        <v>49</v>
      </c>
      <c r="C1332" t="s">
        <v>36</v>
      </c>
      <c r="D1332" t="s">
        <v>42</v>
      </c>
      <c r="E1332" s="1">
        <v>45103</v>
      </c>
      <c r="F1332" s="1">
        <v>45106</v>
      </c>
      <c r="G1332" s="2">
        <v>16.600000000000001</v>
      </c>
      <c r="H1332" s="2">
        <v>105.6</v>
      </c>
      <c r="I1332" t="s">
        <v>15</v>
      </c>
      <c r="J1332" s="2">
        <v>761</v>
      </c>
      <c r="K1332" s="2">
        <v>3</v>
      </c>
    </row>
    <row r="1333" spans="1:11" x14ac:dyDescent="0.25">
      <c r="A1333" t="s">
        <v>1379</v>
      </c>
      <c r="B1333" t="s">
        <v>51</v>
      </c>
      <c r="C1333" t="s">
        <v>21</v>
      </c>
      <c r="D1333" t="s">
        <v>32</v>
      </c>
      <c r="E1333" s="1">
        <v>44928</v>
      </c>
      <c r="F1333" s="1">
        <v>44933</v>
      </c>
      <c r="G1333" s="2">
        <v>17.8</v>
      </c>
      <c r="H1333" s="2">
        <v>196.28</v>
      </c>
      <c r="I1333" t="s">
        <v>15</v>
      </c>
      <c r="J1333" s="2">
        <v>1322</v>
      </c>
      <c r="K1333" s="2">
        <v>5</v>
      </c>
    </row>
    <row r="1334" spans="1:11" x14ac:dyDescent="0.25">
      <c r="A1334" t="s">
        <v>1380</v>
      </c>
      <c r="B1334" t="s">
        <v>20</v>
      </c>
      <c r="C1334" t="s">
        <v>21</v>
      </c>
      <c r="D1334" t="s">
        <v>18</v>
      </c>
      <c r="E1334" s="1">
        <v>45128</v>
      </c>
      <c r="F1334" s="1">
        <v>45134</v>
      </c>
      <c r="G1334" s="2">
        <v>57.2</v>
      </c>
      <c r="H1334" s="2">
        <v>339.55</v>
      </c>
      <c r="I1334" t="s">
        <v>15</v>
      </c>
      <c r="J1334" s="2">
        <v>1933</v>
      </c>
      <c r="K1334" s="2">
        <v>6</v>
      </c>
    </row>
    <row r="1335" spans="1:11" x14ac:dyDescent="0.25">
      <c r="A1335" t="s">
        <v>1381</v>
      </c>
      <c r="B1335" t="s">
        <v>35</v>
      </c>
      <c r="C1335" t="s">
        <v>13</v>
      </c>
      <c r="D1335" t="s">
        <v>37</v>
      </c>
      <c r="E1335" s="1">
        <v>45017</v>
      </c>
      <c r="G1335" s="2">
        <v>9</v>
      </c>
      <c r="H1335" s="2">
        <v>67.94</v>
      </c>
      <c r="I1335" t="s">
        <v>47</v>
      </c>
      <c r="J1335" s="2">
        <v>435</v>
      </c>
      <c r="K1335" s="2">
        <v>2</v>
      </c>
    </row>
    <row r="1336" spans="1:11" x14ac:dyDescent="0.25">
      <c r="A1336" t="s">
        <v>1382</v>
      </c>
      <c r="B1336" t="s">
        <v>35</v>
      </c>
      <c r="C1336" t="s">
        <v>52</v>
      </c>
      <c r="D1336" t="s">
        <v>18</v>
      </c>
      <c r="E1336" s="1">
        <v>45033</v>
      </c>
      <c r="F1336" s="1">
        <v>45038</v>
      </c>
      <c r="G1336" s="2">
        <v>52.4</v>
      </c>
      <c r="H1336" s="2">
        <v>339.51</v>
      </c>
      <c r="I1336" t="s">
        <v>15</v>
      </c>
      <c r="J1336" s="2">
        <v>1949</v>
      </c>
      <c r="K1336" s="2">
        <v>5</v>
      </c>
    </row>
    <row r="1337" spans="1:11" x14ac:dyDescent="0.25">
      <c r="A1337" t="s">
        <v>1383</v>
      </c>
      <c r="B1337" t="s">
        <v>20</v>
      </c>
      <c r="C1337" t="s">
        <v>81</v>
      </c>
      <c r="D1337" t="s">
        <v>42</v>
      </c>
      <c r="E1337" s="1">
        <v>45166</v>
      </c>
      <c r="F1337" s="1">
        <v>45172</v>
      </c>
      <c r="G1337" s="2">
        <v>20.5</v>
      </c>
      <c r="H1337" s="2">
        <v>105.64</v>
      </c>
      <c r="I1337" t="s">
        <v>15</v>
      </c>
      <c r="J1337" s="2">
        <v>638</v>
      </c>
      <c r="K1337" s="2">
        <v>6</v>
      </c>
    </row>
    <row r="1338" spans="1:11" x14ac:dyDescent="0.25">
      <c r="A1338" t="s">
        <v>1384</v>
      </c>
      <c r="B1338" t="s">
        <v>35</v>
      </c>
      <c r="C1338" t="s">
        <v>81</v>
      </c>
      <c r="D1338" t="s">
        <v>59</v>
      </c>
      <c r="E1338" s="1">
        <v>45148</v>
      </c>
      <c r="F1338" s="1">
        <v>45151</v>
      </c>
      <c r="G1338" s="2">
        <v>21.5</v>
      </c>
      <c r="H1338" s="2">
        <v>127.75</v>
      </c>
      <c r="I1338" t="s">
        <v>62</v>
      </c>
      <c r="J1338" s="2">
        <v>1000</v>
      </c>
      <c r="K1338" s="2">
        <v>3</v>
      </c>
    </row>
    <row r="1339" spans="1:11" x14ac:dyDescent="0.25">
      <c r="A1339" t="s">
        <v>1385</v>
      </c>
      <c r="B1339" t="s">
        <v>56</v>
      </c>
      <c r="C1339" t="s">
        <v>44</v>
      </c>
      <c r="D1339" t="s">
        <v>37</v>
      </c>
      <c r="E1339" s="1">
        <v>45270</v>
      </c>
      <c r="F1339" s="1">
        <v>45275</v>
      </c>
      <c r="G1339" s="2">
        <v>34.9</v>
      </c>
      <c r="H1339" s="2">
        <v>296.79000000000002</v>
      </c>
      <c r="I1339" t="s">
        <v>15</v>
      </c>
      <c r="J1339" s="2">
        <v>1876</v>
      </c>
      <c r="K1339" s="2">
        <v>5</v>
      </c>
    </row>
    <row r="1340" spans="1:11" x14ac:dyDescent="0.25">
      <c r="A1340" t="s">
        <v>1386</v>
      </c>
      <c r="B1340" t="s">
        <v>39</v>
      </c>
      <c r="C1340" t="s">
        <v>13</v>
      </c>
      <c r="D1340" t="s">
        <v>32</v>
      </c>
      <c r="E1340" s="1">
        <v>45217</v>
      </c>
      <c r="F1340" s="1">
        <v>45223</v>
      </c>
      <c r="G1340" s="2">
        <v>73</v>
      </c>
      <c r="H1340" s="2">
        <v>347.07</v>
      </c>
      <c r="I1340" t="s">
        <v>15</v>
      </c>
      <c r="J1340" s="2">
        <v>1762</v>
      </c>
      <c r="K1340" s="2">
        <v>6</v>
      </c>
    </row>
    <row r="1341" spans="1:11" x14ac:dyDescent="0.25">
      <c r="A1341" t="s">
        <v>1387</v>
      </c>
      <c r="B1341" t="s">
        <v>30</v>
      </c>
      <c r="C1341" t="s">
        <v>54</v>
      </c>
      <c r="D1341" t="s">
        <v>37</v>
      </c>
      <c r="E1341" s="1">
        <v>45195</v>
      </c>
      <c r="F1341" s="1">
        <v>45199</v>
      </c>
      <c r="G1341" s="2">
        <v>37.9</v>
      </c>
      <c r="H1341" s="2">
        <v>183.19</v>
      </c>
      <c r="I1341" t="s">
        <v>15</v>
      </c>
      <c r="J1341" s="2">
        <v>1274</v>
      </c>
      <c r="K1341" s="2">
        <v>4</v>
      </c>
    </row>
    <row r="1342" spans="1:11" x14ac:dyDescent="0.25">
      <c r="A1342" t="s">
        <v>1388</v>
      </c>
      <c r="B1342" t="s">
        <v>30</v>
      </c>
      <c r="C1342" t="s">
        <v>46</v>
      </c>
      <c r="D1342" t="s">
        <v>59</v>
      </c>
      <c r="E1342" s="1">
        <v>45279</v>
      </c>
      <c r="F1342" s="1">
        <v>45284</v>
      </c>
      <c r="G1342" s="2">
        <v>80.099999999999994</v>
      </c>
      <c r="H1342" s="2">
        <v>423.48</v>
      </c>
      <c r="I1342" t="s">
        <v>60</v>
      </c>
      <c r="J1342" s="2">
        <v>2412</v>
      </c>
      <c r="K1342" s="2">
        <v>5</v>
      </c>
    </row>
    <row r="1343" spans="1:11" x14ac:dyDescent="0.25">
      <c r="A1343" t="s">
        <v>1389</v>
      </c>
      <c r="B1343" t="s">
        <v>51</v>
      </c>
      <c r="C1343" t="s">
        <v>21</v>
      </c>
      <c r="D1343" t="s">
        <v>32</v>
      </c>
      <c r="E1343" s="1">
        <v>44994</v>
      </c>
      <c r="F1343" s="1">
        <v>44996</v>
      </c>
      <c r="G1343" s="2">
        <v>28.5</v>
      </c>
      <c r="H1343" s="2">
        <v>54.64</v>
      </c>
      <c r="I1343" t="s">
        <v>15</v>
      </c>
      <c r="J1343" s="2">
        <v>131</v>
      </c>
      <c r="K1343" s="2">
        <v>2</v>
      </c>
    </row>
    <row r="1344" spans="1:11" x14ac:dyDescent="0.25">
      <c r="A1344" t="s">
        <v>1390</v>
      </c>
      <c r="B1344" t="s">
        <v>23</v>
      </c>
      <c r="C1344" t="s">
        <v>57</v>
      </c>
      <c r="D1344" t="s">
        <v>37</v>
      </c>
      <c r="E1344" s="1">
        <v>44939</v>
      </c>
      <c r="F1344" s="1">
        <v>44945</v>
      </c>
      <c r="G1344" s="2">
        <v>27.9</v>
      </c>
      <c r="H1344" s="2">
        <v>311.69</v>
      </c>
      <c r="I1344" t="s">
        <v>15</v>
      </c>
      <c r="J1344" s="2">
        <v>2297</v>
      </c>
      <c r="K1344" s="2">
        <v>6</v>
      </c>
    </row>
    <row r="1345" spans="1:11" x14ac:dyDescent="0.25">
      <c r="A1345" t="s">
        <v>1391</v>
      </c>
      <c r="B1345" t="s">
        <v>49</v>
      </c>
      <c r="C1345" t="s">
        <v>17</v>
      </c>
      <c r="D1345" t="s">
        <v>32</v>
      </c>
      <c r="E1345" s="1">
        <v>45189</v>
      </c>
      <c r="F1345" s="1">
        <v>45195</v>
      </c>
      <c r="G1345" s="2">
        <v>11.9</v>
      </c>
      <c r="H1345" s="2">
        <v>263.5</v>
      </c>
      <c r="I1345" t="s">
        <v>15</v>
      </c>
      <c r="J1345" s="2">
        <v>1772</v>
      </c>
      <c r="K1345" s="2">
        <v>6</v>
      </c>
    </row>
    <row r="1346" spans="1:11" x14ac:dyDescent="0.25">
      <c r="A1346" t="s">
        <v>1392</v>
      </c>
      <c r="B1346" t="s">
        <v>23</v>
      </c>
      <c r="C1346" t="s">
        <v>40</v>
      </c>
      <c r="D1346" t="s">
        <v>59</v>
      </c>
      <c r="E1346" s="1">
        <v>45050</v>
      </c>
      <c r="F1346" s="1">
        <v>45056</v>
      </c>
      <c r="G1346" s="2">
        <v>18.7</v>
      </c>
      <c r="H1346" s="2">
        <v>264.01</v>
      </c>
      <c r="I1346" t="s">
        <v>15</v>
      </c>
      <c r="J1346" s="2">
        <v>2316</v>
      </c>
      <c r="K1346" s="2">
        <v>6</v>
      </c>
    </row>
    <row r="1347" spans="1:11" x14ac:dyDescent="0.25">
      <c r="A1347" t="s">
        <v>1393</v>
      </c>
      <c r="B1347" t="s">
        <v>51</v>
      </c>
      <c r="C1347" t="s">
        <v>44</v>
      </c>
      <c r="D1347" t="s">
        <v>59</v>
      </c>
      <c r="E1347" s="1">
        <v>45024</v>
      </c>
      <c r="F1347" s="1">
        <v>45027</v>
      </c>
      <c r="G1347" s="2">
        <v>26.3</v>
      </c>
      <c r="H1347" s="2">
        <v>113.91</v>
      </c>
      <c r="I1347" t="s">
        <v>15</v>
      </c>
      <c r="J1347" s="2">
        <v>790</v>
      </c>
      <c r="K1347" s="2">
        <v>3</v>
      </c>
    </row>
    <row r="1348" spans="1:11" x14ac:dyDescent="0.25">
      <c r="A1348" t="s">
        <v>1394</v>
      </c>
      <c r="B1348" t="s">
        <v>51</v>
      </c>
      <c r="C1348" t="s">
        <v>57</v>
      </c>
      <c r="D1348" t="s">
        <v>32</v>
      </c>
      <c r="E1348" s="1">
        <v>45128</v>
      </c>
      <c r="F1348" s="1">
        <v>45133</v>
      </c>
      <c r="G1348" s="2">
        <v>50.9</v>
      </c>
      <c r="H1348" s="2">
        <v>324.7</v>
      </c>
      <c r="I1348" t="s">
        <v>15</v>
      </c>
      <c r="J1348" s="2">
        <v>2180</v>
      </c>
      <c r="K1348" s="2">
        <v>5</v>
      </c>
    </row>
    <row r="1349" spans="1:11" x14ac:dyDescent="0.25">
      <c r="A1349" t="s">
        <v>1395</v>
      </c>
      <c r="B1349" t="s">
        <v>39</v>
      </c>
      <c r="C1349" t="s">
        <v>13</v>
      </c>
      <c r="D1349" t="s">
        <v>14</v>
      </c>
      <c r="E1349" s="1">
        <v>44987</v>
      </c>
      <c r="F1349" s="1">
        <v>44992</v>
      </c>
      <c r="G1349" s="2">
        <v>47.2</v>
      </c>
      <c r="H1349" s="2">
        <v>231.01</v>
      </c>
      <c r="I1349" t="s">
        <v>15</v>
      </c>
      <c r="J1349" s="2">
        <v>1362</v>
      </c>
      <c r="K1349" s="2">
        <v>5</v>
      </c>
    </row>
    <row r="1350" spans="1:11" x14ac:dyDescent="0.25">
      <c r="A1350" t="s">
        <v>1396</v>
      </c>
      <c r="B1350" t="s">
        <v>20</v>
      </c>
      <c r="C1350" t="s">
        <v>52</v>
      </c>
      <c r="D1350" t="s">
        <v>14</v>
      </c>
      <c r="E1350" s="1">
        <v>44935</v>
      </c>
      <c r="F1350" s="1">
        <v>44939</v>
      </c>
      <c r="G1350" s="2">
        <v>13</v>
      </c>
      <c r="H1350" s="2">
        <v>59.81</v>
      </c>
      <c r="I1350" t="s">
        <v>15</v>
      </c>
      <c r="J1350" s="2">
        <v>373</v>
      </c>
      <c r="K1350" s="2">
        <v>4</v>
      </c>
    </row>
    <row r="1351" spans="1:11" x14ac:dyDescent="0.25">
      <c r="A1351" t="s">
        <v>1397</v>
      </c>
      <c r="B1351" t="s">
        <v>20</v>
      </c>
      <c r="C1351" t="s">
        <v>44</v>
      </c>
      <c r="D1351" t="s">
        <v>42</v>
      </c>
      <c r="E1351" s="1">
        <v>45252</v>
      </c>
      <c r="F1351" s="1">
        <v>45257</v>
      </c>
      <c r="G1351" s="2">
        <v>43.7</v>
      </c>
      <c r="H1351" s="2">
        <v>283.67</v>
      </c>
      <c r="I1351" t="s">
        <v>15</v>
      </c>
      <c r="J1351" s="2">
        <v>1750</v>
      </c>
      <c r="K1351" s="2">
        <v>5</v>
      </c>
    </row>
    <row r="1352" spans="1:11" x14ac:dyDescent="0.25">
      <c r="A1352" t="s">
        <v>1398</v>
      </c>
      <c r="B1352" t="s">
        <v>20</v>
      </c>
      <c r="C1352" t="s">
        <v>81</v>
      </c>
      <c r="D1352" t="s">
        <v>18</v>
      </c>
      <c r="E1352" s="1">
        <v>45052</v>
      </c>
      <c r="F1352" s="1">
        <v>45055</v>
      </c>
      <c r="G1352" s="2">
        <v>4.0999999999999996</v>
      </c>
      <c r="H1352" s="2">
        <v>168.66</v>
      </c>
      <c r="I1352" t="s">
        <v>15</v>
      </c>
      <c r="J1352" s="2">
        <v>1178</v>
      </c>
      <c r="K1352" s="2">
        <v>3</v>
      </c>
    </row>
    <row r="1353" spans="1:11" x14ac:dyDescent="0.25">
      <c r="A1353" t="s">
        <v>1399</v>
      </c>
      <c r="B1353" t="s">
        <v>27</v>
      </c>
      <c r="C1353" t="s">
        <v>40</v>
      </c>
      <c r="D1353" t="s">
        <v>18</v>
      </c>
      <c r="E1353" s="1">
        <v>45023</v>
      </c>
      <c r="F1353" s="1">
        <v>45039</v>
      </c>
      <c r="G1353" s="2">
        <v>22.1</v>
      </c>
      <c r="H1353" s="2">
        <v>381.8</v>
      </c>
      <c r="I1353" t="s">
        <v>47</v>
      </c>
      <c r="J1353" s="2">
        <v>2348</v>
      </c>
      <c r="K1353" s="2">
        <v>7</v>
      </c>
    </row>
    <row r="1354" spans="1:11" x14ac:dyDescent="0.25">
      <c r="A1354" t="s">
        <v>1400</v>
      </c>
      <c r="B1354" t="s">
        <v>23</v>
      </c>
      <c r="C1354" t="s">
        <v>70</v>
      </c>
      <c r="D1354" t="s">
        <v>59</v>
      </c>
      <c r="E1354" s="1">
        <v>44927</v>
      </c>
      <c r="F1354" s="1">
        <v>44932</v>
      </c>
      <c r="G1354" s="2">
        <v>10.7</v>
      </c>
      <c r="H1354" s="2">
        <v>246.62</v>
      </c>
      <c r="I1354" t="s">
        <v>62</v>
      </c>
      <c r="J1354" s="2">
        <v>2185</v>
      </c>
      <c r="K1354" s="2">
        <v>5</v>
      </c>
    </row>
    <row r="1355" spans="1:11" x14ac:dyDescent="0.25">
      <c r="A1355" t="s">
        <v>1401</v>
      </c>
      <c r="B1355" t="s">
        <v>56</v>
      </c>
      <c r="C1355" t="s">
        <v>24</v>
      </c>
      <c r="D1355" t="s">
        <v>25</v>
      </c>
      <c r="E1355" s="1">
        <v>44977</v>
      </c>
      <c r="F1355" s="1">
        <v>44983</v>
      </c>
      <c r="G1355" s="2">
        <v>25.1</v>
      </c>
      <c r="H1355" s="2">
        <v>298.55</v>
      </c>
      <c r="I1355" t="s">
        <v>15</v>
      </c>
      <c r="J1355" s="2">
        <v>2095</v>
      </c>
      <c r="K1355" s="2">
        <v>6</v>
      </c>
    </row>
    <row r="1356" spans="1:11" x14ac:dyDescent="0.25">
      <c r="A1356" t="s">
        <v>1402</v>
      </c>
      <c r="B1356" t="s">
        <v>39</v>
      </c>
      <c r="C1356" t="s">
        <v>24</v>
      </c>
      <c r="D1356" t="s">
        <v>25</v>
      </c>
      <c r="E1356" s="1">
        <v>44955</v>
      </c>
      <c r="F1356" s="1">
        <v>44956</v>
      </c>
      <c r="G1356" s="2">
        <v>24.3</v>
      </c>
      <c r="H1356" s="2">
        <v>115.18</v>
      </c>
      <c r="I1356" t="s">
        <v>15</v>
      </c>
      <c r="J1356" s="2">
        <v>663</v>
      </c>
      <c r="K1356" s="2">
        <v>1</v>
      </c>
    </row>
    <row r="1357" spans="1:11" x14ac:dyDescent="0.25">
      <c r="A1357" t="s">
        <v>1403</v>
      </c>
      <c r="B1357" t="s">
        <v>12</v>
      </c>
      <c r="C1357" t="s">
        <v>81</v>
      </c>
      <c r="D1357" t="s">
        <v>59</v>
      </c>
      <c r="E1357" s="1">
        <v>45043</v>
      </c>
      <c r="F1357" s="1">
        <v>45048</v>
      </c>
      <c r="G1357" s="2">
        <v>8.6</v>
      </c>
      <c r="H1357" s="2">
        <v>232.52</v>
      </c>
      <c r="I1357" t="s">
        <v>15</v>
      </c>
      <c r="J1357" s="2">
        <v>2054</v>
      </c>
      <c r="K1357" s="2">
        <v>5</v>
      </c>
    </row>
    <row r="1358" spans="1:11" x14ac:dyDescent="0.25">
      <c r="A1358" t="s">
        <v>1404</v>
      </c>
      <c r="B1358" t="s">
        <v>49</v>
      </c>
      <c r="C1358" t="s">
        <v>24</v>
      </c>
      <c r="D1358" t="s">
        <v>42</v>
      </c>
      <c r="E1358" s="1">
        <v>45267</v>
      </c>
      <c r="F1358" s="1">
        <v>45273</v>
      </c>
      <c r="G1358" s="2">
        <v>5.3</v>
      </c>
      <c r="H1358" s="2">
        <v>325.32</v>
      </c>
      <c r="I1358" t="s">
        <v>15</v>
      </c>
      <c r="J1358" s="2">
        <v>2197</v>
      </c>
      <c r="K1358" s="2">
        <v>6</v>
      </c>
    </row>
    <row r="1359" spans="1:11" x14ac:dyDescent="0.25">
      <c r="A1359" t="s">
        <v>1405</v>
      </c>
      <c r="B1359" t="s">
        <v>35</v>
      </c>
      <c r="C1359" t="s">
        <v>57</v>
      </c>
      <c r="D1359" t="s">
        <v>42</v>
      </c>
      <c r="E1359" s="1">
        <v>44932</v>
      </c>
      <c r="F1359" s="1">
        <v>44938</v>
      </c>
      <c r="G1359" s="2">
        <v>5.7</v>
      </c>
      <c r="H1359" s="2">
        <v>29.11</v>
      </c>
      <c r="I1359" t="s">
        <v>15</v>
      </c>
      <c r="J1359" s="2">
        <v>2368</v>
      </c>
      <c r="K1359" s="2">
        <v>6</v>
      </c>
    </row>
    <row r="1360" spans="1:11" x14ac:dyDescent="0.25">
      <c r="A1360" t="s">
        <v>1406</v>
      </c>
      <c r="B1360" t="s">
        <v>23</v>
      </c>
      <c r="C1360" t="s">
        <v>44</v>
      </c>
      <c r="D1360" t="s">
        <v>59</v>
      </c>
      <c r="E1360" s="1">
        <v>44982</v>
      </c>
      <c r="F1360" s="1">
        <v>44988</v>
      </c>
      <c r="G1360" s="2">
        <v>29.3</v>
      </c>
      <c r="H1360" s="2">
        <v>277.17</v>
      </c>
      <c r="I1360" t="s">
        <v>15</v>
      </c>
      <c r="J1360" s="2">
        <v>1989</v>
      </c>
      <c r="K1360" s="2">
        <v>6</v>
      </c>
    </row>
    <row r="1361" spans="1:11" x14ac:dyDescent="0.25">
      <c r="A1361" t="s">
        <v>1407</v>
      </c>
      <c r="B1361" t="s">
        <v>20</v>
      </c>
      <c r="C1361" t="s">
        <v>40</v>
      </c>
      <c r="D1361" t="s">
        <v>14</v>
      </c>
      <c r="E1361" s="1">
        <v>45209</v>
      </c>
      <c r="F1361" s="1">
        <v>45220</v>
      </c>
      <c r="G1361" s="2">
        <v>47.8</v>
      </c>
      <c r="H1361" s="2">
        <v>169.45</v>
      </c>
      <c r="I1361" t="s">
        <v>47</v>
      </c>
      <c r="J1361" s="2">
        <v>845</v>
      </c>
      <c r="K1361" s="2">
        <v>5</v>
      </c>
    </row>
    <row r="1362" spans="1:11" x14ac:dyDescent="0.25">
      <c r="A1362" t="s">
        <v>1408</v>
      </c>
      <c r="B1362" t="s">
        <v>27</v>
      </c>
      <c r="C1362" t="s">
        <v>52</v>
      </c>
      <c r="D1362" t="s">
        <v>25</v>
      </c>
      <c r="E1362" s="1">
        <v>45185</v>
      </c>
      <c r="F1362" s="1">
        <v>45199</v>
      </c>
      <c r="G1362" s="2">
        <v>21.2</v>
      </c>
      <c r="H1362" s="2">
        <v>45.18</v>
      </c>
      <c r="I1362" t="s">
        <v>47</v>
      </c>
      <c r="J1362" s="2">
        <v>130</v>
      </c>
      <c r="K1362" s="2">
        <v>2</v>
      </c>
    </row>
    <row r="1363" spans="1:11" x14ac:dyDescent="0.25">
      <c r="A1363" t="s">
        <v>1409</v>
      </c>
      <c r="B1363" t="s">
        <v>39</v>
      </c>
      <c r="C1363" t="s">
        <v>52</v>
      </c>
      <c r="D1363" t="s">
        <v>42</v>
      </c>
      <c r="E1363" s="1">
        <v>45097</v>
      </c>
      <c r="F1363" s="1">
        <v>45100</v>
      </c>
      <c r="G1363" s="2">
        <v>20</v>
      </c>
      <c r="H1363" s="2">
        <v>134.57</v>
      </c>
      <c r="I1363" t="s">
        <v>60</v>
      </c>
      <c r="J1363" s="2">
        <v>1020</v>
      </c>
      <c r="K1363" s="2">
        <v>3</v>
      </c>
    </row>
    <row r="1364" spans="1:11" x14ac:dyDescent="0.25">
      <c r="A1364" t="s">
        <v>1410</v>
      </c>
      <c r="B1364" t="s">
        <v>49</v>
      </c>
      <c r="C1364" t="s">
        <v>36</v>
      </c>
      <c r="D1364" t="s">
        <v>59</v>
      </c>
      <c r="E1364" s="1">
        <v>45018</v>
      </c>
      <c r="F1364" s="1">
        <v>45023</v>
      </c>
      <c r="G1364" s="2">
        <v>8.4</v>
      </c>
      <c r="H1364" s="2">
        <v>83.54</v>
      </c>
      <c r="I1364" t="s">
        <v>15</v>
      </c>
      <c r="J1364" s="2">
        <v>598</v>
      </c>
      <c r="K1364" s="2">
        <v>5</v>
      </c>
    </row>
    <row r="1365" spans="1:11" x14ac:dyDescent="0.25">
      <c r="A1365" t="s">
        <v>1411</v>
      </c>
      <c r="B1365" t="s">
        <v>20</v>
      </c>
      <c r="C1365" t="s">
        <v>44</v>
      </c>
      <c r="D1365" t="s">
        <v>18</v>
      </c>
      <c r="E1365" s="1">
        <v>45053</v>
      </c>
      <c r="F1365" s="1">
        <v>45061</v>
      </c>
      <c r="G1365" s="2">
        <v>18.7</v>
      </c>
      <c r="H1365" s="2">
        <v>286.31</v>
      </c>
      <c r="I1365" t="s">
        <v>47</v>
      </c>
      <c r="J1365" s="2">
        <v>1743</v>
      </c>
      <c r="K1365" s="2">
        <v>5</v>
      </c>
    </row>
    <row r="1366" spans="1:11" x14ac:dyDescent="0.25">
      <c r="A1366" t="s">
        <v>1412</v>
      </c>
      <c r="B1366" t="s">
        <v>27</v>
      </c>
      <c r="C1366" t="s">
        <v>17</v>
      </c>
      <c r="D1366" t="s">
        <v>18</v>
      </c>
      <c r="E1366" s="1">
        <v>45203</v>
      </c>
      <c r="F1366" s="1">
        <v>45207</v>
      </c>
      <c r="G1366" s="2">
        <v>35.299999999999997</v>
      </c>
      <c r="H1366" s="2">
        <v>316.54000000000002</v>
      </c>
      <c r="I1366" t="s">
        <v>15</v>
      </c>
      <c r="J1366" s="2">
        <v>1866</v>
      </c>
      <c r="K1366" s="2">
        <v>4</v>
      </c>
    </row>
    <row r="1367" spans="1:11" x14ac:dyDescent="0.25">
      <c r="A1367" t="s">
        <v>1413</v>
      </c>
      <c r="B1367" t="s">
        <v>49</v>
      </c>
      <c r="C1367" t="s">
        <v>70</v>
      </c>
      <c r="D1367" t="s">
        <v>37</v>
      </c>
      <c r="E1367" s="1">
        <v>45287</v>
      </c>
      <c r="F1367" s="1">
        <v>45291</v>
      </c>
      <c r="G1367" s="2">
        <v>12.7</v>
      </c>
      <c r="H1367" s="2">
        <v>208.88</v>
      </c>
      <c r="I1367" t="s">
        <v>15</v>
      </c>
      <c r="J1367" s="2">
        <v>1413</v>
      </c>
      <c r="K1367" s="2">
        <v>4</v>
      </c>
    </row>
    <row r="1368" spans="1:11" x14ac:dyDescent="0.25">
      <c r="A1368" t="s">
        <v>1414</v>
      </c>
      <c r="B1368" t="s">
        <v>12</v>
      </c>
      <c r="C1368" t="s">
        <v>13</v>
      </c>
      <c r="D1368" t="s">
        <v>42</v>
      </c>
      <c r="E1368" s="1">
        <v>45222</v>
      </c>
      <c r="F1368" s="1">
        <v>45224</v>
      </c>
      <c r="G1368" s="2">
        <v>28</v>
      </c>
      <c r="H1368" s="2">
        <v>146.54</v>
      </c>
      <c r="I1368" t="s">
        <v>15</v>
      </c>
      <c r="J1368" s="2">
        <v>956</v>
      </c>
      <c r="K1368" s="2">
        <v>2</v>
      </c>
    </row>
    <row r="1369" spans="1:11" x14ac:dyDescent="0.25">
      <c r="A1369" t="s">
        <v>1415</v>
      </c>
      <c r="B1369" t="s">
        <v>56</v>
      </c>
      <c r="C1369" t="s">
        <v>31</v>
      </c>
      <c r="D1369" t="s">
        <v>32</v>
      </c>
      <c r="E1369" s="1">
        <v>45219</v>
      </c>
      <c r="F1369" s="1">
        <v>45223</v>
      </c>
      <c r="G1369" s="2">
        <v>12</v>
      </c>
      <c r="H1369" s="2">
        <v>210.09</v>
      </c>
      <c r="I1369" t="s">
        <v>15</v>
      </c>
      <c r="J1369" s="2">
        <v>1580</v>
      </c>
      <c r="K1369" s="2">
        <v>4</v>
      </c>
    </row>
    <row r="1370" spans="1:11" x14ac:dyDescent="0.25">
      <c r="A1370" t="s">
        <v>1416</v>
      </c>
      <c r="B1370" t="s">
        <v>51</v>
      </c>
      <c r="C1370" t="s">
        <v>57</v>
      </c>
      <c r="D1370" t="s">
        <v>59</v>
      </c>
      <c r="E1370" s="1">
        <v>45172</v>
      </c>
      <c r="F1370" s="1">
        <v>45176</v>
      </c>
      <c r="G1370" s="2">
        <v>15.1</v>
      </c>
      <c r="H1370" s="2">
        <v>152.29</v>
      </c>
      <c r="I1370" t="s">
        <v>15</v>
      </c>
      <c r="J1370" s="2">
        <v>1216</v>
      </c>
      <c r="K1370" s="2">
        <v>4</v>
      </c>
    </row>
    <row r="1371" spans="1:11" x14ac:dyDescent="0.25">
      <c r="A1371" t="s">
        <v>1417</v>
      </c>
      <c r="B1371" t="s">
        <v>23</v>
      </c>
      <c r="C1371" t="s">
        <v>28</v>
      </c>
      <c r="D1371" t="s">
        <v>32</v>
      </c>
      <c r="E1371" s="1">
        <v>44993</v>
      </c>
      <c r="F1371" s="1">
        <v>44999</v>
      </c>
      <c r="G1371" s="2">
        <v>28.6</v>
      </c>
      <c r="H1371" s="2">
        <v>328.6</v>
      </c>
      <c r="I1371" t="s">
        <v>15</v>
      </c>
      <c r="J1371" s="2">
        <v>2066</v>
      </c>
      <c r="K1371" s="2">
        <v>6</v>
      </c>
    </row>
    <row r="1372" spans="1:11" x14ac:dyDescent="0.25">
      <c r="A1372" t="s">
        <v>1418</v>
      </c>
      <c r="B1372" t="s">
        <v>51</v>
      </c>
      <c r="C1372" t="s">
        <v>70</v>
      </c>
      <c r="D1372" t="s">
        <v>25</v>
      </c>
      <c r="E1372" s="1">
        <v>45269</v>
      </c>
      <c r="F1372" s="1">
        <v>45272</v>
      </c>
      <c r="G1372" s="2">
        <v>40.9</v>
      </c>
      <c r="H1372" s="2">
        <v>186.93</v>
      </c>
      <c r="I1372" t="s">
        <v>60</v>
      </c>
      <c r="J1372" s="2">
        <v>855</v>
      </c>
      <c r="K1372" s="2">
        <v>3</v>
      </c>
    </row>
    <row r="1373" spans="1:11" x14ac:dyDescent="0.25">
      <c r="A1373" t="s">
        <v>1419</v>
      </c>
      <c r="B1373" t="s">
        <v>12</v>
      </c>
      <c r="C1373" t="s">
        <v>40</v>
      </c>
      <c r="D1373" t="s">
        <v>59</v>
      </c>
      <c r="E1373" s="1">
        <v>45129</v>
      </c>
      <c r="F1373" s="1">
        <v>45132</v>
      </c>
      <c r="G1373" s="2">
        <v>20.7</v>
      </c>
      <c r="H1373" s="2">
        <v>57.14</v>
      </c>
      <c r="I1373" t="s">
        <v>15</v>
      </c>
      <c r="J1373" s="2">
        <v>298</v>
      </c>
      <c r="K1373" s="2">
        <v>3</v>
      </c>
    </row>
    <row r="1374" spans="1:11" x14ac:dyDescent="0.25">
      <c r="A1374" t="s">
        <v>1420</v>
      </c>
      <c r="B1374" t="s">
        <v>12</v>
      </c>
      <c r="C1374" t="s">
        <v>21</v>
      </c>
      <c r="D1374" t="s">
        <v>59</v>
      </c>
      <c r="E1374" s="1">
        <v>45183</v>
      </c>
      <c r="F1374" s="1">
        <v>45193</v>
      </c>
      <c r="G1374" s="2">
        <v>67.2</v>
      </c>
      <c r="H1374" s="2">
        <v>359.97</v>
      </c>
      <c r="I1374" t="s">
        <v>60</v>
      </c>
      <c r="J1374" s="2">
        <v>2311</v>
      </c>
      <c r="K1374" s="2">
        <v>10</v>
      </c>
    </row>
    <row r="1375" spans="1:11" x14ac:dyDescent="0.25">
      <c r="A1375" t="s">
        <v>1421</v>
      </c>
      <c r="B1375" t="s">
        <v>30</v>
      </c>
      <c r="C1375" t="s">
        <v>52</v>
      </c>
      <c r="D1375" t="s">
        <v>32</v>
      </c>
      <c r="E1375" s="1">
        <v>45244</v>
      </c>
      <c r="F1375" s="1">
        <v>45247</v>
      </c>
      <c r="G1375" s="2">
        <v>35.200000000000003</v>
      </c>
      <c r="H1375" s="2">
        <v>87.57</v>
      </c>
      <c r="I1375" t="s">
        <v>15</v>
      </c>
      <c r="J1375" s="2">
        <v>214</v>
      </c>
      <c r="K1375" s="2">
        <v>3</v>
      </c>
    </row>
    <row r="1376" spans="1:11" x14ac:dyDescent="0.25">
      <c r="A1376" t="s">
        <v>1422</v>
      </c>
      <c r="B1376" t="s">
        <v>12</v>
      </c>
      <c r="C1376" t="s">
        <v>46</v>
      </c>
      <c r="D1376" t="s">
        <v>59</v>
      </c>
      <c r="E1376" s="1">
        <v>44949</v>
      </c>
      <c r="F1376" s="1">
        <v>44964</v>
      </c>
      <c r="G1376" s="2">
        <v>14.9</v>
      </c>
      <c r="H1376" s="2">
        <v>220.29</v>
      </c>
      <c r="I1376" t="s">
        <v>47</v>
      </c>
      <c r="J1376" s="2">
        <v>1859</v>
      </c>
      <c r="K1376" s="2">
        <v>5</v>
      </c>
    </row>
    <row r="1377" spans="1:11" x14ac:dyDescent="0.25">
      <c r="A1377" t="s">
        <v>1423</v>
      </c>
      <c r="B1377" t="s">
        <v>35</v>
      </c>
      <c r="C1377" t="s">
        <v>17</v>
      </c>
      <c r="D1377" t="s">
        <v>59</v>
      </c>
      <c r="E1377" s="1">
        <v>45050</v>
      </c>
      <c r="F1377" s="1">
        <v>45061</v>
      </c>
      <c r="G1377" s="2">
        <v>8.6</v>
      </c>
      <c r="H1377" s="2">
        <v>258.77999999999997</v>
      </c>
      <c r="I1377" t="s">
        <v>47</v>
      </c>
      <c r="J1377" s="2">
        <v>2199</v>
      </c>
      <c r="K1377" s="2">
        <v>5</v>
      </c>
    </row>
    <row r="1378" spans="1:11" x14ac:dyDescent="0.25">
      <c r="A1378" t="s">
        <v>1424</v>
      </c>
      <c r="B1378" t="s">
        <v>12</v>
      </c>
      <c r="C1378" t="s">
        <v>40</v>
      </c>
      <c r="D1378" t="s">
        <v>37</v>
      </c>
      <c r="E1378" s="1">
        <v>44993</v>
      </c>
      <c r="F1378" s="1">
        <v>44998</v>
      </c>
      <c r="G1378" s="2">
        <v>40.799999999999997</v>
      </c>
      <c r="H1378" s="2">
        <v>314.97000000000003</v>
      </c>
      <c r="I1378" t="s">
        <v>15</v>
      </c>
      <c r="J1378" s="2">
        <v>2330</v>
      </c>
      <c r="K1378" s="2">
        <v>5</v>
      </c>
    </row>
    <row r="1379" spans="1:11" x14ac:dyDescent="0.25">
      <c r="A1379" t="s">
        <v>1425</v>
      </c>
      <c r="B1379" t="s">
        <v>30</v>
      </c>
      <c r="C1379" t="s">
        <v>46</v>
      </c>
      <c r="D1379" t="s">
        <v>32</v>
      </c>
      <c r="E1379" s="1">
        <v>45289</v>
      </c>
      <c r="F1379" s="1">
        <v>45292</v>
      </c>
      <c r="G1379" s="2">
        <v>26.8</v>
      </c>
      <c r="H1379" s="2">
        <v>120.06</v>
      </c>
      <c r="I1379" t="s">
        <v>15</v>
      </c>
      <c r="J1379" s="2">
        <v>505</v>
      </c>
      <c r="K1379" s="2">
        <v>3</v>
      </c>
    </row>
    <row r="1380" spans="1:11" x14ac:dyDescent="0.25">
      <c r="A1380" t="s">
        <v>1426</v>
      </c>
      <c r="B1380" t="s">
        <v>12</v>
      </c>
      <c r="C1380" t="s">
        <v>46</v>
      </c>
      <c r="D1380" t="s">
        <v>25</v>
      </c>
      <c r="E1380" s="1">
        <v>45154</v>
      </c>
      <c r="F1380" s="1">
        <v>45159</v>
      </c>
      <c r="G1380" s="2">
        <v>12</v>
      </c>
      <c r="H1380" s="2">
        <v>190.22</v>
      </c>
      <c r="I1380" t="s">
        <v>67</v>
      </c>
      <c r="J1380" s="2">
        <v>1617</v>
      </c>
      <c r="K1380" s="2">
        <v>5</v>
      </c>
    </row>
    <row r="1381" spans="1:11" x14ac:dyDescent="0.25">
      <c r="A1381" t="s">
        <v>1427</v>
      </c>
      <c r="B1381" t="s">
        <v>56</v>
      </c>
      <c r="C1381" t="s">
        <v>31</v>
      </c>
      <c r="D1381" t="s">
        <v>14</v>
      </c>
      <c r="E1381" s="1">
        <v>45195</v>
      </c>
      <c r="F1381" s="1">
        <v>45199</v>
      </c>
      <c r="G1381" s="2">
        <v>54.5</v>
      </c>
      <c r="H1381" s="2">
        <v>215.64</v>
      </c>
      <c r="I1381" t="s">
        <v>15</v>
      </c>
      <c r="J1381" s="2">
        <v>1270</v>
      </c>
      <c r="K1381" s="2">
        <v>4</v>
      </c>
    </row>
    <row r="1382" spans="1:11" x14ac:dyDescent="0.25">
      <c r="A1382" t="s">
        <v>1428</v>
      </c>
      <c r="B1382" t="s">
        <v>56</v>
      </c>
      <c r="C1382" t="s">
        <v>17</v>
      </c>
      <c r="D1382" t="s">
        <v>37</v>
      </c>
      <c r="E1382" s="1">
        <v>45019</v>
      </c>
      <c r="F1382" s="1">
        <v>45023</v>
      </c>
      <c r="G1382" s="2">
        <v>43.5</v>
      </c>
      <c r="H1382" s="2">
        <v>288.61</v>
      </c>
      <c r="I1382" t="s">
        <v>15</v>
      </c>
      <c r="J1382" s="2">
        <v>2007</v>
      </c>
      <c r="K1382" s="2">
        <v>4</v>
      </c>
    </row>
    <row r="1383" spans="1:11" x14ac:dyDescent="0.25">
      <c r="A1383" t="s">
        <v>1429</v>
      </c>
      <c r="B1383" t="s">
        <v>35</v>
      </c>
      <c r="C1383" t="s">
        <v>81</v>
      </c>
      <c r="D1383" t="s">
        <v>59</v>
      </c>
      <c r="E1383" s="1">
        <v>45247</v>
      </c>
      <c r="F1383" s="1">
        <v>45251</v>
      </c>
      <c r="G1383" s="2">
        <v>12.5</v>
      </c>
      <c r="H1383" s="2">
        <v>159.22999999999999</v>
      </c>
      <c r="I1383" t="s">
        <v>15</v>
      </c>
      <c r="J1383" s="2">
        <v>1000</v>
      </c>
      <c r="K1383" s="2">
        <v>4</v>
      </c>
    </row>
    <row r="1384" spans="1:11" x14ac:dyDescent="0.25">
      <c r="A1384" t="s">
        <v>1430</v>
      </c>
      <c r="B1384" t="s">
        <v>20</v>
      </c>
      <c r="C1384" t="s">
        <v>31</v>
      </c>
      <c r="D1384" t="s">
        <v>59</v>
      </c>
      <c r="E1384" s="1">
        <v>45132</v>
      </c>
      <c r="F1384" s="1">
        <v>45141</v>
      </c>
      <c r="G1384" s="2">
        <v>4.3</v>
      </c>
      <c r="H1384" s="2">
        <v>17.89</v>
      </c>
      <c r="I1384" t="s">
        <v>47</v>
      </c>
      <c r="J1384" s="2">
        <v>105</v>
      </c>
      <c r="K1384" s="2">
        <v>4</v>
      </c>
    </row>
    <row r="1385" spans="1:11" x14ac:dyDescent="0.25">
      <c r="A1385" t="s">
        <v>1431</v>
      </c>
      <c r="B1385" t="s">
        <v>23</v>
      </c>
      <c r="C1385" t="s">
        <v>70</v>
      </c>
      <c r="D1385" t="s">
        <v>37</v>
      </c>
      <c r="E1385" s="1">
        <v>45046</v>
      </c>
      <c r="F1385" s="1">
        <v>45050</v>
      </c>
      <c r="G1385" s="2">
        <v>41.2</v>
      </c>
      <c r="H1385" s="2">
        <v>137.96</v>
      </c>
      <c r="I1385" t="s">
        <v>15</v>
      </c>
      <c r="J1385" s="2">
        <v>813</v>
      </c>
      <c r="K1385" s="2">
        <v>4</v>
      </c>
    </row>
    <row r="1386" spans="1:11" x14ac:dyDescent="0.25">
      <c r="A1386" t="s">
        <v>1432</v>
      </c>
      <c r="B1386" t="s">
        <v>23</v>
      </c>
      <c r="C1386" t="s">
        <v>44</v>
      </c>
      <c r="D1386" t="s">
        <v>42</v>
      </c>
      <c r="E1386" s="1">
        <v>44993</v>
      </c>
      <c r="F1386" s="1">
        <v>44999</v>
      </c>
      <c r="G1386" s="2">
        <v>18.3</v>
      </c>
      <c r="H1386" s="2">
        <v>232.16</v>
      </c>
      <c r="I1386" t="s">
        <v>15</v>
      </c>
      <c r="J1386" s="2">
        <v>1746</v>
      </c>
      <c r="K1386" s="2">
        <v>6</v>
      </c>
    </row>
    <row r="1387" spans="1:11" x14ac:dyDescent="0.25">
      <c r="A1387" t="s">
        <v>1433</v>
      </c>
      <c r="B1387" t="s">
        <v>27</v>
      </c>
      <c r="C1387" t="s">
        <v>17</v>
      </c>
      <c r="D1387" t="s">
        <v>25</v>
      </c>
      <c r="E1387" s="1">
        <v>44966</v>
      </c>
      <c r="F1387" s="1">
        <v>44971</v>
      </c>
      <c r="G1387" s="2">
        <v>25.8</v>
      </c>
      <c r="H1387" s="2">
        <v>276.98</v>
      </c>
      <c r="I1387" t="s">
        <v>15</v>
      </c>
      <c r="J1387" s="2">
        <v>1911</v>
      </c>
      <c r="K1387" s="2">
        <v>5</v>
      </c>
    </row>
    <row r="1388" spans="1:11" x14ac:dyDescent="0.25">
      <c r="A1388" t="s">
        <v>1434</v>
      </c>
      <c r="B1388" t="s">
        <v>49</v>
      </c>
      <c r="C1388" t="s">
        <v>81</v>
      </c>
      <c r="D1388" t="s">
        <v>42</v>
      </c>
      <c r="E1388" s="1">
        <v>45067</v>
      </c>
      <c r="F1388" s="1">
        <v>45073</v>
      </c>
      <c r="G1388" s="2">
        <v>6.5</v>
      </c>
      <c r="H1388" s="2">
        <v>206.26</v>
      </c>
      <c r="I1388" t="s">
        <v>15</v>
      </c>
      <c r="J1388" s="2">
        <v>1816</v>
      </c>
      <c r="K1388" s="2">
        <v>6</v>
      </c>
    </row>
    <row r="1389" spans="1:11" x14ac:dyDescent="0.25">
      <c r="A1389" t="s">
        <v>1435</v>
      </c>
      <c r="B1389" t="s">
        <v>49</v>
      </c>
      <c r="C1389" t="s">
        <v>46</v>
      </c>
      <c r="D1389" t="s">
        <v>25</v>
      </c>
      <c r="E1389" s="1">
        <v>45169</v>
      </c>
      <c r="F1389" s="1">
        <v>45185</v>
      </c>
      <c r="G1389" s="2">
        <v>15.5</v>
      </c>
      <c r="H1389" s="2">
        <v>191.24</v>
      </c>
      <c r="I1389" t="s">
        <v>47</v>
      </c>
      <c r="J1389" s="2">
        <v>1482</v>
      </c>
      <c r="K1389" s="2">
        <v>4</v>
      </c>
    </row>
    <row r="1390" spans="1:11" x14ac:dyDescent="0.25">
      <c r="A1390" t="s">
        <v>1436</v>
      </c>
      <c r="B1390" t="s">
        <v>56</v>
      </c>
      <c r="C1390" t="s">
        <v>52</v>
      </c>
      <c r="D1390" t="s">
        <v>18</v>
      </c>
      <c r="E1390" s="1">
        <v>45079</v>
      </c>
      <c r="F1390" s="1">
        <v>45081</v>
      </c>
      <c r="G1390" s="2">
        <v>23.6</v>
      </c>
      <c r="H1390" s="2">
        <v>159.12</v>
      </c>
      <c r="I1390" t="s">
        <v>15</v>
      </c>
      <c r="J1390" s="2">
        <v>998</v>
      </c>
      <c r="K1390" s="2">
        <v>2</v>
      </c>
    </row>
    <row r="1391" spans="1:11" x14ac:dyDescent="0.25">
      <c r="A1391" t="s">
        <v>1437</v>
      </c>
      <c r="B1391" t="s">
        <v>39</v>
      </c>
      <c r="C1391" t="s">
        <v>46</v>
      </c>
      <c r="D1391" t="s">
        <v>32</v>
      </c>
      <c r="E1391" s="1">
        <v>45049</v>
      </c>
      <c r="F1391" s="1">
        <v>45051</v>
      </c>
      <c r="G1391" s="2">
        <v>27.1</v>
      </c>
      <c r="H1391" s="2">
        <v>105.17</v>
      </c>
      <c r="I1391" t="s">
        <v>15</v>
      </c>
      <c r="J1391" s="2">
        <v>470</v>
      </c>
      <c r="K1391" s="2">
        <v>2</v>
      </c>
    </row>
    <row r="1392" spans="1:11" x14ac:dyDescent="0.25">
      <c r="A1392" t="s">
        <v>1438</v>
      </c>
      <c r="B1392" t="s">
        <v>27</v>
      </c>
      <c r="C1392" t="s">
        <v>54</v>
      </c>
      <c r="D1392" t="s">
        <v>14</v>
      </c>
      <c r="E1392" s="1">
        <v>45197</v>
      </c>
      <c r="F1392" s="1">
        <v>45202</v>
      </c>
      <c r="G1392" s="2">
        <v>19.7</v>
      </c>
      <c r="H1392" s="2">
        <v>305.45</v>
      </c>
      <c r="I1392" t="s">
        <v>15</v>
      </c>
      <c r="J1392" s="2">
        <v>2455</v>
      </c>
      <c r="K1392" s="2">
        <v>5</v>
      </c>
    </row>
    <row r="1393" spans="1:11" x14ac:dyDescent="0.25">
      <c r="A1393" t="s">
        <v>1439</v>
      </c>
      <c r="B1393" t="s">
        <v>23</v>
      </c>
      <c r="C1393" t="s">
        <v>17</v>
      </c>
      <c r="D1393" t="s">
        <v>42</v>
      </c>
      <c r="E1393" s="1">
        <v>44965</v>
      </c>
      <c r="F1393" s="1">
        <v>44968</v>
      </c>
      <c r="G1393" s="2">
        <v>31.2</v>
      </c>
      <c r="H1393" s="2">
        <v>114.2</v>
      </c>
      <c r="I1393" t="s">
        <v>15</v>
      </c>
      <c r="J1393" s="2">
        <v>559</v>
      </c>
      <c r="K1393" s="2">
        <v>3</v>
      </c>
    </row>
    <row r="1394" spans="1:11" x14ac:dyDescent="0.25">
      <c r="A1394" t="s">
        <v>1440</v>
      </c>
      <c r="B1394" t="s">
        <v>23</v>
      </c>
      <c r="C1394" t="s">
        <v>52</v>
      </c>
      <c r="D1394" t="s">
        <v>25</v>
      </c>
      <c r="E1394" s="1">
        <v>45078</v>
      </c>
      <c r="F1394" s="1">
        <v>45084</v>
      </c>
      <c r="G1394" s="2">
        <v>14.8</v>
      </c>
      <c r="H1394" s="2">
        <v>319.39</v>
      </c>
      <c r="I1394" t="s">
        <v>15</v>
      </c>
      <c r="J1394" s="2">
        <v>2384</v>
      </c>
      <c r="K1394" s="2">
        <v>6</v>
      </c>
    </row>
    <row r="1395" spans="1:11" x14ac:dyDescent="0.25">
      <c r="A1395" t="s">
        <v>1441</v>
      </c>
      <c r="B1395" t="s">
        <v>20</v>
      </c>
      <c r="C1395" t="s">
        <v>28</v>
      </c>
      <c r="D1395" t="s">
        <v>25</v>
      </c>
      <c r="E1395" s="1">
        <v>45291</v>
      </c>
      <c r="F1395" s="1">
        <v>45294</v>
      </c>
      <c r="G1395" s="2">
        <v>88</v>
      </c>
      <c r="H1395" s="2">
        <v>322.10000000000002</v>
      </c>
      <c r="I1395" t="s">
        <v>15</v>
      </c>
      <c r="J1395" s="2">
        <v>1435</v>
      </c>
      <c r="K1395" s="2">
        <v>3</v>
      </c>
    </row>
    <row r="1396" spans="1:11" x14ac:dyDescent="0.25">
      <c r="A1396" t="s">
        <v>1442</v>
      </c>
      <c r="B1396" t="s">
        <v>12</v>
      </c>
      <c r="C1396" t="s">
        <v>46</v>
      </c>
      <c r="D1396" t="s">
        <v>32</v>
      </c>
      <c r="E1396" s="1">
        <v>45256</v>
      </c>
      <c r="F1396" s="1">
        <v>45276</v>
      </c>
      <c r="G1396" s="2">
        <v>17.899999999999999</v>
      </c>
      <c r="H1396" s="2">
        <v>247.56</v>
      </c>
      <c r="I1396" t="s">
        <v>47</v>
      </c>
      <c r="J1396" s="2">
        <v>1525</v>
      </c>
      <c r="K1396" s="2">
        <v>10</v>
      </c>
    </row>
    <row r="1397" spans="1:11" x14ac:dyDescent="0.25">
      <c r="A1397" t="s">
        <v>1443</v>
      </c>
      <c r="B1397" t="s">
        <v>56</v>
      </c>
      <c r="C1397" t="s">
        <v>44</v>
      </c>
      <c r="D1397" t="s">
        <v>42</v>
      </c>
      <c r="E1397" s="1">
        <v>44951</v>
      </c>
      <c r="F1397" s="1">
        <v>44955</v>
      </c>
      <c r="G1397" s="2">
        <v>11</v>
      </c>
      <c r="H1397" s="2">
        <v>98.73</v>
      </c>
      <c r="I1397" t="s">
        <v>15</v>
      </c>
      <c r="J1397" s="2">
        <v>698</v>
      </c>
      <c r="K1397" s="2">
        <v>4</v>
      </c>
    </row>
    <row r="1398" spans="1:11" x14ac:dyDescent="0.25">
      <c r="A1398" t="s">
        <v>1444</v>
      </c>
      <c r="B1398" t="s">
        <v>23</v>
      </c>
      <c r="C1398" t="s">
        <v>81</v>
      </c>
      <c r="D1398" t="s">
        <v>37</v>
      </c>
      <c r="E1398" s="1">
        <v>45198</v>
      </c>
      <c r="F1398" s="1">
        <v>45207</v>
      </c>
      <c r="G1398" s="2">
        <v>16.3</v>
      </c>
      <c r="H1398" s="2">
        <v>247.24</v>
      </c>
      <c r="I1398" t="s">
        <v>47</v>
      </c>
      <c r="J1398" s="2">
        <v>1920</v>
      </c>
      <c r="K1398" s="2">
        <v>8</v>
      </c>
    </row>
    <row r="1399" spans="1:11" x14ac:dyDescent="0.25">
      <c r="A1399" t="s">
        <v>1445</v>
      </c>
      <c r="B1399" t="s">
        <v>23</v>
      </c>
      <c r="C1399" t="s">
        <v>36</v>
      </c>
      <c r="D1399" t="s">
        <v>42</v>
      </c>
      <c r="E1399" s="1">
        <v>45239</v>
      </c>
      <c r="F1399" s="1">
        <v>45242</v>
      </c>
      <c r="G1399" s="2">
        <v>32.700000000000003</v>
      </c>
      <c r="H1399" s="2">
        <v>180.59</v>
      </c>
      <c r="I1399" t="s">
        <v>15</v>
      </c>
      <c r="J1399" s="2">
        <v>958</v>
      </c>
      <c r="K1399" s="2">
        <v>3</v>
      </c>
    </row>
    <row r="1400" spans="1:11" x14ac:dyDescent="0.25">
      <c r="A1400" t="s">
        <v>1446</v>
      </c>
      <c r="B1400" t="s">
        <v>39</v>
      </c>
      <c r="C1400" t="s">
        <v>40</v>
      </c>
      <c r="D1400" t="s">
        <v>25</v>
      </c>
      <c r="E1400" s="1">
        <v>45217</v>
      </c>
      <c r="F1400" s="1">
        <v>45221</v>
      </c>
      <c r="G1400" s="2">
        <v>16.3</v>
      </c>
      <c r="H1400" s="2">
        <v>248.97</v>
      </c>
      <c r="I1400" t="s">
        <v>15</v>
      </c>
      <c r="J1400" s="2">
        <v>2057</v>
      </c>
      <c r="K1400" s="2">
        <v>4</v>
      </c>
    </row>
    <row r="1401" spans="1:11" x14ac:dyDescent="0.25">
      <c r="A1401" t="s">
        <v>1447</v>
      </c>
      <c r="B1401" t="s">
        <v>56</v>
      </c>
      <c r="C1401" t="s">
        <v>13</v>
      </c>
      <c r="D1401" t="s">
        <v>14</v>
      </c>
      <c r="E1401" s="1">
        <v>44930</v>
      </c>
      <c r="F1401" s="1">
        <v>44933</v>
      </c>
      <c r="G1401" s="2">
        <v>10.5</v>
      </c>
      <c r="H1401" s="2">
        <v>161.38</v>
      </c>
      <c r="I1401" t="s">
        <v>15</v>
      </c>
      <c r="J1401" s="2">
        <v>1148</v>
      </c>
      <c r="K1401" s="2">
        <v>3</v>
      </c>
    </row>
    <row r="1402" spans="1:11" x14ac:dyDescent="0.25">
      <c r="A1402" t="s">
        <v>1448</v>
      </c>
      <c r="B1402" t="s">
        <v>23</v>
      </c>
      <c r="C1402" t="s">
        <v>46</v>
      </c>
      <c r="D1402" t="s">
        <v>18</v>
      </c>
      <c r="E1402" s="1">
        <v>45128</v>
      </c>
      <c r="F1402" s="1">
        <v>45135</v>
      </c>
      <c r="G1402" s="2">
        <v>26.5</v>
      </c>
      <c r="H1402" s="2">
        <v>373.28</v>
      </c>
      <c r="I1402" t="s">
        <v>15</v>
      </c>
      <c r="J1402" s="2">
        <v>2221</v>
      </c>
      <c r="K1402" s="2">
        <v>7</v>
      </c>
    </row>
    <row r="1403" spans="1:11" x14ac:dyDescent="0.25">
      <c r="A1403" t="s">
        <v>1449</v>
      </c>
      <c r="B1403" t="s">
        <v>39</v>
      </c>
      <c r="C1403" t="s">
        <v>52</v>
      </c>
      <c r="D1403" t="s">
        <v>32</v>
      </c>
      <c r="E1403" s="1">
        <v>45109</v>
      </c>
      <c r="F1403" s="1">
        <v>45115</v>
      </c>
      <c r="G1403" s="2">
        <v>17.2</v>
      </c>
      <c r="H1403" s="2">
        <v>331.37</v>
      </c>
      <c r="I1403" t="s">
        <v>15</v>
      </c>
      <c r="J1403" s="2">
        <v>2287</v>
      </c>
      <c r="K1403" s="2">
        <v>6</v>
      </c>
    </row>
    <row r="1404" spans="1:11" x14ac:dyDescent="0.25">
      <c r="A1404" t="s">
        <v>1450</v>
      </c>
      <c r="B1404" t="s">
        <v>12</v>
      </c>
      <c r="C1404" t="s">
        <v>24</v>
      </c>
      <c r="D1404" t="s">
        <v>18</v>
      </c>
      <c r="E1404" s="1">
        <v>45157</v>
      </c>
      <c r="F1404" s="1">
        <v>45161</v>
      </c>
      <c r="G1404" s="2">
        <v>24.1</v>
      </c>
      <c r="H1404" s="2">
        <v>256.70999999999998</v>
      </c>
      <c r="I1404" t="s">
        <v>15</v>
      </c>
      <c r="J1404" s="2">
        <v>1807</v>
      </c>
      <c r="K1404" s="2">
        <v>4</v>
      </c>
    </row>
    <row r="1405" spans="1:11" x14ac:dyDescent="0.25">
      <c r="A1405" t="s">
        <v>1451</v>
      </c>
      <c r="B1405" t="s">
        <v>23</v>
      </c>
      <c r="C1405" t="s">
        <v>31</v>
      </c>
      <c r="D1405" t="s">
        <v>42</v>
      </c>
      <c r="E1405" s="1">
        <v>45086</v>
      </c>
      <c r="F1405" s="1">
        <v>45092</v>
      </c>
      <c r="G1405" s="2">
        <v>38.799999999999997</v>
      </c>
      <c r="H1405" s="2">
        <v>361.92</v>
      </c>
      <c r="I1405" t="s">
        <v>15</v>
      </c>
      <c r="J1405" s="2">
        <v>2362</v>
      </c>
      <c r="K1405" s="2">
        <v>6</v>
      </c>
    </row>
    <row r="1406" spans="1:11" x14ac:dyDescent="0.25">
      <c r="A1406" t="s">
        <v>1452</v>
      </c>
      <c r="B1406" t="s">
        <v>20</v>
      </c>
      <c r="C1406" t="s">
        <v>52</v>
      </c>
      <c r="D1406" t="s">
        <v>37</v>
      </c>
      <c r="E1406" s="1">
        <v>44977</v>
      </c>
      <c r="F1406" s="1">
        <v>44979</v>
      </c>
      <c r="G1406" s="2">
        <v>12.9</v>
      </c>
      <c r="H1406" s="2">
        <v>61</v>
      </c>
      <c r="I1406" t="s">
        <v>15</v>
      </c>
      <c r="J1406" s="2">
        <v>373</v>
      </c>
      <c r="K1406" s="2">
        <v>2</v>
      </c>
    </row>
    <row r="1407" spans="1:11" x14ac:dyDescent="0.25">
      <c r="A1407" t="s">
        <v>1453</v>
      </c>
      <c r="B1407" t="s">
        <v>49</v>
      </c>
      <c r="C1407" t="s">
        <v>52</v>
      </c>
      <c r="D1407" t="s">
        <v>37</v>
      </c>
      <c r="E1407" s="1">
        <v>45065</v>
      </c>
      <c r="F1407" s="1">
        <v>45067</v>
      </c>
      <c r="G1407" s="2">
        <v>20.3</v>
      </c>
      <c r="H1407" s="2">
        <v>86.78</v>
      </c>
      <c r="I1407" t="s">
        <v>15</v>
      </c>
      <c r="J1407" s="2">
        <v>544</v>
      </c>
      <c r="K1407" s="2">
        <v>2</v>
      </c>
    </row>
    <row r="1408" spans="1:11" x14ac:dyDescent="0.25">
      <c r="A1408" t="s">
        <v>1454</v>
      </c>
      <c r="B1408" t="s">
        <v>35</v>
      </c>
      <c r="C1408" t="s">
        <v>54</v>
      </c>
      <c r="D1408" t="s">
        <v>25</v>
      </c>
      <c r="E1408" s="1">
        <v>45152</v>
      </c>
      <c r="F1408" s="1">
        <v>45156</v>
      </c>
      <c r="G1408" s="2">
        <v>39.9</v>
      </c>
      <c r="H1408" s="2">
        <v>220.09</v>
      </c>
      <c r="I1408" t="s">
        <v>15</v>
      </c>
      <c r="J1408" s="2">
        <v>1350</v>
      </c>
      <c r="K1408" s="2">
        <v>4</v>
      </c>
    </row>
    <row r="1409" spans="1:11" x14ac:dyDescent="0.25">
      <c r="A1409" t="s">
        <v>1455</v>
      </c>
      <c r="B1409" t="s">
        <v>35</v>
      </c>
      <c r="C1409" t="s">
        <v>70</v>
      </c>
      <c r="D1409" t="s">
        <v>37</v>
      </c>
      <c r="E1409" s="1">
        <v>45214</v>
      </c>
      <c r="F1409" s="1">
        <v>45218</v>
      </c>
      <c r="G1409" s="2">
        <v>22</v>
      </c>
      <c r="H1409" s="2">
        <v>86.67</v>
      </c>
      <c r="I1409" t="s">
        <v>15</v>
      </c>
      <c r="J1409" s="2">
        <v>544</v>
      </c>
      <c r="K1409" s="2">
        <v>4</v>
      </c>
    </row>
    <row r="1410" spans="1:11" x14ac:dyDescent="0.25">
      <c r="A1410" t="s">
        <v>1456</v>
      </c>
      <c r="B1410" t="s">
        <v>56</v>
      </c>
      <c r="C1410" t="s">
        <v>70</v>
      </c>
      <c r="D1410" t="s">
        <v>37</v>
      </c>
      <c r="E1410" s="1">
        <v>45139</v>
      </c>
      <c r="F1410" s="1">
        <v>45141</v>
      </c>
      <c r="G1410" s="2">
        <v>20.8</v>
      </c>
      <c r="H1410" s="2">
        <v>99.54</v>
      </c>
      <c r="I1410" t="s">
        <v>15</v>
      </c>
      <c r="J1410" s="2">
        <v>637</v>
      </c>
      <c r="K1410" s="2">
        <v>2</v>
      </c>
    </row>
    <row r="1411" spans="1:11" x14ac:dyDescent="0.25">
      <c r="A1411" t="s">
        <v>1457</v>
      </c>
      <c r="B1411" t="s">
        <v>30</v>
      </c>
      <c r="C1411" t="s">
        <v>57</v>
      </c>
      <c r="D1411" t="s">
        <v>42</v>
      </c>
      <c r="E1411" s="1">
        <v>44948</v>
      </c>
      <c r="F1411" s="1">
        <v>44950</v>
      </c>
      <c r="G1411" s="2">
        <v>5.5</v>
      </c>
      <c r="H1411" s="2">
        <v>70.39</v>
      </c>
      <c r="I1411" t="s">
        <v>15</v>
      </c>
      <c r="J1411" s="2">
        <v>507</v>
      </c>
      <c r="K1411" s="2">
        <v>2</v>
      </c>
    </row>
    <row r="1412" spans="1:11" x14ac:dyDescent="0.25">
      <c r="A1412" t="s">
        <v>1458</v>
      </c>
      <c r="B1412" t="s">
        <v>56</v>
      </c>
      <c r="C1412" t="s">
        <v>17</v>
      </c>
      <c r="D1412" t="s">
        <v>14</v>
      </c>
      <c r="E1412" s="1">
        <v>45110</v>
      </c>
      <c r="F1412" s="1">
        <v>45117</v>
      </c>
      <c r="G1412" s="2">
        <v>14</v>
      </c>
      <c r="H1412" s="2">
        <v>260.56</v>
      </c>
      <c r="I1412" t="s">
        <v>15</v>
      </c>
      <c r="J1412" s="2">
        <v>2009</v>
      </c>
      <c r="K1412" s="2">
        <v>7</v>
      </c>
    </row>
    <row r="1413" spans="1:11" x14ac:dyDescent="0.25">
      <c r="A1413" t="s">
        <v>1459</v>
      </c>
      <c r="B1413" t="s">
        <v>56</v>
      </c>
      <c r="C1413" t="s">
        <v>31</v>
      </c>
      <c r="D1413" t="s">
        <v>42</v>
      </c>
      <c r="E1413" s="1">
        <v>45102</v>
      </c>
      <c r="F1413" s="1">
        <v>45112</v>
      </c>
      <c r="G1413" s="2">
        <v>12</v>
      </c>
      <c r="H1413" s="2">
        <v>113.5</v>
      </c>
      <c r="I1413" t="s">
        <v>47</v>
      </c>
      <c r="J1413" s="2">
        <v>852</v>
      </c>
      <c r="K1413" s="2">
        <v>3</v>
      </c>
    </row>
    <row r="1414" spans="1:11" x14ac:dyDescent="0.25">
      <c r="A1414" t="s">
        <v>1460</v>
      </c>
      <c r="B1414" t="s">
        <v>30</v>
      </c>
      <c r="C1414" t="s">
        <v>31</v>
      </c>
      <c r="D1414" t="s">
        <v>18</v>
      </c>
      <c r="E1414" s="1">
        <v>45032</v>
      </c>
      <c r="F1414" s="1">
        <v>45038</v>
      </c>
      <c r="G1414" s="2">
        <v>24.9</v>
      </c>
      <c r="H1414" s="2">
        <v>297.44</v>
      </c>
      <c r="I1414" t="s">
        <v>15</v>
      </c>
      <c r="J1414" s="2">
        <v>2010</v>
      </c>
      <c r="K1414" s="2">
        <v>6</v>
      </c>
    </row>
    <row r="1415" spans="1:11" x14ac:dyDescent="0.25">
      <c r="A1415" t="s">
        <v>1461</v>
      </c>
      <c r="B1415" t="s">
        <v>35</v>
      </c>
      <c r="C1415" t="s">
        <v>44</v>
      </c>
      <c r="D1415" t="s">
        <v>18</v>
      </c>
      <c r="E1415" s="1">
        <v>45044</v>
      </c>
      <c r="F1415" s="1">
        <v>45046</v>
      </c>
      <c r="G1415" s="2">
        <v>5.8</v>
      </c>
      <c r="H1415" s="2">
        <v>71.349999999999994</v>
      </c>
      <c r="I1415" t="s">
        <v>15</v>
      </c>
      <c r="J1415" s="2">
        <v>487</v>
      </c>
      <c r="K1415" s="2">
        <v>2</v>
      </c>
    </row>
    <row r="1416" spans="1:11" x14ac:dyDescent="0.25">
      <c r="A1416" t="s">
        <v>1462</v>
      </c>
      <c r="B1416" t="s">
        <v>12</v>
      </c>
      <c r="C1416" t="s">
        <v>36</v>
      </c>
      <c r="D1416" t="s">
        <v>32</v>
      </c>
      <c r="E1416" s="1">
        <v>45096</v>
      </c>
      <c r="F1416" s="1">
        <v>45100</v>
      </c>
      <c r="G1416" s="2">
        <v>20.399999999999999</v>
      </c>
      <c r="H1416" s="2">
        <v>211.34</v>
      </c>
      <c r="I1416" t="s">
        <v>15</v>
      </c>
      <c r="J1416" s="2">
        <v>1369</v>
      </c>
      <c r="K1416" s="2">
        <v>4</v>
      </c>
    </row>
    <row r="1417" spans="1:11" x14ac:dyDescent="0.25">
      <c r="A1417" t="s">
        <v>1463</v>
      </c>
      <c r="B1417" t="s">
        <v>27</v>
      </c>
      <c r="C1417" t="s">
        <v>44</v>
      </c>
      <c r="D1417" t="s">
        <v>18</v>
      </c>
      <c r="E1417" s="1">
        <v>45260</v>
      </c>
      <c r="F1417" s="1">
        <v>45267</v>
      </c>
      <c r="G1417" s="2">
        <v>38</v>
      </c>
      <c r="H1417" s="2">
        <v>286.58</v>
      </c>
      <c r="I1417" t="s">
        <v>15</v>
      </c>
      <c r="J1417" s="2">
        <v>1542</v>
      </c>
      <c r="K1417" s="2">
        <v>7</v>
      </c>
    </row>
    <row r="1418" spans="1:11" x14ac:dyDescent="0.25">
      <c r="A1418" t="s">
        <v>1464</v>
      </c>
      <c r="B1418" t="s">
        <v>39</v>
      </c>
      <c r="C1418" t="s">
        <v>36</v>
      </c>
      <c r="D1418" t="s">
        <v>18</v>
      </c>
      <c r="E1418" s="1">
        <v>45258</v>
      </c>
      <c r="F1418" s="1">
        <v>45264</v>
      </c>
      <c r="G1418" s="2">
        <v>18.7</v>
      </c>
      <c r="H1418" s="2">
        <v>326.89999999999998</v>
      </c>
      <c r="I1418" t="s">
        <v>15</v>
      </c>
      <c r="J1418" s="2">
        <v>1838</v>
      </c>
      <c r="K1418" s="2">
        <v>6</v>
      </c>
    </row>
    <row r="1419" spans="1:11" x14ac:dyDescent="0.25">
      <c r="A1419" t="s">
        <v>1465</v>
      </c>
      <c r="B1419" t="s">
        <v>20</v>
      </c>
      <c r="C1419" t="s">
        <v>81</v>
      </c>
      <c r="D1419" t="s">
        <v>25</v>
      </c>
      <c r="E1419" s="1">
        <v>45013</v>
      </c>
      <c r="F1419" s="1">
        <v>45016</v>
      </c>
      <c r="G1419" s="2">
        <v>13.7</v>
      </c>
      <c r="H1419" s="2">
        <v>175.73</v>
      </c>
      <c r="I1419" t="s">
        <v>15</v>
      </c>
      <c r="J1419" s="2">
        <v>1364</v>
      </c>
      <c r="K1419" s="2">
        <v>3</v>
      </c>
    </row>
    <row r="1420" spans="1:11" x14ac:dyDescent="0.25">
      <c r="A1420" t="s">
        <v>1466</v>
      </c>
      <c r="B1420" t="s">
        <v>49</v>
      </c>
      <c r="C1420" t="s">
        <v>17</v>
      </c>
      <c r="D1420" t="s">
        <v>18</v>
      </c>
      <c r="E1420" s="1">
        <v>45011</v>
      </c>
      <c r="F1420" s="1">
        <v>45014</v>
      </c>
      <c r="G1420" s="2">
        <v>38.700000000000003</v>
      </c>
      <c r="H1420" s="2">
        <v>77.84</v>
      </c>
      <c r="I1420" t="s">
        <v>15</v>
      </c>
      <c r="J1420" s="2">
        <v>173</v>
      </c>
      <c r="K1420" s="2">
        <v>3</v>
      </c>
    </row>
    <row r="1421" spans="1:11" x14ac:dyDescent="0.25">
      <c r="A1421" t="s">
        <v>1467</v>
      </c>
      <c r="B1421" t="s">
        <v>51</v>
      </c>
      <c r="C1421" t="s">
        <v>54</v>
      </c>
      <c r="D1421" t="s">
        <v>18</v>
      </c>
      <c r="E1421" s="1">
        <v>45213</v>
      </c>
      <c r="F1421" s="1">
        <v>45219</v>
      </c>
      <c r="G1421" s="2">
        <v>23.4</v>
      </c>
      <c r="H1421" s="2">
        <v>356.56</v>
      </c>
      <c r="I1421" t="s">
        <v>15</v>
      </c>
      <c r="J1421" s="2">
        <v>2343</v>
      </c>
      <c r="K1421" s="2">
        <v>6</v>
      </c>
    </row>
    <row r="1422" spans="1:11" x14ac:dyDescent="0.25">
      <c r="A1422" t="s">
        <v>1468</v>
      </c>
      <c r="B1422" t="s">
        <v>30</v>
      </c>
      <c r="C1422" t="s">
        <v>40</v>
      </c>
      <c r="D1422" t="s">
        <v>18</v>
      </c>
      <c r="E1422" s="1">
        <v>45254</v>
      </c>
      <c r="F1422" s="1">
        <v>45256</v>
      </c>
      <c r="G1422" s="2">
        <v>11.1</v>
      </c>
      <c r="H1422" s="2">
        <v>109.93</v>
      </c>
      <c r="I1422" t="s">
        <v>15</v>
      </c>
      <c r="J1422" s="2">
        <v>505</v>
      </c>
      <c r="K1422" s="2">
        <v>2</v>
      </c>
    </row>
    <row r="1423" spans="1:11" x14ac:dyDescent="0.25">
      <c r="A1423" t="s">
        <v>1469</v>
      </c>
      <c r="B1423" t="s">
        <v>49</v>
      </c>
      <c r="C1423" t="s">
        <v>57</v>
      </c>
      <c r="D1423" t="s">
        <v>42</v>
      </c>
      <c r="E1423" s="1">
        <v>45207</v>
      </c>
      <c r="F1423" s="1">
        <v>45208</v>
      </c>
      <c r="G1423" s="2">
        <v>30.6</v>
      </c>
      <c r="H1423" s="2">
        <v>62.81</v>
      </c>
      <c r="I1423" t="s">
        <v>15</v>
      </c>
      <c r="J1423" s="2">
        <v>206</v>
      </c>
      <c r="K1423" s="2">
        <v>1</v>
      </c>
    </row>
    <row r="1424" spans="1:11" x14ac:dyDescent="0.25">
      <c r="A1424" t="s">
        <v>1470</v>
      </c>
      <c r="B1424" t="s">
        <v>49</v>
      </c>
      <c r="C1424" t="s">
        <v>31</v>
      </c>
      <c r="D1424" t="s">
        <v>18</v>
      </c>
      <c r="E1424" s="1">
        <v>45280</v>
      </c>
      <c r="F1424" s="1">
        <v>45286</v>
      </c>
      <c r="G1424" s="2">
        <v>6.6</v>
      </c>
      <c r="H1424" s="2">
        <v>289.77</v>
      </c>
      <c r="I1424" t="s">
        <v>15</v>
      </c>
      <c r="J1424" s="2">
        <v>1656</v>
      </c>
      <c r="K1424" s="2">
        <v>6</v>
      </c>
    </row>
    <row r="1425" spans="1:11" x14ac:dyDescent="0.25">
      <c r="A1425" t="s">
        <v>1471</v>
      </c>
      <c r="B1425" t="s">
        <v>39</v>
      </c>
      <c r="C1425" t="s">
        <v>13</v>
      </c>
      <c r="D1425" t="s">
        <v>59</v>
      </c>
      <c r="E1425" s="1">
        <v>44955</v>
      </c>
      <c r="F1425" s="1">
        <v>44957</v>
      </c>
      <c r="G1425" s="2">
        <v>13.2</v>
      </c>
      <c r="H1425" s="2">
        <v>57.43</v>
      </c>
      <c r="I1425" t="s">
        <v>15</v>
      </c>
      <c r="J1425" s="2">
        <v>377</v>
      </c>
      <c r="K1425" s="2">
        <v>2</v>
      </c>
    </row>
    <row r="1426" spans="1:11" x14ac:dyDescent="0.25">
      <c r="A1426" t="s">
        <v>1472</v>
      </c>
      <c r="B1426" t="s">
        <v>27</v>
      </c>
      <c r="C1426" t="s">
        <v>28</v>
      </c>
      <c r="D1426" t="s">
        <v>25</v>
      </c>
      <c r="E1426" s="1">
        <v>45170</v>
      </c>
      <c r="F1426" s="1">
        <v>45175</v>
      </c>
      <c r="G1426" s="2">
        <v>34</v>
      </c>
      <c r="H1426" s="2">
        <v>255.91</v>
      </c>
      <c r="I1426" t="s">
        <v>15</v>
      </c>
      <c r="J1426" s="2">
        <v>1631</v>
      </c>
      <c r="K1426" s="2">
        <v>5</v>
      </c>
    </row>
    <row r="1427" spans="1:11" x14ac:dyDescent="0.25">
      <c r="A1427" t="s">
        <v>1473</v>
      </c>
      <c r="B1427" t="s">
        <v>30</v>
      </c>
      <c r="C1427" t="s">
        <v>81</v>
      </c>
      <c r="D1427" t="s">
        <v>32</v>
      </c>
      <c r="E1427" s="1">
        <v>45216</v>
      </c>
      <c r="F1427" s="1">
        <v>45218</v>
      </c>
      <c r="G1427" s="2">
        <v>11</v>
      </c>
      <c r="H1427" s="2">
        <v>68.25</v>
      </c>
      <c r="I1427" t="s">
        <v>67</v>
      </c>
      <c r="J1427" s="2">
        <v>403</v>
      </c>
      <c r="K1427" s="2">
        <v>2</v>
      </c>
    </row>
    <row r="1428" spans="1:11" x14ac:dyDescent="0.25">
      <c r="A1428" t="s">
        <v>1474</v>
      </c>
      <c r="B1428" t="s">
        <v>30</v>
      </c>
      <c r="C1428" t="s">
        <v>13</v>
      </c>
      <c r="D1428" t="s">
        <v>14</v>
      </c>
      <c r="E1428" s="1">
        <v>45148</v>
      </c>
      <c r="F1428" s="1">
        <v>45152</v>
      </c>
      <c r="G1428" s="2">
        <v>4.9000000000000004</v>
      </c>
      <c r="I1428" t="s">
        <v>15</v>
      </c>
      <c r="J1428" s="2">
        <v>1591</v>
      </c>
      <c r="K1428" s="2">
        <v>4</v>
      </c>
    </row>
    <row r="1429" spans="1:11" x14ac:dyDescent="0.25">
      <c r="A1429" t="s">
        <v>1475</v>
      </c>
      <c r="B1429" t="s">
        <v>35</v>
      </c>
      <c r="C1429" t="s">
        <v>17</v>
      </c>
      <c r="D1429" t="s">
        <v>18</v>
      </c>
      <c r="E1429" s="1">
        <v>44947</v>
      </c>
      <c r="F1429" s="1">
        <v>44950</v>
      </c>
      <c r="G1429" s="2">
        <v>19.8</v>
      </c>
      <c r="H1429" s="2">
        <v>117.68</v>
      </c>
      <c r="I1429" t="s">
        <v>15</v>
      </c>
      <c r="J1429" s="2">
        <v>611</v>
      </c>
      <c r="K1429" s="2">
        <v>3</v>
      </c>
    </row>
    <row r="1430" spans="1:11" x14ac:dyDescent="0.25">
      <c r="A1430" t="s">
        <v>1476</v>
      </c>
      <c r="B1430" t="s">
        <v>35</v>
      </c>
      <c r="C1430" t="s">
        <v>24</v>
      </c>
      <c r="D1430" t="s">
        <v>14</v>
      </c>
      <c r="E1430" s="1">
        <v>45082</v>
      </c>
      <c r="G1430" s="2">
        <v>17.7</v>
      </c>
      <c r="H1430" s="2">
        <v>258.44</v>
      </c>
      <c r="I1430" t="s">
        <v>15</v>
      </c>
      <c r="J1430" s="2">
        <v>1911</v>
      </c>
      <c r="K1430" s="2">
        <v>9</v>
      </c>
    </row>
    <row r="1431" spans="1:11" x14ac:dyDescent="0.25">
      <c r="A1431" t="s">
        <v>1477</v>
      </c>
      <c r="B1431" t="s">
        <v>27</v>
      </c>
      <c r="C1431" t="s">
        <v>44</v>
      </c>
      <c r="D1431" t="s">
        <v>42</v>
      </c>
      <c r="E1431" s="1">
        <v>45005</v>
      </c>
      <c r="F1431" s="1">
        <v>45009</v>
      </c>
      <c r="G1431" s="2">
        <v>42.4</v>
      </c>
      <c r="H1431" s="2">
        <v>171.56</v>
      </c>
      <c r="I1431" t="s">
        <v>15</v>
      </c>
      <c r="J1431" s="2">
        <v>1111</v>
      </c>
      <c r="K1431" s="2">
        <v>4</v>
      </c>
    </row>
    <row r="1432" spans="1:11" x14ac:dyDescent="0.25">
      <c r="A1432" t="s">
        <v>1478</v>
      </c>
      <c r="B1432" t="s">
        <v>35</v>
      </c>
      <c r="C1432" t="s">
        <v>24</v>
      </c>
      <c r="D1432" t="s">
        <v>42</v>
      </c>
      <c r="E1432" s="1">
        <v>45136</v>
      </c>
      <c r="F1432" s="1">
        <v>45139</v>
      </c>
      <c r="G1432" s="2">
        <v>14.5</v>
      </c>
      <c r="H1432" s="2">
        <v>160.16999999999999</v>
      </c>
      <c r="I1432" t="s">
        <v>15</v>
      </c>
      <c r="J1432" s="2">
        <v>1162</v>
      </c>
      <c r="K1432" s="2">
        <v>3</v>
      </c>
    </row>
    <row r="1433" spans="1:11" x14ac:dyDescent="0.25">
      <c r="A1433" t="s">
        <v>1479</v>
      </c>
      <c r="B1433" t="s">
        <v>20</v>
      </c>
      <c r="C1433" t="s">
        <v>21</v>
      </c>
      <c r="D1433" t="s">
        <v>25</v>
      </c>
      <c r="E1433" s="1">
        <v>45071</v>
      </c>
      <c r="F1433" s="1">
        <v>45072</v>
      </c>
      <c r="G1433" s="2">
        <v>30.6</v>
      </c>
      <c r="H1433" s="2">
        <v>48.89</v>
      </c>
      <c r="I1433" t="s">
        <v>15</v>
      </c>
      <c r="J1433" s="2">
        <v>146</v>
      </c>
      <c r="K1433" s="2">
        <v>1</v>
      </c>
    </row>
    <row r="1434" spans="1:11" x14ac:dyDescent="0.25">
      <c r="A1434" t="s">
        <v>1480</v>
      </c>
      <c r="B1434" t="s">
        <v>39</v>
      </c>
      <c r="C1434" t="s">
        <v>21</v>
      </c>
      <c r="D1434" t="s">
        <v>42</v>
      </c>
      <c r="E1434" s="1">
        <v>45143</v>
      </c>
      <c r="F1434" s="1">
        <v>45147</v>
      </c>
      <c r="G1434" s="2">
        <v>11.3</v>
      </c>
      <c r="H1434" s="2">
        <v>181.83</v>
      </c>
      <c r="I1434" t="s">
        <v>62</v>
      </c>
      <c r="J1434" s="2">
        <v>1541</v>
      </c>
      <c r="K1434" s="2">
        <v>4</v>
      </c>
    </row>
    <row r="1435" spans="1:11" x14ac:dyDescent="0.25">
      <c r="A1435" t="s">
        <v>1481</v>
      </c>
      <c r="B1435" t="s">
        <v>35</v>
      </c>
      <c r="C1435" t="s">
        <v>17</v>
      </c>
      <c r="D1435" t="s">
        <v>42</v>
      </c>
      <c r="E1435" s="1">
        <v>44971</v>
      </c>
      <c r="F1435" s="1">
        <v>44975</v>
      </c>
      <c r="G1435" s="2">
        <v>12.1</v>
      </c>
      <c r="H1435" s="2">
        <v>228.01</v>
      </c>
      <c r="I1435" t="s">
        <v>67</v>
      </c>
      <c r="J1435" s="2">
        <v>1865</v>
      </c>
      <c r="K1435" s="2">
        <v>4</v>
      </c>
    </row>
    <row r="1436" spans="1:11" x14ac:dyDescent="0.25">
      <c r="A1436" t="s">
        <v>1482</v>
      </c>
      <c r="B1436" t="s">
        <v>56</v>
      </c>
      <c r="C1436" t="s">
        <v>70</v>
      </c>
      <c r="D1436" t="s">
        <v>25</v>
      </c>
      <c r="E1436" s="1">
        <v>45035</v>
      </c>
      <c r="F1436" s="1">
        <v>45050</v>
      </c>
      <c r="G1436" s="2">
        <v>10.199999999999999</v>
      </c>
      <c r="H1436" s="2">
        <v>201.85</v>
      </c>
      <c r="I1436" t="s">
        <v>47</v>
      </c>
      <c r="J1436" s="2">
        <v>1659</v>
      </c>
      <c r="K1436" s="2">
        <v>5</v>
      </c>
    </row>
    <row r="1437" spans="1:11" x14ac:dyDescent="0.25">
      <c r="A1437" t="s">
        <v>1483</v>
      </c>
      <c r="B1437" t="s">
        <v>56</v>
      </c>
      <c r="C1437" t="s">
        <v>46</v>
      </c>
      <c r="D1437" t="s">
        <v>18</v>
      </c>
      <c r="E1437" s="1">
        <v>45034</v>
      </c>
      <c r="F1437" s="1">
        <v>45038</v>
      </c>
      <c r="G1437" s="2">
        <v>10.4</v>
      </c>
      <c r="H1437" s="2">
        <v>266.13</v>
      </c>
      <c r="I1437" t="s">
        <v>15</v>
      </c>
      <c r="J1437" s="2">
        <v>1924</v>
      </c>
      <c r="K1437" s="2">
        <v>4</v>
      </c>
    </row>
    <row r="1438" spans="1:11" x14ac:dyDescent="0.25">
      <c r="A1438" t="s">
        <v>1484</v>
      </c>
      <c r="B1438" t="s">
        <v>23</v>
      </c>
      <c r="C1438" t="s">
        <v>57</v>
      </c>
      <c r="D1438" t="s">
        <v>18</v>
      </c>
      <c r="E1438" s="1">
        <v>44975</v>
      </c>
      <c r="F1438" s="1">
        <v>44985</v>
      </c>
      <c r="G1438" s="2">
        <v>19.100000000000001</v>
      </c>
      <c r="H1438" s="2">
        <v>70.45</v>
      </c>
      <c r="I1438" t="s">
        <v>47</v>
      </c>
      <c r="J1438" s="2">
        <v>302</v>
      </c>
      <c r="K1438" s="2">
        <v>2</v>
      </c>
    </row>
    <row r="1439" spans="1:11" x14ac:dyDescent="0.25">
      <c r="A1439" t="s">
        <v>1485</v>
      </c>
      <c r="B1439" t="s">
        <v>23</v>
      </c>
      <c r="C1439" t="s">
        <v>46</v>
      </c>
      <c r="D1439" t="s">
        <v>59</v>
      </c>
      <c r="E1439" s="1">
        <v>44931</v>
      </c>
      <c r="F1439" s="1">
        <v>44935</v>
      </c>
      <c r="G1439" s="2">
        <v>111</v>
      </c>
      <c r="H1439" s="2">
        <v>301.2</v>
      </c>
      <c r="I1439" t="s">
        <v>15</v>
      </c>
      <c r="J1439" s="2">
        <v>1782</v>
      </c>
      <c r="K1439" s="2">
        <v>4</v>
      </c>
    </row>
    <row r="1440" spans="1:11" x14ac:dyDescent="0.25">
      <c r="A1440" t="s">
        <v>1486</v>
      </c>
      <c r="B1440" t="s">
        <v>39</v>
      </c>
      <c r="C1440" t="s">
        <v>13</v>
      </c>
      <c r="D1440" t="s">
        <v>37</v>
      </c>
      <c r="E1440" s="1">
        <v>45065</v>
      </c>
      <c r="F1440" s="1">
        <v>45068</v>
      </c>
      <c r="G1440" s="2">
        <v>47.3</v>
      </c>
      <c r="H1440" s="2">
        <v>144.28</v>
      </c>
      <c r="I1440" t="s">
        <v>60</v>
      </c>
      <c r="J1440" s="2">
        <v>854</v>
      </c>
      <c r="K1440" s="2">
        <v>3</v>
      </c>
    </row>
    <row r="1441" spans="1:11" x14ac:dyDescent="0.25">
      <c r="A1441" t="s">
        <v>1487</v>
      </c>
      <c r="B1441" t="s">
        <v>35</v>
      </c>
      <c r="C1441" t="s">
        <v>36</v>
      </c>
      <c r="D1441" t="s">
        <v>42</v>
      </c>
      <c r="E1441" s="1">
        <v>44937</v>
      </c>
      <c r="F1441" s="1">
        <v>44943</v>
      </c>
      <c r="G1441" s="2">
        <v>24.2</v>
      </c>
      <c r="H1441" s="2">
        <v>314.11</v>
      </c>
      <c r="I1441" t="s">
        <v>15</v>
      </c>
      <c r="J1441" s="2">
        <v>2469</v>
      </c>
      <c r="K1441" s="2">
        <v>6</v>
      </c>
    </row>
    <row r="1442" spans="1:11" x14ac:dyDescent="0.25">
      <c r="A1442" t="s">
        <v>1488</v>
      </c>
      <c r="B1442" t="s">
        <v>49</v>
      </c>
      <c r="C1442" t="s">
        <v>28</v>
      </c>
      <c r="D1442" t="s">
        <v>14</v>
      </c>
      <c r="E1442" s="1">
        <v>44954</v>
      </c>
      <c r="F1442" s="1">
        <v>44955</v>
      </c>
      <c r="G1442" s="2">
        <v>7.7</v>
      </c>
      <c r="H1442" s="2">
        <v>30.59</v>
      </c>
      <c r="I1442" t="s">
        <v>62</v>
      </c>
      <c r="J1442" s="2">
        <v>166</v>
      </c>
      <c r="K1442" s="2">
        <v>1</v>
      </c>
    </row>
    <row r="1443" spans="1:11" x14ac:dyDescent="0.25">
      <c r="A1443" t="s">
        <v>1489</v>
      </c>
      <c r="B1443" t="s">
        <v>35</v>
      </c>
      <c r="C1443" t="s">
        <v>13</v>
      </c>
      <c r="D1443" t="s">
        <v>37</v>
      </c>
      <c r="E1443" s="1">
        <v>45219</v>
      </c>
      <c r="F1443" s="1">
        <v>45224</v>
      </c>
      <c r="G1443" s="2">
        <v>67.2</v>
      </c>
      <c r="H1443" s="2">
        <v>183.1</v>
      </c>
      <c r="I1443" t="s">
        <v>15</v>
      </c>
      <c r="J1443" s="2">
        <v>794</v>
      </c>
      <c r="K1443" s="2">
        <v>5</v>
      </c>
    </row>
    <row r="1444" spans="1:11" x14ac:dyDescent="0.25">
      <c r="A1444" t="s">
        <v>1490</v>
      </c>
      <c r="B1444" t="s">
        <v>39</v>
      </c>
      <c r="C1444" t="s">
        <v>36</v>
      </c>
      <c r="D1444" t="s">
        <v>32</v>
      </c>
      <c r="E1444" s="1">
        <v>44993</v>
      </c>
      <c r="F1444" s="1">
        <v>44994</v>
      </c>
      <c r="G1444" s="2">
        <v>5.8</v>
      </c>
      <c r="H1444" s="2">
        <v>83.76</v>
      </c>
      <c r="I1444" t="s">
        <v>60</v>
      </c>
      <c r="J1444" s="2">
        <v>528</v>
      </c>
      <c r="K1444" s="2">
        <v>1</v>
      </c>
    </row>
    <row r="1445" spans="1:11" x14ac:dyDescent="0.25">
      <c r="A1445" t="s">
        <v>1491</v>
      </c>
      <c r="B1445" t="s">
        <v>27</v>
      </c>
      <c r="C1445" t="s">
        <v>57</v>
      </c>
      <c r="D1445" t="s">
        <v>59</v>
      </c>
      <c r="E1445" s="1">
        <v>45033</v>
      </c>
      <c r="F1445" s="1">
        <v>45039</v>
      </c>
      <c r="G1445" s="2">
        <v>11.5</v>
      </c>
      <c r="H1445" s="2">
        <v>219.67</v>
      </c>
      <c r="I1445" t="s">
        <v>15</v>
      </c>
      <c r="J1445" s="2">
        <v>1908</v>
      </c>
      <c r="K1445" s="2">
        <v>6</v>
      </c>
    </row>
    <row r="1446" spans="1:11" x14ac:dyDescent="0.25">
      <c r="A1446" t="s">
        <v>1492</v>
      </c>
      <c r="B1446" t="s">
        <v>30</v>
      </c>
      <c r="C1446" t="s">
        <v>52</v>
      </c>
      <c r="D1446" t="s">
        <v>25</v>
      </c>
      <c r="E1446" s="1">
        <v>45037</v>
      </c>
      <c r="F1446" s="1">
        <v>45053</v>
      </c>
      <c r="G1446" s="2">
        <v>41.9</v>
      </c>
      <c r="H1446" s="2">
        <v>260.33</v>
      </c>
      <c r="I1446" t="s">
        <v>47</v>
      </c>
      <c r="J1446" s="2">
        <v>1800</v>
      </c>
      <c r="K1446" s="2">
        <v>4</v>
      </c>
    </row>
    <row r="1447" spans="1:11" x14ac:dyDescent="0.25">
      <c r="A1447" t="s">
        <v>1493</v>
      </c>
      <c r="B1447" t="s">
        <v>51</v>
      </c>
      <c r="C1447" t="s">
        <v>81</v>
      </c>
      <c r="D1447" t="s">
        <v>32</v>
      </c>
      <c r="E1447" s="1">
        <v>45132</v>
      </c>
      <c r="F1447" s="1">
        <v>45134</v>
      </c>
      <c r="G1447" s="2">
        <v>22.9</v>
      </c>
      <c r="H1447" s="2">
        <v>123.35</v>
      </c>
      <c r="I1447" t="s">
        <v>15</v>
      </c>
      <c r="J1447" s="2">
        <v>713</v>
      </c>
      <c r="K1447" s="2">
        <v>2</v>
      </c>
    </row>
    <row r="1448" spans="1:11" x14ac:dyDescent="0.25">
      <c r="A1448" t="s">
        <v>1494</v>
      </c>
      <c r="B1448" t="s">
        <v>23</v>
      </c>
      <c r="C1448" t="s">
        <v>81</v>
      </c>
      <c r="D1448" t="s">
        <v>32</v>
      </c>
      <c r="E1448" s="1">
        <v>45059</v>
      </c>
      <c r="F1448" s="1">
        <v>45062</v>
      </c>
      <c r="G1448" s="2">
        <v>30.6</v>
      </c>
      <c r="H1448" s="2">
        <v>83.44</v>
      </c>
      <c r="I1448" t="s">
        <v>15</v>
      </c>
      <c r="J1448" s="2">
        <v>306</v>
      </c>
      <c r="K1448" s="2">
        <v>3</v>
      </c>
    </row>
    <row r="1449" spans="1:11" x14ac:dyDescent="0.25">
      <c r="A1449" t="s">
        <v>1495</v>
      </c>
      <c r="B1449" t="s">
        <v>51</v>
      </c>
      <c r="C1449" t="s">
        <v>13</v>
      </c>
      <c r="D1449" t="s">
        <v>42</v>
      </c>
      <c r="E1449" s="1">
        <v>45115</v>
      </c>
      <c r="F1449" s="1">
        <v>45118</v>
      </c>
      <c r="G1449" s="2">
        <v>41.7</v>
      </c>
      <c r="H1449" s="2">
        <v>91.23</v>
      </c>
      <c r="I1449" t="s">
        <v>15</v>
      </c>
      <c r="J1449" s="2">
        <v>302</v>
      </c>
      <c r="K1449" s="2">
        <v>3</v>
      </c>
    </row>
    <row r="1450" spans="1:11" x14ac:dyDescent="0.25">
      <c r="A1450" t="s">
        <v>1496</v>
      </c>
      <c r="B1450" t="s">
        <v>35</v>
      </c>
      <c r="C1450" t="s">
        <v>21</v>
      </c>
      <c r="D1450" t="s">
        <v>42</v>
      </c>
      <c r="E1450" s="1">
        <v>45114</v>
      </c>
      <c r="F1450" s="1">
        <v>45120</v>
      </c>
      <c r="G1450" s="2">
        <v>35.4</v>
      </c>
      <c r="H1450" s="2">
        <v>217.42</v>
      </c>
      <c r="I1450" t="s">
        <v>15</v>
      </c>
      <c r="J1450" s="2">
        <v>1655</v>
      </c>
      <c r="K1450" s="2">
        <v>6</v>
      </c>
    </row>
    <row r="1451" spans="1:11" x14ac:dyDescent="0.25">
      <c r="A1451" t="s">
        <v>1497</v>
      </c>
      <c r="B1451" t="s">
        <v>35</v>
      </c>
      <c r="C1451" t="s">
        <v>40</v>
      </c>
      <c r="D1451" t="s">
        <v>14</v>
      </c>
      <c r="E1451" s="1">
        <v>44992</v>
      </c>
      <c r="F1451" s="1">
        <v>44995</v>
      </c>
      <c r="G1451" s="2">
        <v>36.4</v>
      </c>
      <c r="H1451" s="2">
        <v>74.25</v>
      </c>
      <c r="I1451" t="s">
        <v>15</v>
      </c>
      <c r="J1451" s="2">
        <v>283</v>
      </c>
      <c r="K1451" s="2">
        <v>3</v>
      </c>
    </row>
    <row r="1452" spans="1:11" x14ac:dyDescent="0.25">
      <c r="A1452" t="s">
        <v>1498</v>
      </c>
      <c r="B1452" t="s">
        <v>56</v>
      </c>
      <c r="C1452" t="s">
        <v>54</v>
      </c>
      <c r="D1452" t="s">
        <v>18</v>
      </c>
      <c r="E1452" s="1">
        <v>44960</v>
      </c>
      <c r="F1452" s="1">
        <v>44968</v>
      </c>
      <c r="G1452" s="2">
        <v>7.4</v>
      </c>
      <c r="H1452" s="2">
        <v>348.3</v>
      </c>
      <c r="I1452" t="s">
        <v>15</v>
      </c>
      <c r="J1452" s="2">
        <v>2239</v>
      </c>
      <c r="K1452" s="2">
        <v>8</v>
      </c>
    </row>
    <row r="1453" spans="1:11" x14ac:dyDescent="0.25">
      <c r="A1453" t="s">
        <v>1499</v>
      </c>
      <c r="B1453" t="s">
        <v>51</v>
      </c>
      <c r="C1453" t="s">
        <v>13</v>
      </c>
      <c r="D1453" t="s">
        <v>59</v>
      </c>
      <c r="E1453" s="1">
        <v>45290</v>
      </c>
      <c r="F1453" s="1">
        <v>45297</v>
      </c>
      <c r="G1453" s="2">
        <v>6.4</v>
      </c>
      <c r="H1453" s="2">
        <v>256.19</v>
      </c>
      <c r="I1453" t="s">
        <v>15</v>
      </c>
      <c r="J1453" s="2">
        <v>2003</v>
      </c>
      <c r="K1453" s="2">
        <v>7</v>
      </c>
    </row>
    <row r="1454" spans="1:11" x14ac:dyDescent="0.25">
      <c r="A1454" t="s">
        <v>1500</v>
      </c>
      <c r="B1454" t="s">
        <v>51</v>
      </c>
      <c r="C1454" t="s">
        <v>13</v>
      </c>
      <c r="D1454" t="s">
        <v>14</v>
      </c>
      <c r="E1454" s="1">
        <v>44929</v>
      </c>
      <c r="F1454" s="1">
        <v>44934</v>
      </c>
      <c r="G1454" s="2">
        <v>9.8000000000000007</v>
      </c>
      <c r="H1454" s="2">
        <v>223.01</v>
      </c>
      <c r="I1454" t="s">
        <v>15</v>
      </c>
      <c r="J1454" s="2">
        <v>1553</v>
      </c>
      <c r="K1454" s="2">
        <v>5</v>
      </c>
    </row>
    <row r="1455" spans="1:11" x14ac:dyDescent="0.25">
      <c r="A1455" t="s">
        <v>1501</v>
      </c>
      <c r="B1455" t="s">
        <v>12</v>
      </c>
      <c r="C1455" t="s">
        <v>24</v>
      </c>
      <c r="D1455" t="s">
        <v>42</v>
      </c>
      <c r="E1455" s="1">
        <v>45129</v>
      </c>
      <c r="G1455" s="2">
        <v>47.6</v>
      </c>
      <c r="H1455" s="2">
        <v>156.85</v>
      </c>
      <c r="I1455" t="s">
        <v>15</v>
      </c>
      <c r="J1455" s="2">
        <v>717</v>
      </c>
      <c r="K1455" s="2">
        <v>3</v>
      </c>
    </row>
    <row r="1456" spans="1:11" x14ac:dyDescent="0.25">
      <c r="A1456" t="s">
        <v>1502</v>
      </c>
      <c r="B1456" t="s">
        <v>30</v>
      </c>
      <c r="C1456" t="s">
        <v>57</v>
      </c>
      <c r="D1456" t="s">
        <v>37</v>
      </c>
      <c r="E1456" s="1">
        <v>45157</v>
      </c>
      <c r="F1456" s="1">
        <v>45164</v>
      </c>
      <c r="G1456" s="2">
        <v>29.2</v>
      </c>
      <c r="H1456" s="2">
        <v>279.85000000000002</v>
      </c>
      <c r="I1456" t="s">
        <v>60</v>
      </c>
      <c r="J1456" s="2">
        <v>1843</v>
      </c>
      <c r="K1456" s="2">
        <v>7</v>
      </c>
    </row>
    <row r="1457" spans="1:11" x14ac:dyDescent="0.25">
      <c r="A1457" t="s">
        <v>1503</v>
      </c>
      <c r="B1457" t="s">
        <v>23</v>
      </c>
      <c r="C1457" t="s">
        <v>52</v>
      </c>
      <c r="D1457" t="s">
        <v>59</v>
      </c>
      <c r="E1457" s="1">
        <v>45042</v>
      </c>
      <c r="F1457" s="1">
        <v>45045</v>
      </c>
      <c r="G1457" s="2">
        <v>11.5</v>
      </c>
      <c r="H1457" s="2">
        <v>62.46</v>
      </c>
      <c r="I1457" t="s">
        <v>15</v>
      </c>
      <c r="J1457" s="2">
        <v>487</v>
      </c>
      <c r="K1457" s="2">
        <v>3</v>
      </c>
    </row>
    <row r="1458" spans="1:11" x14ac:dyDescent="0.25">
      <c r="A1458" t="s">
        <v>1504</v>
      </c>
      <c r="B1458" t="s">
        <v>56</v>
      </c>
      <c r="C1458" t="s">
        <v>54</v>
      </c>
      <c r="D1458" t="s">
        <v>59</v>
      </c>
      <c r="E1458" s="1">
        <v>45012</v>
      </c>
      <c r="F1458" s="1">
        <v>45015</v>
      </c>
      <c r="G1458" s="2">
        <v>7.5</v>
      </c>
      <c r="H1458" s="2">
        <v>141.08000000000001</v>
      </c>
      <c r="I1458" t="s">
        <v>15</v>
      </c>
      <c r="J1458" s="2">
        <v>1061</v>
      </c>
      <c r="K1458" s="2">
        <v>3</v>
      </c>
    </row>
    <row r="1459" spans="1:11" x14ac:dyDescent="0.25">
      <c r="A1459" t="s">
        <v>1505</v>
      </c>
      <c r="B1459" t="s">
        <v>51</v>
      </c>
      <c r="C1459" t="s">
        <v>40</v>
      </c>
      <c r="D1459" t="s">
        <v>25</v>
      </c>
      <c r="E1459" s="1">
        <v>45203</v>
      </c>
      <c r="F1459" s="1">
        <v>45205</v>
      </c>
      <c r="G1459" s="2">
        <v>10</v>
      </c>
      <c r="H1459" s="2">
        <v>85.04</v>
      </c>
      <c r="I1459" t="s">
        <v>15</v>
      </c>
      <c r="J1459" s="2">
        <v>585</v>
      </c>
      <c r="K1459" s="2">
        <v>2</v>
      </c>
    </row>
    <row r="1460" spans="1:11" x14ac:dyDescent="0.25">
      <c r="A1460" t="s">
        <v>1506</v>
      </c>
      <c r="B1460" t="s">
        <v>51</v>
      </c>
      <c r="C1460" t="s">
        <v>81</v>
      </c>
      <c r="D1460" t="s">
        <v>32</v>
      </c>
      <c r="E1460" s="1">
        <v>45007</v>
      </c>
      <c r="F1460" s="1">
        <v>45009</v>
      </c>
      <c r="G1460" s="2">
        <v>12.2</v>
      </c>
      <c r="H1460" s="2">
        <v>109.31</v>
      </c>
      <c r="I1460" t="s">
        <v>15</v>
      </c>
      <c r="J1460" s="2">
        <v>691</v>
      </c>
      <c r="K1460" s="2">
        <v>2</v>
      </c>
    </row>
    <row r="1461" spans="1:11" x14ac:dyDescent="0.25">
      <c r="A1461" t="s">
        <v>1507</v>
      </c>
      <c r="B1461" t="s">
        <v>49</v>
      </c>
      <c r="C1461" t="s">
        <v>40</v>
      </c>
      <c r="D1461" t="s">
        <v>37</v>
      </c>
      <c r="E1461" s="1">
        <v>45291</v>
      </c>
      <c r="F1461" s="1">
        <v>45293</v>
      </c>
      <c r="G1461" s="2">
        <v>12.1</v>
      </c>
      <c r="H1461" s="2">
        <v>163.06</v>
      </c>
      <c r="I1461" t="s">
        <v>15</v>
      </c>
      <c r="J1461" s="2">
        <v>1097</v>
      </c>
      <c r="K1461" s="2">
        <v>2</v>
      </c>
    </row>
    <row r="1462" spans="1:11" x14ac:dyDescent="0.25">
      <c r="A1462" t="s">
        <v>1508</v>
      </c>
      <c r="B1462" t="s">
        <v>30</v>
      </c>
      <c r="C1462" t="s">
        <v>52</v>
      </c>
      <c r="D1462" t="s">
        <v>14</v>
      </c>
      <c r="E1462" s="1">
        <v>45112</v>
      </c>
      <c r="F1462" s="1">
        <v>45115</v>
      </c>
      <c r="G1462" s="2">
        <v>100.9</v>
      </c>
      <c r="H1462" s="2">
        <v>172.46</v>
      </c>
      <c r="I1462" t="s">
        <v>15</v>
      </c>
      <c r="J1462" s="2">
        <v>390</v>
      </c>
      <c r="K1462" s="2">
        <v>3</v>
      </c>
    </row>
    <row r="1463" spans="1:11" x14ac:dyDescent="0.25">
      <c r="A1463" t="s">
        <v>1509</v>
      </c>
      <c r="B1463" t="s">
        <v>30</v>
      </c>
      <c r="C1463" t="s">
        <v>46</v>
      </c>
      <c r="D1463" t="s">
        <v>37</v>
      </c>
      <c r="E1463" s="1">
        <v>45128</v>
      </c>
      <c r="F1463" s="1">
        <v>45134</v>
      </c>
      <c r="G1463" s="2">
        <v>29.2</v>
      </c>
      <c r="H1463" s="2">
        <v>323.13</v>
      </c>
      <c r="I1463" t="s">
        <v>15</v>
      </c>
      <c r="J1463" s="2">
        <v>2216</v>
      </c>
      <c r="K1463" s="2">
        <v>6</v>
      </c>
    </row>
    <row r="1464" spans="1:11" x14ac:dyDescent="0.25">
      <c r="A1464" t="s">
        <v>1510</v>
      </c>
      <c r="B1464" t="s">
        <v>27</v>
      </c>
      <c r="C1464" t="s">
        <v>52</v>
      </c>
      <c r="D1464" t="s">
        <v>18</v>
      </c>
      <c r="E1464" s="1">
        <v>44960</v>
      </c>
      <c r="F1464" s="1">
        <v>44967</v>
      </c>
      <c r="G1464" s="2">
        <v>34.4</v>
      </c>
      <c r="H1464" s="2">
        <v>214.6</v>
      </c>
      <c r="I1464" t="s">
        <v>15</v>
      </c>
      <c r="J1464" s="2">
        <v>1229</v>
      </c>
      <c r="K1464" s="2">
        <v>7</v>
      </c>
    </row>
    <row r="1465" spans="1:11" x14ac:dyDescent="0.25">
      <c r="A1465" t="s">
        <v>1511</v>
      </c>
      <c r="B1465" t="s">
        <v>51</v>
      </c>
      <c r="C1465" t="s">
        <v>57</v>
      </c>
      <c r="D1465" t="s">
        <v>37</v>
      </c>
      <c r="E1465" s="1">
        <v>45117</v>
      </c>
      <c r="F1465" s="1">
        <v>45122</v>
      </c>
      <c r="G1465" s="2">
        <v>27.8</v>
      </c>
      <c r="H1465" s="2">
        <v>239.99</v>
      </c>
      <c r="I1465" t="s">
        <v>62</v>
      </c>
      <c r="J1465" s="2">
        <v>1591</v>
      </c>
      <c r="K1465" s="2">
        <v>5</v>
      </c>
    </row>
    <row r="1466" spans="1:11" x14ac:dyDescent="0.25">
      <c r="A1466" t="s">
        <v>1512</v>
      </c>
      <c r="B1466" t="s">
        <v>20</v>
      </c>
      <c r="C1466" t="s">
        <v>31</v>
      </c>
      <c r="D1466" t="s">
        <v>59</v>
      </c>
      <c r="E1466" s="1">
        <v>45278</v>
      </c>
      <c r="F1466" s="1">
        <v>45283</v>
      </c>
      <c r="G1466" s="2">
        <v>32.6</v>
      </c>
      <c r="H1466" s="2">
        <v>164.69</v>
      </c>
      <c r="I1466" t="s">
        <v>15</v>
      </c>
      <c r="J1466" s="2">
        <v>807</v>
      </c>
      <c r="K1466" s="2">
        <v>5</v>
      </c>
    </row>
    <row r="1467" spans="1:11" x14ac:dyDescent="0.25">
      <c r="A1467" t="s">
        <v>1513</v>
      </c>
      <c r="B1467" t="s">
        <v>51</v>
      </c>
      <c r="C1467" t="s">
        <v>28</v>
      </c>
      <c r="D1467" t="s">
        <v>59</v>
      </c>
      <c r="E1467" s="1">
        <v>45248</v>
      </c>
      <c r="F1467" s="1">
        <v>45253</v>
      </c>
      <c r="G1467" s="2">
        <v>23.1</v>
      </c>
      <c r="H1467" s="2">
        <v>176.66</v>
      </c>
      <c r="I1467" t="s">
        <v>15</v>
      </c>
      <c r="J1467" s="2">
        <v>1065</v>
      </c>
      <c r="K1467" s="2">
        <v>5</v>
      </c>
    </row>
    <row r="1468" spans="1:11" x14ac:dyDescent="0.25">
      <c r="A1468" t="s">
        <v>1514</v>
      </c>
      <c r="B1468" t="s">
        <v>23</v>
      </c>
      <c r="C1468" t="s">
        <v>57</v>
      </c>
      <c r="D1468" t="s">
        <v>42</v>
      </c>
      <c r="E1468" s="1">
        <v>45066</v>
      </c>
      <c r="F1468" s="1">
        <v>45069</v>
      </c>
      <c r="G1468" s="2">
        <v>14</v>
      </c>
      <c r="H1468" s="2">
        <v>184.53</v>
      </c>
      <c r="I1468" t="s">
        <v>15</v>
      </c>
      <c r="J1468" s="2">
        <v>1408</v>
      </c>
      <c r="K1468" s="2">
        <v>3</v>
      </c>
    </row>
    <row r="1469" spans="1:11" x14ac:dyDescent="0.25">
      <c r="A1469" t="s">
        <v>1515</v>
      </c>
      <c r="B1469" t="s">
        <v>23</v>
      </c>
      <c r="C1469" t="s">
        <v>81</v>
      </c>
      <c r="D1469" t="s">
        <v>18</v>
      </c>
      <c r="E1469" s="1">
        <v>45017</v>
      </c>
      <c r="F1469" s="1">
        <v>45020</v>
      </c>
      <c r="G1469" s="2">
        <v>71.7</v>
      </c>
      <c r="H1469" s="2">
        <v>188.04</v>
      </c>
      <c r="I1469" t="s">
        <v>15</v>
      </c>
      <c r="J1469" s="2">
        <v>635</v>
      </c>
      <c r="K1469" s="2">
        <v>3</v>
      </c>
    </row>
    <row r="1470" spans="1:11" x14ac:dyDescent="0.25">
      <c r="A1470" t="s">
        <v>1516</v>
      </c>
      <c r="B1470" t="s">
        <v>35</v>
      </c>
      <c r="C1470" t="s">
        <v>81</v>
      </c>
      <c r="D1470" t="s">
        <v>59</v>
      </c>
      <c r="E1470" s="1">
        <v>45284</v>
      </c>
      <c r="F1470" s="1">
        <v>45254</v>
      </c>
      <c r="G1470" s="2">
        <v>10.7</v>
      </c>
      <c r="H1470" s="2">
        <v>152.15</v>
      </c>
      <c r="I1470" t="s">
        <v>15</v>
      </c>
      <c r="J1470" s="2">
        <v>1000</v>
      </c>
      <c r="K1470" s="2">
        <v>3</v>
      </c>
    </row>
    <row r="1471" spans="1:11" x14ac:dyDescent="0.25">
      <c r="A1471" t="s">
        <v>1517</v>
      </c>
      <c r="B1471" t="s">
        <v>56</v>
      </c>
      <c r="C1471" t="s">
        <v>81</v>
      </c>
      <c r="D1471" t="s">
        <v>32</v>
      </c>
      <c r="E1471" s="1">
        <v>45271</v>
      </c>
      <c r="F1471" s="1">
        <v>45272</v>
      </c>
      <c r="G1471" s="2">
        <v>70.599999999999994</v>
      </c>
      <c r="H1471" s="2">
        <v>151.86000000000001</v>
      </c>
      <c r="I1471" t="s">
        <v>15</v>
      </c>
      <c r="J1471" s="2">
        <v>323</v>
      </c>
      <c r="K1471" s="2">
        <v>1</v>
      </c>
    </row>
    <row r="1472" spans="1:11" x14ac:dyDescent="0.25">
      <c r="A1472" t="s">
        <v>1518</v>
      </c>
      <c r="B1472" t="s">
        <v>27</v>
      </c>
      <c r="C1472" t="s">
        <v>52</v>
      </c>
      <c r="D1472" t="s">
        <v>18</v>
      </c>
      <c r="E1472" s="1">
        <v>45158</v>
      </c>
      <c r="F1472" s="1">
        <v>45163</v>
      </c>
      <c r="G1472" s="2">
        <v>54.4</v>
      </c>
      <c r="H1472" s="2">
        <v>266.93</v>
      </c>
      <c r="I1472" t="s">
        <v>15</v>
      </c>
      <c r="J1472" s="2">
        <v>1340</v>
      </c>
      <c r="K1472" s="2">
        <v>5</v>
      </c>
    </row>
    <row r="1473" spans="1:11" x14ac:dyDescent="0.25">
      <c r="A1473" t="s">
        <v>1519</v>
      </c>
      <c r="B1473" t="s">
        <v>23</v>
      </c>
      <c r="C1473" t="s">
        <v>17</v>
      </c>
      <c r="D1473" t="s">
        <v>25</v>
      </c>
      <c r="E1473" s="1">
        <v>45063</v>
      </c>
      <c r="F1473" s="1">
        <v>45067</v>
      </c>
      <c r="G1473" s="2">
        <v>20.100000000000001</v>
      </c>
      <c r="H1473" s="2">
        <v>74.849999999999994</v>
      </c>
      <c r="I1473" t="s">
        <v>15</v>
      </c>
      <c r="J1473" s="2">
        <v>451</v>
      </c>
      <c r="K1473" s="2">
        <v>4</v>
      </c>
    </row>
    <row r="1474" spans="1:11" x14ac:dyDescent="0.25">
      <c r="A1474" t="s">
        <v>1520</v>
      </c>
      <c r="B1474" t="s">
        <v>56</v>
      </c>
      <c r="C1474" t="s">
        <v>13</v>
      </c>
      <c r="D1474" t="s">
        <v>25</v>
      </c>
      <c r="E1474" s="1">
        <v>45047</v>
      </c>
      <c r="F1474" s="1">
        <v>45051</v>
      </c>
      <c r="G1474" s="2">
        <v>11.3</v>
      </c>
      <c r="H1474" s="2">
        <v>176.58</v>
      </c>
      <c r="I1474" t="s">
        <v>15</v>
      </c>
      <c r="J1474" s="2">
        <v>1360</v>
      </c>
      <c r="K1474" s="2">
        <v>4</v>
      </c>
    </row>
    <row r="1475" spans="1:11" x14ac:dyDescent="0.25">
      <c r="A1475" t="s">
        <v>1521</v>
      </c>
      <c r="B1475" t="s">
        <v>12</v>
      </c>
      <c r="C1475" t="s">
        <v>70</v>
      </c>
      <c r="D1475" t="s">
        <v>25</v>
      </c>
      <c r="E1475" s="1">
        <v>45287</v>
      </c>
      <c r="F1475" s="1">
        <v>45292</v>
      </c>
      <c r="G1475" s="2">
        <v>14.8</v>
      </c>
      <c r="H1475" s="2">
        <v>318.26</v>
      </c>
      <c r="I1475" t="s">
        <v>15</v>
      </c>
      <c r="J1475" s="2">
        <v>2212</v>
      </c>
      <c r="K1475" s="2">
        <v>5</v>
      </c>
    </row>
    <row r="1476" spans="1:11" x14ac:dyDescent="0.25">
      <c r="A1476" t="s">
        <v>1522</v>
      </c>
      <c r="B1476" t="s">
        <v>20</v>
      </c>
      <c r="C1476" t="s">
        <v>36</v>
      </c>
      <c r="D1476" t="s">
        <v>18</v>
      </c>
      <c r="E1476" s="1">
        <v>45140</v>
      </c>
      <c r="F1476" s="1">
        <v>45146</v>
      </c>
      <c r="G1476" s="2">
        <v>28.4</v>
      </c>
      <c r="H1476" s="2">
        <v>390.3</v>
      </c>
      <c r="I1476" t="s">
        <v>15</v>
      </c>
      <c r="J1476" s="2">
        <v>2293</v>
      </c>
      <c r="K1476" s="2">
        <v>6</v>
      </c>
    </row>
    <row r="1477" spans="1:11" x14ac:dyDescent="0.25">
      <c r="A1477" t="s">
        <v>1523</v>
      </c>
      <c r="B1477" t="s">
        <v>12</v>
      </c>
      <c r="C1477" t="s">
        <v>36</v>
      </c>
      <c r="D1477" t="s">
        <v>14</v>
      </c>
      <c r="E1477" s="1">
        <v>45252</v>
      </c>
      <c r="F1477" s="1">
        <v>45258</v>
      </c>
      <c r="G1477" s="2">
        <v>28.1</v>
      </c>
      <c r="H1477" s="2">
        <v>303.52999999999997</v>
      </c>
      <c r="I1477" t="s">
        <v>15</v>
      </c>
      <c r="J1477" s="2">
        <v>1711</v>
      </c>
      <c r="K1477" s="2">
        <v>6</v>
      </c>
    </row>
    <row r="1478" spans="1:11" x14ac:dyDescent="0.25">
      <c r="A1478" t="s">
        <v>1524</v>
      </c>
      <c r="B1478" t="s">
        <v>30</v>
      </c>
      <c r="C1478" t="s">
        <v>24</v>
      </c>
      <c r="D1478" t="s">
        <v>32</v>
      </c>
      <c r="E1478" s="1">
        <v>45143</v>
      </c>
      <c r="F1478" s="1">
        <v>45147</v>
      </c>
      <c r="G1478" s="2">
        <v>153</v>
      </c>
      <c r="H1478" s="2">
        <v>334.41</v>
      </c>
      <c r="I1478" t="s">
        <v>15</v>
      </c>
      <c r="J1478" s="2">
        <v>1058</v>
      </c>
      <c r="K1478" s="2">
        <v>4</v>
      </c>
    </row>
    <row r="1479" spans="1:11" x14ac:dyDescent="0.25">
      <c r="A1479" t="s">
        <v>1525</v>
      </c>
      <c r="B1479" t="s">
        <v>12</v>
      </c>
      <c r="C1479" t="s">
        <v>13</v>
      </c>
      <c r="D1479" t="s">
        <v>18</v>
      </c>
      <c r="E1479" s="1">
        <v>45169</v>
      </c>
      <c r="F1479" s="1">
        <v>45172</v>
      </c>
      <c r="G1479" s="2">
        <v>14.2</v>
      </c>
      <c r="H1479" s="2">
        <v>101.86</v>
      </c>
      <c r="I1479" t="s">
        <v>15</v>
      </c>
      <c r="J1479" s="2">
        <v>580</v>
      </c>
      <c r="K1479" s="2">
        <v>3</v>
      </c>
    </row>
    <row r="1480" spans="1:11" x14ac:dyDescent="0.25">
      <c r="A1480" t="s">
        <v>1526</v>
      </c>
      <c r="B1480" t="s">
        <v>51</v>
      </c>
      <c r="C1480" t="s">
        <v>40</v>
      </c>
      <c r="D1480" t="s">
        <v>32</v>
      </c>
      <c r="E1480" s="1">
        <v>45207</v>
      </c>
      <c r="F1480" s="1">
        <v>45212</v>
      </c>
      <c r="G1480" s="2">
        <v>34</v>
      </c>
      <c r="H1480" s="2">
        <v>228.26</v>
      </c>
      <c r="I1480" t="s">
        <v>15</v>
      </c>
      <c r="J1480" s="2">
        <v>1463</v>
      </c>
      <c r="K1480" s="2">
        <v>5</v>
      </c>
    </row>
    <row r="1481" spans="1:11" x14ac:dyDescent="0.25">
      <c r="A1481" t="s">
        <v>1527</v>
      </c>
      <c r="B1481" t="s">
        <v>27</v>
      </c>
      <c r="C1481" t="s">
        <v>31</v>
      </c>
      <c r="D1481" t="s">
        <v>42</v>
      </c>
      <c r="E1481" s="1">
        <v>44992</v>
      </c>
      <c r="F1481" s="1">
        <v>45005</v>
      </c>
      <c r="G1481" s="2">
        <v>30.1</v>
      </c>
      <c r="H1481" s="2">
        <v>101.62</v>
      </c>
      <c r="I1481" t="s">
        <v>47</v>
      </c>
      <c r="J1481" s="2">
        <v>615</v>
      </c>
      <c r="K1481" s="2">
        <v>2</v>
      </c>
    </row>
    <row r="1482" spans="1:11" x14ac:dyDescent="0.25">
      <c r="A1482" t="s">
        <v>1528</v>
      </c>
      <c r="B1482" t="s">
        <v>27</v>
      </c>
      <c r="C1482" t="s">
        <v>17</v>
      </c>
      <c r="D1482" t="s">
        <v>42</v>
      </c>
      <c r="E1482" s="1">
        <v>45031</v>
      </c>
      <c r="F1482" s="1">
        <v>45035</v>
      </c>
      <c r="G1482" s="2">
        <v>79.099999999999994</v>
      </c>
      <c r="H1482" s="2">
        <v>264.42</v>
      </c>
      <c r="I1482" t="s">
        <v>15</v>
      </c>
      <c r="J1482" s="2">
        <v>1487</v>
      </c>
      <c r="K1482" s="2">
        <v>4</v>
      </c>
    </row>
    <row r="1483" spans="1:11" x14ac:dyDescent="0.25">
      <c r="A1483" t="s">
        <v>1529</v>
      </c>
      <c r="B1483" t="s">
        <v>39</v>
      </c>
      <c r="C1483" t="s">
        <v>28</v>
      </c>
      <c r="D1483" t="s">
        <v>25</v>
      </c>
      <c r="E1483" s="1">
        <v>45120</v>
      </c>
      <c r="F1483" s="1">
        <v>45123</v>
      </c>
      <c r="G1483" s="2">
        <v>8.1</v>
      </c>
      <c r="H1483" s="2">
        <v>188.86</v>
      </c>
      <c r="I1483" t="s">
        <v>15</v>
      </c>
      <c r="J1483" s="2">
        <v>1472</v>
      </c>
      <c r="K1483" s="2">
        <v>3</v>
      </c>
    </row>
    <row r="1484" spans="1:11" x14ac:dyDescent="0.25">
      <c r="A1484" t="s">
        <v>1530</v>
      </c>
      <c r="B1484" t="s">
        <v>51</v>
      </c>
      <c r="C1484" t="s">
        <v>52</v>
      </c>
      <c r="D1484" t="s">
        <v>25</v>
      </c>
      <c r="E1484" s="1">
        <v>45192</v>
      </c>
      <c r="F1484" s="1">
        <v>45162</v>
      </c>
      <c r="G1484" s="2">
        <v>22.7</v>
      </c>
      <c r="H1484" s="2">
        <v>110.05</v>
      </c>
      <c r="I1484" t="s">
        <v>15</v>
      </c>
      <c r="J1484" s="2">
        <v>787</v>
      </c>
      <c r="K1484" s="2">
        <v>3</v>
      </c>
    </row>
    <row r="1485" spans="1:11" x14ac:dyDescent="0.25">
      <c r="A1485" t="s">
        <v>1531</v>
      </c>
      <c r="B1485" t="s">
        <v>23</v>
      </c>
      <c r="C1485" t="s">
        <v>21</v>
      </c>
      <c r="D1485" t="s">
        <v>18</v>
      </c>
      <c r="E1485" s="1">
        <v>45177</v>
      </c>
      <c r="F1485" s="1">
        <v>45180</v>
      </c>
      <c r="G1485" s="2">
        <v>21.8</v>
      </c>
      <c r="H1485" s="2">
        <v>202.57</v>
      </c>
      <c r="I1485" t="s">
        <v>15</v>
      </c>
      <c r="J1485" s="2">
        <v>1364</v>
      </c>
      <c r="K1485" s="2">
        <v>3</v>
      </c>
    </row>
    <row r="1486" spans="1:11" x14ac:dyDescent="0.25">
      <c r="A1486" t="s">
        <v>1532</v>
      </c>
      <c r="B1486" t="s">
        <v>20</v>
      </c>
      <c r="C1486" t="s">
        <v>70</v>
      </c>
      <c r="D1486" t="s">
        <v>32</v>
      </c>
      <c r="E1486" s="1">
        <v>45055</v>
      </c>
      <c r="F1486" s="1">
        <v>45059</v>
      </c>
      <c r="G1486" s="2">
        <v>12</v>
      </c>
      <c r="H1486" s="2">
        <v>178.39</v>
      </c>
      <c r="I1486" t="s">
        <v>15</v>
      </c>
      <c r="J1486" s="2">
        <v>1377</v>
      </c>
      <c r="K1486" s="2">
        <v>4</v>
      </c>
    </row>
    <row r="1487" spans="1:11" x14ac:dyDescent="0.25">
      <c r="A1487" t="s">
        <v>1533</v>
      </c>
      <c r="B1487" t="s">
        <v>49</v>
      </c>
      <c r="C1487" t="s">
        <v>13</v>
      </c>
      <c r="D1487" t="s">
        <v>14</v>
      </c>
      <c r="E1487" s="1">
        <v>44964</v>
      </c>
      <c r="F1487" s="1">
        <v>44969</v>
      </c>
      <c r="G1487" s="2">
        <v>11.3</v>
      </c>
      <c r="H1487" s="2">
        <v>199.25</v>
      </c>
      <c r="I1487" t="s">
        <v>15</v>
      </c>
      <c r="J1487" s="2">
        <v>1332</v>
      </c>
      <c r="K1487" s="2">
        <v>5</v>
      </c>
    </row>
    <row r="1488" spans="1:11" x14ac:dyDescent="0.25">
      <c r="A1488" t="s">
        <v>1534</v>
      </c>
      <c r="B1488" t="s">
        <v>39</v>
      </c>
      <c r="C1488" t="s">
        <v>52</v>
      </c>
      <c r="D1488" t="s">
        <v>59</v>
      </c>
      <c r="E1488" s="1">
        <v>45159</v>
      </c>
      <c r="F1488" s="1">
        <v>45163</v>
      </c>
      <c r="G1488" s="2">
        <v>21.5</v>
      </c>
      <c r="H1488" s="2">
        <v>154.34</v>
      </c>
      <c r="I1488" t="s">
        <v>15</v>
      </c>
      <c r="J1488" s="2">
        <v>1209</v>
      </c>
      <c r="K1488" s="2">
        <v>4</v>
      </c>
    </row>
    <row r="1489" spans="1:11" x14ac:dyDescent="0.25">
      <c r="A1489" t="s">
        <v>1535</v>
      </c>
      <c r="B1489" t="s">
        <v>23</v>
      </c>
      <c r="C1489" t="s">
        <v>57</v>
      </c>
      <c r="D1489" t="s">
        <v>18</v>
      </c>
      <c r="E1489" s="1">
        <v>45238</v>
      </c>
      <c r="F1489" s="1">
        <v>45243</v>
      </c>
      <c r="G1489" s="2">
        <v>17.8</v>
      </c>
      <c r="H1489" s="2">
        <v>407.33</v>
      </c>
      <c r="I1489" t="s">
        <v>15</v>
      </c>
      <c r="J1489" s="2">
        <v>2300</v>
      </c>
      <c r="K1489" s="2">
        <v>5</v>
      </c>
    </row>
    <row r="1490" spans="1:11" x14ac:dyDescent="0.25">
      <c r="A1490" t="s">
        <v>1536</v>
      </c>
      <c r="B1490" t="s">
        <v>23</v>
      </c>
      <c r="C1490" t="s">
        <v>52</v>
      </c>
      <c r="D1490" t="s">
        <v>59</v>
      </c>
      <c r="E1490" s="1">
        <v>44960</v>
      </c>
      <c r="F1490" s="1">
        <v>44961</v>
      </c>
      <c r="G1490" s="2">
        <v>22.5</v>
      </c>
      <c r="H1490" s="2">
        <v>63.76</v>
      </c>
      <c r="I1490" t="s">
        <v>62</v>
      </c>
      <c r="J1490" s="2">
        <v>289</v>
      </c>
      <c r="K1490" s="2">
        <v>1</v>
      </c>
    </row>
    <row r="1491" spans="1:11" x14ac:dyDescent="0.25">
      <c r="A1491" t="s">
        <v>1537</v>
      </c>
      <c r="B1491" t="s">
        <v>35</v>
      </c>
      <c r="C1491" t="s">
        <v>81</v>
      </c>
      <c r="D1491" t="s">
        <v>14</v>
      </c>
      <c r="E1491" s="1">
        <v>45074</v>
      </c>
      <c r="F1491" s="1">
        <v>45078</v>
      </c>
      <c r="G1491" s="2">
        <v>15.8</v>
      </c>
      <c r="H1491" s="2">
        <v>152.19999999999999</v>
      </c>
      <c r="I1491" t="s">
        <v>15</v>
      </c>
      <c r="J1491" s="2">
        <v>1000</v>
      </c>
      <c r="K1491" s="2">
        <v>4</v>
      </c>
    </row>
    <row r="1492" spans="1:11" x14ac:dyDescent="0.25">
      <c r="A1492" t="s">
        <v>1538</v>
      </c>
      <c r="B1492" t="s">
        <v>49</v>
      </c>
      <c r="C1492" t="s">
        <v>24</v>
      </c>
      <c r="D1492" t="s">
        <v>42</v>
      </c>
      <c r="E1492" s="1">
        <v>45174</v>
      </c>
      <c r="F1492" s="1">
        <v>45178</v>
      </c>
      <c r="G1492" s="2">
        <v>11.8</v>
      </c>
      <c r="H1492" s="2">
        <v>88.65</v>
      </c>
      <c r="I1492" t="s">
        <v>15</v>
      </c>
      <c r="J1492" s="2">
        <v>670</v>
      </c>
      <c r="K1492" s="2">
        <v>4</v>
      </c>
    </row>
    <row r="1493" spans="1:11" x14ac:dyDescent="0.25">
      <c r="A1493" t="s">
        <v>1539</v>
      </c>
      <c r="B1493" t="s">
        <v>49</v>
      </c>
      <c r="C1493" t="s">
        <v>46</v>
      </c>
      <c r="D1493" t="s">
        <v>18</v>
      </c>
      <c r="E1493" s="1">
        <v>45047</v>
      </c>
      <c r="F1493" s="1">
        <v>45053</v>
      </c>
      <c r="G1493" s="2">
        <v>11.6</v>
      </c>
      <c r="H1493" s="2">
        <v>359.48</v>
      </c>
      <c r="I1493" t="s">
        <v>15</v>
      </c>
      <c r="J1493" s="2">
        <v>2379</v>
      </c>
      <c r="K1493" s="2">
        <v>6</v>
      </c>
    </row>
    <row r="1494" spans="1:11" x14ac:dyDescent="0.25">
      <c r="A1494" t="s">
        <v>1540</v>
      </c>
      <c r="B1494" t="s">
        <v>23</v>
      </c>
      <c r="C1494" t="s">
        <v>13</v>
      </c>
      <c r="D1494" t="s">
        <v>25</v>
      </c>
      <c r="E1494" s="1">
        <v>45196</v>
      </c>
      <c r="F1494" s="1">
        <v>45197</v>
      </c>
      <c r="G1494" s="2">
        <v>13.8</v>
      </c>
      <c r="H1494" s="2">
        <v>50.83</v>
      </c>
      <c r="I1494" t="s">
        <v>15</v>
      </c>
      <c r="J1494" s="2">
        <v>274</v>
      </c>
      <c r="K1494" s="2">
        <v>1</v>
      </c>
    </row>
    <row r="1495" spans="1:11" x14ac:dyDescent="0.25">
      <c r="A1495" t="s">
        <v>1541</v>
      </c>
      <c r="B1495" t="s">
        <v>27</v>
      </c>
      <c r="C1495" t="s">
        <v>46</v>
      </c>
      <c r="D1495" t="s">
        <v>14</v>
      </c>
      <c r="E1495" s="1">
        <v>45052</v>
      </c>
      <c r="F1495" s="1">
        <v>45056</v>
      </c>
      <c r="G1495" s="2">
        <v>33.299999999999997</v>
      </c>
      <c r="H1495" s="2">
        <v>236.83</v>
      </c>
      <c r="I1495" t="s">
        <v>67</v>
      </c>
      <c r="J1495" s="2">
        <v>1438</v>
      </c>
      <c r="K1495" s="2">
        <v>4</v>
      </c>
    </row>
    <row r="1496" spans="1:11" x14ac:dyDescent="0.25">
      <c r="A1496" t="s">
        <v>1542</v>
      </c>
      <c r="B1496" t="s">
        <v>56</v>
      </c>
      <c r="C1496" t="s">
        <v>24</v>
      </c>
      <c r="D1496" t="s">
        <v>59</v>
      </c>
      <c r="E1496" s="1">
        <v>45160</v>
      </c>
      <c r="F1496" s="1">
        <v>45165</v>
      </c>
      <c r="G1496" s="2">
        <v>13.2</v>
      </c>
      <c r="H1496" s="2">
        <v>269.86</v>
      </c>
      <c r="I1496" t="s">
        <v>15</v>
      </c>
      <c r="J1496" s="2">
        <v>2309</v>
      </c>
      <c r="K1496" s="2">
        <v>5</v>
      </c>
    </row>
    <row r="1497" spans="1:11" x14ac:dyDescent="0.25">
      <c r="A1497" t="s">
        <v>1543</v>
      </c>
      <c r="B1497" t="s">
        <v>20</v>
      </c>
      <c r="C1497" t="s">
        <v>44</v>
      </c>
      <c r="D1497" t="s">
        <v>37</v>
      </c>
      <c r="E1497" s="1">
        <v>45070</v>
      </c>
      <c r="F1497" s="1">
        <v>45074</v>
      </c>
      <c r="G1497" s="2">
        <v>29.9</v>
      </c>
      <c r="H1497" s="2">
        <v>235.86</v>
      </c>
      <c r="I1497" t="s">
        <v>15</v>
      </c>
      <c r="J1497" s="2">
        <v>1581</v>
      </c>
      <c r="K1497" s="2">
        <v>4</v>
      </c>
    </row>
    <row r="1498" spans="1:11" x14ac:dyDescent="0.25">
      <c r="A1498" t="s">
        <v>1544</v>
      </c>
      <c r="B1498" t="s">
        <v>51</v>
      </c>
      <c r="C1498" t="s">
        <v>31</v>
      </c>
      <c r="D1498" t="s">
        <v>42</v>
      </c>
      <c r="E1498" s="1">
        <v>45015</v>
      </c>
      <c r="F1498" s="1">
        <v>45018</v>
      </c>
      <c r="G1498" s="2">
        <v>16.100000000000001</v>
      </c>
      <c r="H1498" s="2">
        <v>127.74</v>
      </c>
      <c r="I1498" t="s">
        <v>15</v>
      </c>
      <c r="J1498" s="2">
        <v>932</v>
      </c>
      <c r="K1498" s="2">
        <v>3</v>
      </c>
    </row>
    <row r="1499" spans="1:11" x14ac:dyDescent="0.25">
      <c r="A1499" t="s">
        <v>1545</v>
      </c>
      <c r="B1499" t="s">
        <v>39</v>
      </c>
      <c r="C1499" t="s">
        <v>57</v>
      </c>
      <c r="D1499" t="s">
        <v>18</v>
      </c>
      <c r="E1499" s="1">
        <v>45218</v>
      </c>
      <c r="F1499" s="1">
        <v>45219</v>
      </c>
      <c r="G1499" s="2">
        <v>10.8</v>
      </c>
      <c r="I1499" t="s">
        <v>15</v>
      </c>
      <c r="J1499" s="2">
        <v>185</v>
      </c>
      <c r="K1499" s="2">
        <v>1</v>
      </c>
    </row>
    <row r="1500" spans="1:11" x14ac:dyDescent="0.25">
      <c r="A1500" t="s">
        <v>1546</v>
      </c>
      <c r="B1500" t="s">
        <v>39</v>
      </c>
      <c r="C1500" t="s">
        <v>46</v>
      </c>
      <c r="D1500" t="s">
        <v>14</v>
      </c>
      <c r="E1500" s="1">
        <v>45107</v>
      </c>
      <c r="F1500" s="1">
        <v>45111</v>
      </c>
      <c r="G1500" s="2">
        <v>19.399999999999999</v>
      </c>
      <c r="H1500" s="2">
        <v>116.18</v>
      </c>
      <c r="I1500" t="s">
        <v>62</v>
      </c>
      <c r="J1500" s="2">
        <v>812</v>
      </c>
      <c r="K1500" s="2">
        <v>4</v>
      </c>
    </row>
    <row r="1501" spans="1:11" x14ac:dyDescent="0.25">
      <c r="A1501" t="s">
        <v>1547</v>
      </c>
      <c r="B1501" t="s">
        <v>39</v>
      </c>
      <c r="C1501" t="s">
        <v>52</v>
      </c>
      <c r="D1501" t="s">
        <v>14</v>
      </c>
      <c r="E1501" s="1">
        <v>45032</v>
      </c>
      <c r="F1501" s="1">
        <v>45035</v>
      </c>
      <c r="G1501" s="2">
        <v>37.700000000000003</v>
      </c>
      <c r="H1501" s="2">
        <v>164.72</v>
      </c>
      <c r="I1501" t="s">
        <v>62</v>
      </c>
      <c r="J1501" s="2">
        <v>925</v>
      </c>
      <c r="K1501" s="2">
        <v>3</v>
      </c>
    </row>
    <row r="1502" spans="1:11" x14ac:dyDescent="0.25">
      <c r="A1502" t="s">
        <v>1548</v>
      </c>
      <c r="B1502" t="s">
        <v>23</v>
      </c>
      <c r="C1502" t="s">
        <v>36</v>
      </c>
      <c r="D1502" t="s">
        <v>37</v>
      </c>
      <c r="E1502" s="1">
        <v>45181</v>
      </c>
      <c r="F1502" s="1">
        <v>45196</v>
      </c>
      <c r="G1502" s="2">
        <v>16</v>
      </c>
      <c r="H1502" s="2">
        <v>110.54</v>
      </c>
      <c r="I1502" t="s">
        <v>47</v>
      </c>
      <c r="J1502" s="2">
        <v>770</v>
      </c>
      <c r="K1502" s="2">
        <v>6</v>
      </c>
    </row>
    <row r="1503" spans="1:11" x14ac:dyDescent="0.25">
      <c r="A1503" t="s">
        <v>1549</v>
      </c>
      <c r="B1503" t="s">
        <v>23</v>
      </c>
      <c r="C1503" t="s">
        <v>17</v>
      </c>
      <c r="D1503" t="s">
        <v>14</v>
      </c>
      <c r="E1503" s="1">
        <v>44991</v>
      </c>
      <c r="F1503" s="1">
        <v>44996</v>
      </c>
      <c r="G1503" s="2">
        <v>26.2</v>
      </c>
      <c r="H1503" s="2">
        <v>212.17</v>
      </c>
      <c r="I1503" t="s">
        <v>15</v>
      </c>
      <c r="J1503" s="2">
        <v>1541</v>
      </c>
      <c r="K1503" s="2">
        <v>5</v>
      </c>
    </row>
    <row r="1504" spans="1:11" x14ac:dyDescent="0.25">
      <c r="A1504" t="s">
        <v>1550</v>
      </c>
      <c r="B1504" t="s">
        <v>12</v>
      </c>
      <c r="C1504" t="s">
        <v>44</v>
      </c>
      <c r="D1504" t="s">
        <v>32</v>
      </c>
      <c r="E1504" s="1">
        <v>45128</v>
      </c>
      <c r="F1504" s="1">
        <v>45131</v>
      </c>
      <c r="G1504" s="2">
        <v>18.399999999999999</v>
      </c>
      <c r="H1504" s="2">
        <v>149.34</v>
      </c>
      <c r="I1504" t="s">
        <v>15</v>
      </c>
      <c r="J1504" s="2">
        <v>974</v>
      </c>
      <c r="K1504" s="2">
        <v>3</v>
      </c>
    </row>
    <row r="1505" spans="1:11" x14ac:dyDescent="0.25">
      <c r="A1505" t="s">
        <v>1551</v>
      </c>
      <c r="B1505" t="s">
        <v>35</v>
      </c>
      <c r="C1505" t="s">
        <v>81</v>
      </c>
      <c r="D1505" t="s">
        <v>32</v>
      </c>
      <c r="E1505" s="1">
        <v>45156</v>
      </c>
      <c r="F1505" s="1">
        <v>45158</v>
      </c>
      <c r="G1505" s="2">
        <v>22.3</v>
      </c>
      <c r="H1505" s="2">
        <v>151.26</v>
      </c>
      <c r="I1505" t="s">
        <v>15</v>
      </c>
      <c r="J1505" s="2">
        <v>1000</v>
      </c>
      <c r="K1505" s="2">
        <v>2</v>
      </c>
    </row>
    <row r="1506" spans="1:11" x14ac:dyDescent="0.25">
      <c r="A1506" t="s">
        <v>1552</v>
      </c>
      <c r="B1506" t="s">
        <v>51</v>
      </c>
      <c r="C1506" t="s">
        <v>54</v>
      </c>
      <c r="D1506" t="s">
        <v>37</v>
      </c>
      <c r="E1506" s="1">
        <v>45194</v>
      </c>
      <c r="F1506" s="1">
        <v>45195</v>
      </c>
      <c r="G1506" s="2">
        <v>21.1</v>
      </c>
      <c r="H1506" s="2">
        <v>49.13</v>
      </c>
      <c r="I1506" t="s">
        <v>15</v>
      </c>
      <c r="J1506" s="2">
        <v>190</v>
      </c>
      <c r="K1506" s="2">
        <v>1</v>
      </c>
    </row>
    <row r="1507" spans="1:11" x14ac:dyDescent="0.25">
      <c r="A1507" t="s">
        <v>1553</v>
      </c>
      <c r="B1507" t="s">
        <v>30</v>
      </c>
      <c r="C1507" t="s">
        <v>57</v>
      </c>
      <c r="D1507" t="s">
        <v>25</v>
      </c>
      <c r="E1507" s="1">
        <v>45107</v>
      </c>
      <c r="F1507" s="1">
        <v>45118</v>
      </c>
      <c r="G1507" s="2">
        <v>7.7</v>
      </c>
      <c r="H1507" s="2">
        <v>157.65</v>
      </c>
      <c r="I1507" t="s">
        <v>47</v>
      </c>
      <c r="J1507" s="2">
        <v>1140</v>
      </c>
      <c r="K1507" s="2">
        <v>3</v>
      </c>
    </row>
    <row r="1508" spans="1:11" x14ac:dyDescent="0.25">
      <c r="A1508" t="s">
        <v>1554</v>
      </c>
      <c r="B1508" t="s">
        <v>27</v>
      </c>
      <c r="C1508" t="s">
        <v>54</v>
      </c>
      <c r="D1508" t="s">
        <v>42</v>
      </c>
      <c r="E1508" s="1">
        <v>45013</v>
      </c>
      <c r="F1508" s="1">
        <v>45019</v>
      </c>
      <c r="G1508" s="2">
        <v>23.1</v>
      </c>
      <c r="H1508" s="2">
        <v>232.72</v>
      </c>
      <c r="I1508" t="s">
        <v>47</v>
      </c>
      <c r="J1508" s="2">
        <v>1646</v>
      </c>
      <c r="K1508" s="2">
        <v>5</v>
      </c>
    </row>
    <row r="1509" spans="1:11" x14ac:dyDescent="0.25">
      <c r="A1509" t="s">
        <v>1555</v>
      </c>
      <c r="B1509" t="s">
        <v>49</v>
      </c>
      <c r="C1509" t="s">
        <v>54</v>
      </c>
      <c r="D1509" t="s">
        <v>32</v>
      </c>
      <c r="E1509" s="1">
        <v>45209</v>
      </c>
      <c r="F1509" s="1">
        <v>45216</v>
      </c>
      <c r="G1509" s="2">
        <v>15.5</v>
      </c>
      <c r="H1509" s="2">
        <v>303.18</v>
      </c>
      <c r="I1509" t="s">
        <v>15</v>
      </c>
      <c r="J1509" s="2">
        <v>2200</v>
      </c>
      <c r="K1509" s="2">
        <v>7</v>
      </c>
    </row>
    <row r="1510" spans="1:11" x14ac:dyDescent="0.25">
      <c r="A1510" t="s">
        <v>1556</v>
      </c>
      <c r="B1510" t="s">
        <v>56</v>
      </c>
      <c r="C1510" t="s">
        <v>52</v>
      </c>
      <c r="D1510" t="s">
        <v>25</v>
      </c>
      <c r="E1510" s="1">
        <v>45288</v>
      </c>
      <c r="F1510" s="1">
        <v>45293</v>
      </c>
      <c r="G1510" s="2">
        <v>6.8</v>
      </c>
      <c r="H1510" s="2">
        <v>343.72</v>
      </c>
      <c r="I1510" t="s">
        <v>15</v>
      </c>
      <c r="J1510" s="2">
        <v>2246</v>
      </c>
      <c r="K1510" s="2">
        <v>5</v>
      </c>
    </row>
    <row r="1511" spans="1:11" x14ac:dyDescent="0.25">
      <c r="A1511" t="s">
        <v>1557</v>
      </c>
      <c r="B1511" t="s">
        <v>39</v>
      </c>
      <c r="C1511" t="s">
        <v>46</v>
      </c>
      <c r="D1511" t="s">
        <v>14</v>
      </c>
      <c r="E1511" s="1">
        <v>45222</v>
      </c>
      <c r="F1511" s="1">
        <v>45223</v>
      </c>
      <c r="G1511" s="2">
        <v>40.9</v>
      </c>
      <c r="H1511" s="2">
        <v>86.69</v>
      </c>
      <c r="I1511" t="s">
        <v>15</v>
      </c>
      <c r="J1511" s="2">
        <v>295</v>
      </c>
      <c r="K1511" s="2">
        <v>1</v>
      </c>
    </row>
    <row r="1512" spans="1:11" x14ac:dyDescent="0.25">
      <c r="A1512" t="s">
        <v>1558</v>
      </c>
      <c r="B1512" t="s">
        <v>30</v>
      </c>
      <c r="C1512" t="s">
        <v>44</v>
      </c>
      <c r="D1512" t="s">
        <v>42</v>
      </c>
      <c r="E1512" s="1">
        <v>45027</v>
      </c>
      <c r="F1512" s="1">
        <v>45034</v>
      </c>
      <c r="G1512" s="2">
        <v>13.9</v>
      </c>
      <c r="H1512" s="2">
        <v>302.88</v>
      </c>
      <c r="I1512" t="s">
        <v>62</v>
      </c>
      <c r="J1512" s="2">
        <v>2212</v>
      </c>
      <c r="K1512" s="2">
        <v>7</v>
      </c>
    </row>
    <row r="1513" spans="1:11" x14ac:dyDescent="0.25">
      <c r="A1513" t="s">
        <v>1559</v>
      </c>
      <c r="B1513" t="s">
        <v>20</v>
      </c>
      <c r="C1513" t="s">
        <v>31</v>
      </c>
      <c r="D1513" t="s">
        <v>14</v>
      </c>
      <c r="E1513" s="1">
        <v>45074</v>
      </c>
      <c r="F1513" s="1">
        <v>45076</v>
      </c>
      <c r="G1513" s="2">
        <v>29.3</v>
      </c>
      <c r="H1513" s="2">
        <v>95.51</v>
      </c>
      <c r="I1513" t="s">
        <v>15</v>
      </c>
      <c r="J1513" s="2">
        <v>458</v>
      </c>
      <c r="K1513" s="2">
        <v>2</v>
      </c>
    </row>
    <row r="1514" spans="1:11" x14ac:dyDescent="0.25">
      <c r="A1514" t="s">
        <v>1560</v>
      </c>
      <c r="B1514" t="s">
        <v>30</v>
      </c>
      <c r="C1514" t="s">
        <v>40</v>
      </c>
      <c r="D1514" t="s">
        <v>42</v>
      </c>
      <c r="E1514" s="1">
        <v>45157</v>
      </c>
      <c r="F1514" s="1">
        <v>45167</v>
      </c>
      <c r="G1514" s="2">
        <v>23.9</v>
      </c>
      <c r="H1514" s="2">
        <v>321.25</v>
      </c>
      <c r="I1514" t="s">
        <v>47</v>
      </c>
      <c r="J1514" s="2">
        <v>2386</v>
      </c>
      <c r="K1514" s="2">
        <v>5</v>
      </c>
    </row>
    <row r="1515" spans="1:11" x14ac:dyDescent="0.25">
      <c r="A1515" t="s">
        <v>1561</v>
      </c>
      <c r="B1515" t="s">
        <v>23</v>
      </c>
      <c r="C1515" t="s">
        <v>54</v>
      </c>
      <c r="D1515" t="s">
        <v>37</v>
      </c>
      <c r="E1515" s="1">
        <v>44976</v>
      </c>
      <c r="F1515" s="1">
        <v>44980</v>
      </c>
      <c r="G1515" s="2">
        <v>48.5</v>
      </c>
      <c r="H1515" s="2">
        <v>220.96</v>
      </c>
      <c r="I1515" t="s">
        <v>15</v>
      </c>
      <c r="J1515" s="2">
        <v>1396</v>
      </c>
      <c r="K1515" s="2">
        <v>4</v>
      </c>
    </row>
    <row r="1516" spans="1:11" x14ac:dyDescent="0.25">
      <c r="A1516" t="s">
        <v>1562</v>
      </c>
      <c r="B1516" t="s">
        <v>35</v>
      </c>
      <c r="C1516" t="s">
        <v>52</v>
      </c>
      <c r="D1516" t="s">
        <v>25</v>
      </c>
      <c r="E1516" s="1">
        <v>45275</v>
      </c>
      <c r="F1516" s="1">
        <v>45280</v>
      </c>
      <c r="G1516" s="2">
        <v>39.700000000000003</v>
      </c>
      <c r="H1516" s="2">
        <v>186.77</v>
      </c>
      <c r="I1516" t="s">
        <v>15</v>
      </c>
      <c r="J1516" s="2">
        <v>890</v>
      </c>
      <c r="K1516" s="2">
        <v>5</v>
      </c>
    </row>
    <row r="1517" spans="1:11" x14ac:dyDescent="0.25">
      <c r="A1517" t="s">
        <v>1563</v>
      </c>
      <c r="B1517" t="s">
        <v>39</v>
      </c>
      <c r="C1517" t="s">
        <v>31</v>
      </c>
      <c r="D1517" t="s">
        <v>37</v>
      </c>
      <c r="E1517" s="1">
        <v>45044</v>
      </c>
      <c r="F1517" s="1">
        <v>45050</v>
      </c>
      <c r="G1517" s="2">
        <v>27.7</v>
      </c>
      <c r="H1517" s="2">
        <v>131.18</v>
      </c>
      <c r="I1517" t="s">
        <v>47</v>
      </c>
      <c r="J1517" s="2">
        <v>916</v>
      </c>
      <c r="K1517" s="2">
        <v>3</v>
      </c>
    </row>
    <row r="1518" spans="1:11" x14ac:dyDescent="0.25">
      <c r="A1518" t="s">
        <v>1564</v>
      </c>
      <c r="B1518" t="s">
        <v>27</v>
      </c>
      <c r="C1518" t="s">
        <v>44</v>
      </c>
      <c r="D1518" t="s">
        <v>42</v>
      </c>
      <c r="E1518" s="1">
        <v>45132</v>
      </c>
      <c r="F1518" s="1">
        <v>45134</v>
      </c>
      <c r="G1518" s="2">
        <v>18.8</v>
      </c>
      <c r="H1518" s="2">
        <v>80.05</v>
      </c>
      <c r="I1518" t="s">
        <v>15</v>
      </c>
      <c r="J1518" s="2">
        <v>496</v>
      </c>
      <c r="K1518" s="2">
        <v>2</v>
      </c>
    </row>
    <row r="1519" spans="1:11" x14ac:dyDescent="0.25">
      <c r="A1519" t="s">
        <v>1565</v>
      </c>
      <c r="B1519" t="s">
        <v>51</v>
      </c>
      <c r="C1519" t="s">
        <v>13</v>
      </c>
      <c r="D1519" t="s">
        <v>59</v>
      </c>
      <c r="E1519" s="1">
        <v>45187</v>
      </c>
      <c r="F1519" s="1">
        <v>45196</v>
      </c>
      <c r="G1519" s="2">
        <v>9.6999999999999993</v>
      </c>
      <c r="H1519" s="2">
        <v>284.70999999999998</v>
      </c>
      <c r="I1519" t="s">
        <v>15</v>
      </c>
      <c r="J1519" s="2">
        <v>2488</v>
      </c>
      <c r="K1519" s="2">
        <v>9</v>
      </c>
    </row>
    <row r="1520" spans="1:11" x14ac:dyDescent="0.25">
      <c r="A1520" t="s">
        <v>1566</v>
      </c>
      <c r="B1520" t="s">
        <v>23</v>
      </c>
      <c r="C1520" t="s">
        <v>28</v>
      </c>
      <c r="D1520" t="s">
        <v>18</v>
      </c>
      <c r="E1520" s="1">
        <v>45093</v>
      </c>
      <c r="F1520" s="1">
        <v>45097</v>
      </c>
      <c r="G1520" s="2">
        <v>34.9</v>
      </c>
      <c r="H1520" s="2">
        <v>261.45</v>
      </c>
      <c r="I1520" t="s">
        <v>15</v>
      </c>
      <c r="J1520" s="2">
        <v>1507</v>
      </c>
      <c r="K1520" s="2">
        <v>4</v>
      </c>
    </row>
    <row r="1521" spans="1:11" x14ac:dyDescent="0.25">
      <c r="A1521" t="s">
        <v>1567</v>
      </c>
      <c r="B1521" t="s">
        <v>56</v>
      </c>
      <c r="C1521" t="s">
        <v>36</v>
      </c>
      <c r="D1521" t="s">
        <v>42</v>
      </c>
      <c r="E1521" s="1">
        <v>45285</v>
      </c>
      <c r="F1521" s="1">
        <v>45286</v>
      </c>
      <c r="G1521" s="2">
        <v>22.3</v>
      </c>
      <c r="I1521" t="s">
        <v>15</v>
      </c>
      <c r="J1521" s="2">
        <v>148</v>
      </c>
      <c r="K1521" s="2">
        <v>1</v>
      </c>
    </row>
    <row r="1522" spans="1:11" x14ac:dyDescent="0.25">
      <c r="A1522" t="s">
        <v>1568</v>
      </c>
      <c r="B1522" t="s">
        <v>39</v>
      </c>
      <c r="C1522" t="s">
        <v>28</v>
      </c>
      <c r="D1522" t="s">
        <v>37</v>
      </c>
      <c r="E1522" s="1">
        <v>45077</v>
      </c>
      <c r="F1522" s="1">
        <v>45079</v>
      </c>
      <c r="G1522" s="2">
        <v>28.2</v>
      </c>
      <c r="H1522" s="2">
        <v>103.67</v>
      </c>
      <c r="I1522" t="s">
        <v>15</v>
      </c>
      <c r="J1522" s="2">
        <v>599</v>
      </c>
      <c r="K1522" s="2">
        <v>2</v>
      </c>
    </row>
    <row r="1523" spans="1:11" x14ac:dyDescent="0.25">
      <c r="A1523" t="s">
        <v>1569</v>
      </c>
      <c r="B1523" t="s">
        <v>56</v>
      </c>
      <c r="C1523" t="s">
        <v>81</v>
      </c>
      <c r="D1523" t="s">
        <v>18</v>
      </c>
      <c r="E1523" s="1">
        <v>45147</v>
      </c>
      <c r="F1523" s="1">
        <v>45148</v>
      </c>
      <c r="G1523" s="2">
        <v>11.4</v>
      </c>
      <c r="H1523" s="2">
        <v>44.4</v>
      </c>
      <c r="I1523" t="s">
        <v>15</v>
      </c>
      <c r="J1523" s="2">
        <v>234</v>
      </c>
      <c r="K1523" s="2">
        <v>1</v>
      </c>
    </row>
    <row r="1524" spans="1:11" x14ac:dyDescent="0.25">
      <c r="A1524" t="s">
        <v>1570</v>
      </c>
      <c r="B1524" t="s">
        <v>27</v>
      </c>
      <c r="C1524" t="s">
        <v>13</v>
      </c>
      <c r="D1524" t="s">
        <v>18</v>
      </c>
      <c r="E1524" s="1">
        <v>45077</v>
      </c>
      <c r="F1524" s="1">
        <v>45085</v>
      </c>
      <c r="G1524" s="2">
        <v>10.8</v>
      </c>
      <c r="H1524" s="2">
        <v>271.64</v>
      </c>
      <c r="I1524" t="s">
        <v>15</v>
      </c>
      <c r="J1524" s="2">
        <v>1974</v>
      </c>
      <c r="K1524" s="2">
        <v>8</v>
      </c>
    </row>
    <row r="1525" spans="1:11" x14ac:dyDescent="0.25">
      <c r="A1525" t="s">
        <v>1571</v>
      </c>
      <c r="B1525" t="s">
        <v>35</v>
      </c>
      <c r="C1525" t="s">
        <v>13</v>
      </c>
      <c r="D1525" t="s">
        <v>37</v>
      </c>
      <c r="E1525" s="1">
        <v>45163</v>
      </c>
      <c r="F1525" s="1">
        <v>45169</v>
      </c>
      <c r="G1525" s="2">
        <v>12.2</v>
      </c>
      <c r="H1525" s="2">
        <v>259.25</v>
      </c>
      <c r="I1525" t="s">
        <v>15</v>
      </c>
      <c r="J1525" s="2">
        <v>2271</v>
      </c>
      <c r="K1525" s="2">
        <v>6</v>
      </c>
    </row>
    <row r="1526" spans="1:11" x14ac:dyDescent="0.25">
      <c r="A1526" t="s">
        <v>1572</v>
      </c>
      <c r="B1526" t="s">
        <v>27</v>
      </c>
      <c r="C1526" t="s">
        <v>54</v>
      </c>
      <c r="D1526" t="s">
        <v>32</v>
      </c>
      <c r="E1526" s="1">
        <v>45167</v>
      </c>
      <c r="F1526" s="1">
        <v>45171</v>
      </c>
      <c r="G1526" s="2">
        <v>22.8</v>
      </c>
      <c r="H1526" s="2">
        <v>221.62</v>
      </c>
      <c r="I1526" t="s">
        <v>67</v>
      </c>
      <c r="J1526" s="2">
        <v>1599</v>
      </c>
      <c r="K1526" s="2">
        <v>4</v>
      </c>
    </row>
    <row r="1527" spans="1:11" x14ac:dyDescent="0.25">
      <c r="A1527" t="s">
        <v>1573</v>
      </c>
      <c r="B1527" t="s">
        <v>35</v>
      </c>
      <c r="C1527" t="s">
        <v>57</v>
      </c>
      <c r="D1527" t="s">
        <v>18</v>
      </c>
      <c r="E1527" s="1">
        <v>45094</v>
      </c>
      <c r="F1527" s="1">
        <v>45099</v>
      </c>
      <c r="G1527" s="2">
        <v>15.1</v>
      </c>
      <c r="H1527" s="2">
        <v>142.08000000000001</v>
      </c>
      <c r="I1527" t="s">
        <v>15</v>
      </c>
      <c r="J1527" s="2">
        <v>977</v>
      </c>
      <c r="K1527" s="2">
        <v>5</v>
      </c>
    </row>
    <row r="1528" spans="1:11" x14ac:dyDescent="0.25">
      <c r="A1528" t="s">
        <v>1574</v>
      </c>
      <c r="B1528" t="s">
        <v>51</v>
      </c>
      <c r="C1528" t="s">
        <v>81</v>
      </c>
      <c r="D1528" t="s">
        <v>37</v>
      </c>
      <c r="E1528" s="1">
        <v>45202</v>
      </c>
      <c r="F1528" s="1">
        <v>45205</v>
      </c>
      <c r="G1528" s="2">
        <v>11.3</v>
      </c>
      <c r="H1528" s="2">
        <v>154.44999999999999</v>
      </c>
      <c r="I1528" t="s">
        <v>15</v>
      </c>
      <c r="J1528" s="2">
        <v>1311</v>
      </c>
      <c r="K1528" s="2">
        <v>3</v>
      </c>
    </row>
    <row r="1529" spans="1:11" x14ac:dyDescent="0.25">
      <c r="A1529" t="s">
        <v>1575</v>
      </c>
      <c r="B1529" t="s">
        <v>35</v>
      </c>
      <c r="C1529" t="s">
        <v>70</v>
      </c>
      <c r="D1529" t="s">
        <v>37</v>
      </c>
      <c r="E1529" s="1">
        <v>45062</v>
      </c>
      <c r="F1529" s="1">
        <v>45064</v>
      </c>
      <c r="G1529" s="2">
        <v>64.7</v>
      </c>
      <c r="H1529" s="2">
        <v>105.03</v>
      </c>
      <c r="I1529" t="s">
        <v>15</v>
      </c>
      <c r="J1529" s="2">
        <v>268</v>
      </c>
      <c r="K1529" s="2">
        <v>2</v>
      </c>
    </row>
    <row r="1530" spans="1:11" x14ac:dyDescent="0.25">
      <c r="A1530" t="s">
        <v>1576</v>
      </c>
      <c r="B1530" t="s">
        <v>56</v>
      </c>
      <c r="C1530" t="s">
        <v>13</v>
      </c>
      <c r="D1530" t="s">
        <v>59</v>
      </c>
      <c r="E1530" s="1">
        <v>45194</v>
      </c>
      <c r="F1530" s="1">
        <v>45198</v>
      </c>
      <c r="G1530" s="2">
        <v>64.8</v>
      </c>
      <c r="H1530" s="2">
        <v>258.52</v>
      </c>
      <c r="I1530" t="s">
        <v>15</v>
      </c>
      <c r="J1530" s="2">
        <v>1466</v>
      </c>
      <c r="K1530" s="2">
        <v>4</v>
      </c>
    </row>
    <row r="1531" spans="1:11" x14ac:dyDescent="0.25">
      <c r="A1531" t="s">
        <v>1577</v>
      </c>
      <c r="B1531" t="s">
        <v>30</v>
      </c>
      <c r="C1531" t="s">
        <v>44</v>
      </c>
      <c r="D1531" t="s">
        <v>18</v>
      </c>
      <c r="E1531" s="1">
        <v>44988</v>
      </c>
      <c r="F1531" s="1">
        <v>44997</v>
      </c>
      <c r="G1531" s="2">
        <v>21.2</v>
      </c>
      <c r="H1531" s="2">
        <v>312.87</v>
      </c>
      <c r="I1531" t="s">
        <v>15</v>
      </c>
      <c r="J1531" s="2">
        <v>2181</v>
      </c>
      <c r="K1531" s="2">
        <v>9</v>
      </c>
    </row>
    <row r="1532" spans="1:11" x14ac:dyDescent="0.25">
      <c r="A1532" t="s">
        <v>1578</v>
      </c>
      <c r="B1532" t="s">
        <v>39</v>
      </c>
      <c r="C1532" t="s">
        <v>21</v>
      </c>
      <c r="D1532" t="s">
        <v>25</v>
      </c>
      <c r="E1532" s="1">
        <v>44932</v>
      </c>
      <c r="F1532" s="1">
        <v>44934</v>
      </c>
      <c r="G1532" s="2">
        <v>13.4</v>
      </c>
      <c r="H1532" s="2">
        <v>62.54</v>
      </c>
      <c r="I1532" t="s">
        <v>15</v>
      </c>
      <c r="J1532" s="2">
        <v>379</v>
      </c>
      <c r="K1532" s="2">
        <v>2</v>
      </c>
    </row>
    <row r="1533" spans="1:11" x14ac:dyDescent="0.25">
      <c r="A1533" t="s">
        <v>1579</v>
      </c>
      <c r="B1533" t="s">
        <v>39</v>
      </c>
      <c r="C1533" t="s">
        <v>36</v>
      </c>
      <c r="D1533" t="s">
        <v>59</v>
      </c>
      <c r="E1533" s="1">
        <v>45230</v>
      </c>
      <c r="F1533" s="1">
        <v>45233</v>
      </c>
      <c r="G1533" s="2">
        <v>9.1999999999999993</v>
      </c>
      <c r="H1533" s="2">
        <v>22.1</v>
      </c>
      <c r="I1533" t="s">
        <v>15</v>
      </c>
      <c r="J1533" s="2">
        <v>123</v>
      </c>
      <c r="K1533" s="2">
        <v>3</v>
      </c>
    </row>
    <row r="1534" spans="1:11" x14ac:dyDescent="0.25">
      <c r="A1534" t="s">
        <v>1580</v>
      </c>
      <c r="B1534" t="s">
        <v>27</v>
      </c>
      <c r="C1534" t="s">
        <v>21</v>
      </c>
      <c r="D1534" t="s">
        <v>42</v>
      </c>
      <c r="E1534" s="1">
        <v>45089</v>
      </c>
      <c r="F1534" s="1">
        <v>45092</v>
      </c>
      <c r="G1534" s="2">
        <v>35.4</v>
      </c>
      <c r="I1534" t="s">
        <v>15</v>
      </c>
      <c r="J1534" s="2">
        <v>1203</v>
      </c>
      <c r="K1534" s="2">
        <v>3</v>
      </c>
    </row>
    <row r="1535" spans="1:11" x14ac:dyDescent="0.25">
      <c r="A1535" t="s">
        <v>1581</v>
      </c>
      <c r="B1535" t="s">
        <v>30</v>
      </c>
      <c r="C1535" t="s">
        <v>52</v>
      </c>
      <c r="D1535" t="s">
        <v>59</v>
      </c>
      <c r="E1535" s="1">
        <v>45080</v>
      </c>
      <c r="F1535" s="1">
        <v>45083</v>
      </c>
      <c r="G1535" s="2">
        <v>41.9</v>
      </c>
      <c r="H1535" s="2">
        <v>108.73</v>
      </c>
      <c r="I1535" t="s">
        <v>15</v>
      </c>
      <c r="J1535" s="2">
        <v>501</v>
      </c>
      <c r="K1535" s="2">
        <v>3</v>
      </c>
    </row>
    <row r="1536" spans="1:11" x14ac:dyDescent="0.25">
      <c r="A1536" t="s">
        <v>1582</v>
      </c>
      <c r="B1536" t="s">
        <v>27</v>
      </c>
      <c r="C1536" t="s">
        <v>57</v>
      </c>
      <c r="D1536" t="s">
        <v>37</v>
      </c>
      <c r="E1536" s="1">
        <v>45288</v>
      </c>
      <c r="F1536" s="1">
        <v>45292</v>
      </c>
      <c r="G1536" s="2">
        <v>10.3</v>
      </c>
      <c r="H1536" s="2">
        <v>164.78</v>
      </c>
      <c r="I1536" t="s">
        <v>60</v>
      </c>
      <c r="J1536" s="2">
        <v>1034</v>
      </c>
      <c r="K1536" s="2">
        <v>4</v>
      </c>
    </row>
    <row r="1537" spans="1:11" x14ac:dyDescent="0.25">
      <c r="A1537" t="s">
        <v>1583</v>
      </c>
      <c r="B1537" t="s">
        <v>12</v>
      </c>
      <c r="C1537" t="s">
        <v>81</v>
      </c>
      <c r="D1537" t="s">
        <v>32</v>
      </c>
      <c r="E1537" s="1">
        <v>45233</v>
      </c>
      <c r="F1537" s="1">
        <v>45234</v>
      </c>
      <c r="G1537" s="2">
        <v>6</v>
      </c>
      <c r="H1537" s="2">
        <v>50.96</v>
      </c>
      <c r="I1537" t="s">
        <v>62</v>
      </c>
      <c r="J1537" s="2">
        <v>283</v>
      </c>
      <c r="K1537" s="2">
        <v>1</v>
      </c>
    </row>
    <row r="1538" spans="1:11" x14ac:dyDescent="0.25">
      <c r="A1538" t="s">
        <v>1584</v>
      </c>
      <c r="B1538" t="s">
        <v>27</v>
      </c>
      <c r="C1538" t="s">
        <v>13</v>
      </c>
      <c r="D1538" t="s">
        <v>18</v>
      </c>
      <c r="E1538" s="1">
        <v>45284</v>
      </c>
      <c r="F1538" s="1">
        <v>45299</v>
      </c>
      <c r="G1538" s="2">
        <v>14.8</v>
      </c>
      <c r="H1538" s="2">
        <v>137.77000000000001</v>
      </c>
      <c r="I1538" t="s">
        <v>47</v>
      </c>
      <c r="J1538" s="2">
        <v>655</v>
      </c>
      <c r="K1538" s="2">
        <v>4</v>
      </c>
    </row>
    <row r="1539" spans="1:11" x14ac:dyDescent="0.25">
      <c r="A1539" t="s">
        <v>1585</v>
      </c>
      <c r="B1539" t="s">
        <v>49</v>
      </c>
      <c r="C1539" t="s">
        <v>57</v>
      </c>
      <c r="D1539" t="s">
        <v>25</v>
      </c>
      <c r="E1539" s="1">
        <v>45199</v>
      </c>
      <c r="F1539" s="1">
        <v>45201</v>
      </c>
      <c r="G1539" s="2">
        <v>17.899999999999999</v>
      </c>
      <c r="H1539" s="2">
        <v>87.69</v>
      </c>
      <c r="I1539" t="s">
        <v>15</v>
      </c>
      <c r="J1539" s="2">
        <v>552</v>
      </c>
      <c r="K1539" s="2">
        <v>2</v>
      </c>
    </row>
    <row r="1540" spans="1:11" x14ac:dyDescent="0.25">
      <c r="A1540" t="s">
        <v>1586</v>
      </c>
      <c r="B1540" t="s">
        <v>35</v>
      </c>
      <c r="C1540" t="s">
        <v>54</v>
      </c>
      <c r="D1540" t="s">
        <v>32</v>
      </c>
      <c r="E1540" s="1">
        <v>45059</v>
      </c>
      <c r="F1540" s="1">
        <v>45063</v>
      </c>
      <c r="G1540" s="2">
        <v>179.1</v>
      </c>
      <c r="H1540" s="2">
        <v>216.48</v>
      </c>
      <c r="I1540" t="s">
        <v>15</v>
      </c>
      <c r="J1540" s="2">
        <v>1350</v>
      </c>
      <c r="K1540" s="2">
        <v>4</v>
      </c>
    </row>
    <row r="1541" spans="1:11" x14ac:dyDescent="0.25">
      <c r="A1541" t="s">
        <v>1587</v>
      </c>
      <c r="B1541" t="s">
        <v>20</v>
      </c>
      <c r="C1541" t="s">
        <v>57</v>
      </c>
      <c r="D1541" t="s">
        <v>32</v>
      </c>
      <c r="E1541" s="1">
        <v>45253</v>
      </c>
      <c r="F1541" s="1">
        <v>45259</v>
      </c>
      <c r="G1541" s="2">
        <v>36.299999999999997</v>
      </c>
      <c r="H1541" s="2">
        <v>439.48</v>
      </c>
      <c r="I1541" t="s">
        <v>15</v>
      </c>
      <c r="J1541" s="2">
        <v>2181</v>
      </c>
      <c r="K1541" s="2">
        <v>6</v>
      </c>
    </row>
    <row r="1542" spans="1:11" x14ac:dyDescent="0.25">
      <c r="A1542" t="s">
        <v>1588</v>
      </c>
      <c r="B1542" t="s">
        <v>30</v>
      </c>
      <c r="C1542" t="s">
        <v>57</v>
      </c>
      <c r="D1542" t="s">
        <v>18</v>
      </c>
      <c r="E1542" s="1">
        <v>45081</v>
      </c>
      <c r="F1542" s="1">
        <v>45087</v>
      </c>
      <c r="G1542" s="2">
        <v>5.8</v>
      </c>
      <c r="H1542" s="2">
        <v>338.34</v>
      </c>
      <c r="I1542" t="s">
        <v>15</v>
      </c>
      <c r="J1542" s="2">
        <v>2466</v>
      </c>
      <c r="K1542" s="2">
        <v>6</v>
      </c>
    </row>
    <row r="1543" spans="1:11" x14ac:dyDescent="0.25">
      <c r="A1543" t="s">
        <v>1589</v>
      </c>
      <c r="B1543" t="s">
        <v>27</v>
      </c>
      <c r="C1543" t="s">
        <v>52</v>
      </c>
      <c r="D1543" t="s">
        <v>25</v>
      </c>
      <c r="E1543" s="1">
        <v>45053</v>
      </c>
      <c r="F1543" s="1">
        <v>45058</v>
      </c>
      <c r="G1543" s="2">
        <v>5.6</v>
      </c>
      <c r="H1543" s="2">
        <v>78.42</v>
      </c>
      <c r="I1543" t="s">
        <v>15</v>
      </c>
      <c r="J1543" s="2">
        <v>636</v>
      </c>
      <c r="K1543" s="2">
        <v>5</v>
      </c>
    </row>
    <row r="1544" spans="1:11" x14ac:dyDescent="0.25">
      <c r="A1544" t="s">
        <v>1590</v>
      </c>
      <c r="B1544" t="s">
        <v>35</v>
      </c>
      <c r="C1544" t="s">
        <v>40</v>
      </c>
      <c r="D1544" t="s">
        <v>59</v>
      </c>
      <c r="E1544" s="1">
        <v>45262</v>
      </c>
      <c r="F1544" s="1">
        <v>45264</v>
      </c>
      <c r="G1544" s="2">
        <v>14.1</v>
      </c>
      <c r="H1544" s="2">
        <v>58.04</v>
      </c>
      <c r="I1544" t="s">
        <v>15</v>
      </c>
      <c r="J1544" s="2">
        <v>283</v>
      </c>
      <c r="K1544" s="2">
        <v>2</v>
      </c>
    </row>
    <row r="1545" spans="1:11" x14ac:dyDescent="0.25">
      <c r="A1545" t="s">
        <v>1591</v>
      </c>
      <c r="B1545" t="s">
        <v>27</v>
      </c>
      <c r="C1545" t="s">
        <v>54</v>
      </c>
      <c r="D1545" t="s">
        <v>37</v>
      </c>
      <c r="E1545" s="1">
        <v>45044</v>
      </c>
      <c r="F1545" s="1">
        <v>45046</v>
      </c>
      <c r="G1545" s="2">
        <v>12</v>
      </c>
      <c r="H1545" s="2">
        <v>43.35</v>
      </c>
      <c r="I1545" t="s">
        <v>15</v>
      </c>
      <c r="J1545" s="2">
        <v>208</v>
      </c>
      <c r="K1545" s="2">
        <v>2</v>
      </c>
    </row>
    <row r="1546" spans="1:11" x14ac:dyDescent="0.25">
      <c r="A1546" t="s">
        <v>1592</v>
      </c>
      <c r="B1546" t="s">
        <v>20</v>
      </c>
      <c r="C1546" t="s">
        <v>24</v>
      </c>
      <c r="D1546" t="s">
        <v>42</v>
      </c>
      <c r="E1546" s="1">
        <v>45253</v>
      </c>
      <c r="F1546" s="1">
        <v>45256</v>
      </c>
      <c r="G1546" s="2">
        <v>51</v>
      </c>
      <c r="I1546" t="s">
        <v>15</v>
      </c>
      <c r="J1546" s="2">
        <v>1135</v>
      </c>
      <c r="K1546" s="2">
        <v>3</v>
      </c>
    </row>
    <row r="1547" spans="1:11" x14ac:dyDescent="0.25">
      <c r="A1547" t="s">
        <v>1593</v>
      </c>
      <c r="B1547" t="s">
        <v>49</v>
      </c>
      <c r="C1547" t="s">
        <v>17</v>
      </c>
      <c r="D1547" t="s">
        <v>25</v>
      </c>
      <c r="E1547" s="1">
        <v>45094</v>
      </c>
      <c r="F1547" s="1">
        <v>45097</v>
      </c>
      <c r="G1547" s="2">
        <v>25.2</v>
      </c>
      <c r="H1547" s="2">
        <v>190.12</v>
      </c>
      <c r="I1547" t="s">
        <v>15</v>
      </c>
      <c r="J1547" s="2">
        <v>1442</v>
      </c>
      <c r="K1547" s="2">
        <v>3</v>
      </c>
    </row>
    <row r="1548" spans="1:11" x14ac:dyDescent="0.25">
      <c r="A1548" t="s">
        <v>1594</v>
      </c>
      <c r="B1548" t="s">
        <v>20</v>
      </c>
      <c r="C1548" t="s">
        <v>31</v>
      </c>
      <c r="D1548" t="s">
        <v>42</v>
      </c>
      <c r="E1548" s="1">
        <v>45052</v>
      </c>
      <c r="F1548" s="1">
        <v>45055</v>
      </c>
      <c r="G1548" s="2">
        <v>24.1</v>
      </c>
      <c r="H1548" s="2">
        <v>70.430000000000007</v>
      </c>
      <c r="I1548" t="s">
        <v>15</v>
      </c>
      <c r="J1548" s="2">
        <v>295</v>
      </c>
      <c r="K1548" s="2">
        <v>3</v>
      </c>
    </row>
    <row r="1549" spans="1:11" x14ac:dyDescent="0.25">
      <c r="A1549" t="s">
        <v>1595</v>
      </c>
      <c r="B1549" t="s">
        <v>23</v>
      </c>
      <c r="C1549" t="s">
        <v>81</v>
      </c>
      <c r="D1549" t="s">
        <v>25</v>
      </c>
      <c r="E1549" s="1">
        <v>45228</v>
      </c>
      <c r="F1549" s="1">
        <v>45236</v>
      </c>
      <c r="G1549" s="2">
        <v>17.5</v>
      </c>
      <c r="H1549" s="2">
        <v>240.07</v>
      </c>
      <c r="I1549" t="s">
        <v>15</v>
      </c>
      <c r="J1549" s="2">
        <v>1720</v>
      </c>
      <c r="K1549" s="2">
        <v>8</v>
      </c>
    </row>
    <row r="1550" spans="1:11" x14ac:dyDescent="0.25">
      <c r="A1550" t="s">
        <v>1596</v>
      </c>
      <c r="B1550" t="s">
        <v>39</v>
      </c>
      <c r="C1550" t="s">
        <v>46</v>
      </c>
      <c r="D1550" t="s">
        <v>25</v>
      </c>
      <c r="E1550" s="1">
        <v>45092</v>
      </c>
      <c r="F1550" s="1">
        <v>45095</v>
      </c>
      <c r="G1550" s="2">
        <v>46.3</v>
      </c>
      <c r="H1550" s="2">
        <v>155.66</v>
      </c>
      <c r="I1550" t="s">
        <v>15</v>
      </c>
      <c r="J1550" s="2">
        <v>912</v>
      </c>
      <c r="K1550" s="2">
        <v>3</v>
      </c>
    </row>
    <row r="1551" spans="1:11" x14ac:dyDescent="0.25">
      <c r="A1551" t="s">
        <v>1597</v>
      </c>
      <c r="B1551" t="s">
        <v>23</v>
      </c>
      <c r="C1551" t="s">
        <v>54</v>
      </c>
      <c r="D1551" t="s">
        <v>42</v>
      </c>
      <c r="E1551" s="1">
        <v>45093</v>
      </c>
      <c r="F1551" s="1">
        <v>45100</v>
      </c>
      <c r="G1551" s="2">
        <v>25.6</v>
      </c>
      <c r="H1551" s="2">
        <v>287.97000000000003</v>
      </c>
      <c r="I1551" t="s">
        <v>60</v>
      </c>
      <c r="J1551" s="2">
        <v>2129</v>
      </c>
      <c r="K1551" s="2">
        <v>7</v>
      </c>
    </row>
    <row r="1552" spans="1:11" x14ac:dyDescent="0.25">
      <c r="A1552" t="s">
        <v>1598</v>
      </c>
      <c r="B1552" t="s">
        <v>30</v>
      </c>
      <c r="C1552" t="s">
        <v>54</v>
      </c>
      <c r="D1552" t="s">
        <v>25</v>
      </c>
      <c r="E1552" s="1">
        <v>45014</v>
      </c>
      <c r="F1552" s="1">
        <v>45015</v>
      </c>
      <c r="G1552" s="2">
        <v>41.5</v>
      </c>
      <c r="H1552" s="2">
        <v>85.01</v>
      </c>
      <c r="I1552" t="s">
        <v>15</v>
      </c>
      <c r="J1552" s="2">
        <v>305</v>
      </c>
      <c r="K1552" s="2">
        <v>1</v>
      </c>
    </row>
    <row r="1553" spans="1:11" x14ac:dyDescent="0.25">
      <c r="A1553" t="s">
        <v>1599</v>
      </c>
      <c r="B1553" t="s">
        <v>12</v>
      </c>
      <c r="C1553" t="s">
        <v>24</v>
      </c>
      <c r="D1553" t="s">
        <v>18</v>
      </c>
      <c r="E1553" s="1">
        <v>45194</v>
      </c>
      <c r="G1553" s="2">
        <v>17.399999999999999</v>
      </c>
      <c r="H1553" s="2">
        <v>305.83</v>
      </c>
      <c r="I1553" t="s">
        <v>15</v>
      </c>
      <c r="J1553" s="2">
        <v>1894</v>
      </c>
      <c r="K1553" s="2">
        <v>6</v>
      </c>
    </row>
    <row r="1554" spans="1:11" x14ac:dyDescent="0.25">
      <c r="A1554" t="s">
        <v>1600</v>
      </c>
      <c r="B1554" t="s">
        <v>49</v>
      </c>
      <c r="C1554" t="s">
        <v>46</v>
      </c>
      <c r="D1554" t="s">
        <v>25</v>
      </c>
      <c r="E1554" s="1">
        <v>44929</v>
      </c>
      <c r="G1554" s="2">
        <v>184.3</v>
      </c>
      <c r="H1554" s="2">
        <v>497.31</v>
      </c>
      <c r="I1554" t="s">
        <v>47</v>
      </c>
      <c r="J1554" s="2">
        <v>1941</v>
      </c>
      <c r="K1554" s="2">
        <v>7</v>
      </c>
    </row>
    <row r="1555" spans="1:11" x14ac:dyDescent="0.25">
      <c r="A1555" t="s">
        <v>1601</v>
      </c>
      <c r="B1555" t="s">
        <v>23</v>
      </c>
      <c r="C1555" t="s">
        <v>17</v>
      </c>
      <c r="D1555" t="s">
        <v>42</v>
      </c>
      <c r="E1555" s="1">
        <v>45162</v>
      </c>
      <c r="F1555" s="1">
        <v>45168</v>
      </c>
      <c r="G1555" s="2">
        <v>50.5</v>
      </c>
      <c r="H1555" s="2">
        <v>323.77</v>
      </c>
      <c r="I1555" t="s">
        <v>15</v>
      </c>
      <c r="J1555" s="2">
        <v>2250</v>
      </c>
      <c r="K1555" s="2">
        <v>6</v>
      </c>
    </row>
    <row r="1556" spans="1:11" x14ac:dyDescent="0.25">
      <c r="A1556" t="s">
        <v>1602</v>
      </c>
      <c r="B1556" t="s">
        <v>12</v>
      </c>
      <c r="C1556" t="s">
        <v>40</v>
      </c>
      <c r="D1556" t="s">
        <v>42</v>
      </c>
      <c r="E1556" s="1">
        <v>45185</v>
      </c>
      <c r="F1556" s="1">
        <v>45192</v>
      </c>
      <c r="G1556" s="2">
        <v>9</v>
      </c>
      <c r="H1556" s="2">
        <v>261.35000000000002</v>
      </c>
      <c r="I1556" t="s">
        <v>15</v>
      </c>
      <c r="J1556" s="2">
        <v>2105</v>
      </c>
      <c r="K1556" s="2">
        <v>7</v>
      </c>
    </row>
    <row r="1557" spans="1:11" x14ac:dyDescent="0.25">
      <c r="A1557" t="s">
        <v>1603</v>
      </c>
      <c r="B1557" t="s">
        <v>27</v>
      </c>
      <c r="C1557" t="s">
        <v>21</v>
      </c>
      <c r="D1557" t="s">
        <v>18</v>
      </c>
      <c r="E1557" s="1">
        <v>45280</v>
      </c>
      <c r="F1557" s="1">
        <v>45287</v>
      </c>
      <c r="G1557" s="2">
        <v>10.5</v>
      </c>
      <c r="H1557" s="2">
        <v>81.73</v>
      </c>
      <c r="I1557" t="s">
        <v>47</v>
      </c>
      <c r="J1557" s="2">
        <v>397</v>
      </c>
      <c r="K1557" s="2">
        <v>2</v>
      </c>
    </row>
    <row r="1558" spans="1:11" x14ac:dyDescent="0.25">
      <c r="A1558" t="s">
        <v>1604</v>
      </c>
      <c r="B1558" t="s">
        <v>56</v>
      </c>
      <c r="C1558" t="s">
        <v>54</v>
      </c>
      <c r="D1558" t="s">
        <v>37</v>
      </c>
      <c r="E1558" s="1">
        <v>44936</v>
      </c>
      <c r="F1558" s="1">
        <v>44940</v>
      </c>
      <c r="G1558" s="2">
        <v>6.7</v>
      </c>
      <c r="H1558" s="2">
        <v>54.04</v>
      </c>
      <c r="I1558" t="s">
        <v>15</v>
      </c>
      <c r="J1558" s="2">
        <v>392</v>
      </c>
      <c r="K1558" s="2">
        <v>4</v>
      </c>
    </row>
    <row r="1559" spans="1:11" x14ac:dyDescent="0.25">
      <c r="A1559" t="s">
        <v>1605</v>
      </c>
      <c r="B1559" t="s">
        <v>27</v>
      </c>
      <c r="C1559" t="s">
        <v>21</v>
      </c>
      <c r="D1559" t="s">
        <v>25</v>
      </c>
      <c r="E1559" s="1">
        <v>45118</v>
      </c>
      <c r="F1559" s="1">
        <v>45132</v>
      </c>
      <c r="G1559" s="2">
        <v>9</v>
      </c>
      <c r="H1559" s="2">
        <v>126.74</v>
      </c>
      <c r="I1559" t="s">
        <v>47</v>
      </c>
      <c r="J1559" s="2">
        <v>979</v>
      </c>
      <c r="K1559" s="2">
        <v>4</v>
      </c>
    </row>
    <row r="1560" spans="1:11" x14ac:dyDescent="0.25">
      <c r="A1560" t="s">
        <v>1606</v>
      </c>
      <c r="B1560" t="s">
        <v>35</v>
      </c>
      <c r="C1560" t="s">
        <v>36</v>
      </c>
      <c r="D1560" t="s">
        <v>59</v>
      </c>
      <c r="E1560" s="1">
        <v>44999</v>
      </c>
      <c r="F1560" s="1">
        <v>45007</v>
      </c>
      <c r="G1560" s="2">
        <v>15.1</v>
      </c>
      <c r="H1560" s="2">
        <v>193.28</v>
      </c>
      <c r="I1560" t="s">
        <v>47</v>
      </c>
      <c r="J1560" s="2">
        <v>1427</v>
      </c>
      <c r="K1560" s="2">
        <v>4</v>
      </c>
    </row>
    <row r="1561" spans="1:11" x14ac:dyDescent="0.25">
      <c r="A1561" t="s">
        <v>1607</v>
      </c>
      <c r="B1561" t="s">
        <v>27</v>
      </c>
      <c r="C1561" t="s">
        <v>28</v>
      </c>
      <c r="D1561" t="s">
        <v>25</v>
      </c>
      <c r="E1561" s="1">
        <v>44952</v>
      </c>
      <c r="F1561" s="1">
        <v>44957</v>
      </c>
      <c r="G1561" s="2">
        <v>20.7</v>
      </c>
      <c r="H1561" s="2">
        <v>254.82</v>
      </c>
      <c r="I1561" t="s">
        <v>15</v>
      </c>
      <c r="J1561" s="2">
        <v>1956</v>
      </c>
      <c r="K1561" s="2">
        <v>5</v>
      </c>
    </row>
    <row r="1562" spans="1:11" x14ac:dyDescent="0.25">
      <c r="A1562" t="s">
        <v>1608</v>
      </c>
      <c r="B1562" t="s">
        <v>51</v>
      </c>
      <c r="C1562" t="s">
        <v>21</v>
      </c>
      <c r="D1562" t="s">
        <v>59</v>
      </c>
      <c r="E1562" s="1">
        <v>45254</v>
      </c>
      <c r="F1562" s="1">
        <v>45259</v>
      </c>
      <c r="G1562" s="2">
        <v>18.100000000000001</v>
      </c>
      <c r="H1562" s="2">
        <v>132.04</v>
      </c>
      <c r="I1562" t="s">
        <v>15</v>
      </c>
      <c r="J1562" s="2">
        <v>863</v>
      </c>
      <c r="K1562" s="2">
        <v>5</v>
      </c>
    </row>
    <row r="1563" spans="1:11" x14ac:dyDescent="0.25">
      <c r="A1563" t="s">
        <v>1609</v>
      </c>
      <c r="B1563" t="s">
        <v>49</v>
      </c>
      <c r="C1563" t="s">
        <v>31</v>
      </c>
      <c r="D1563" t="s">
        <v>59</v>
      </c>
      <c r="E1563" s="1">
        <v>45038</v>
      </c>
      <c r="F1563" s="1">
        <v>45045</v>
      </c>
      <c r="G1563" s="2">
        <v>22.1</v>
      </c>
      <c r="H1563" s="2">
        <v>305.98</v>
      </c>
      <c r="I1563" t="s">
        <v>15</v>
      </c>
      <c r="J1563" s="2">
        <v>2347</v>
      </c>
      <c r="K1563" s="2">
        <v>7</v>
      </c>
    </row>
    <row r="1564" spans="1:11" x14ac:dyDescent="0.25">
      <c r="A1564" t="s">
        <v>1610</v>
      </c>
      <c r="B1564" t="s">
        <v>49</v>
      </c>
      <c r="C1564" t="s">
        <v>21</v>
      </c>
      <c r="D1564" t="s">
        <v>18</v>
      </c>
      <c r="E1564" s="1">
        <v>45043</v>
      </c>
      <c r="F1564" s="1">
        <v>45047</v>
      </c>
      <c r="G1564" s="2">
        <v>28.8</v>
      </c>
      <c r="H1564" s="2">
        <v>151.25</v>
      </c>
      <c r="I1564" t="s">
        <v>15</v>
      </c>
      <c r="J1564" s="2">
        <v>919</v>
      </c>
      <c r="K1564" s="2">
        <v>4</v>
      </c>
    </row>
    <row r="1565" spans="1:11" x14ac:dyDescent="0.25">
      <c r="A1565" t="s">
        <v>1611</v>
      </c>
      <c r="B1565" t="s">
        <v>20</v>
      </c>
      <c r="C1565" t="s">
        <v>46</v>
      </c>
      <c r="D1565" t="s">
        <v>25</v>
      </c>
      <c r="E1565" s="1">
        <v>45251</v>
      </c>
      <c r="F1565" s="1">
        <v>45254</v>
      </c>
      <c r="G1565" s="2">
        <v>46.2</v>
      </c>
      <c r="H1565" s="2">
        <v>94.64</v>
      </c>
      <c r="I1565" t="s">
        <v>15</v>
      </c>
      <c r="J1565" s="2">
        <v>176</v>
      </c>
      <c r="K1565" s="2">
        <v>3</v>
      </c>
    </row>
    <row r="1566" spans="1:11" x14ac:dyDescent="0.25">
      <c r="A1566" t="s">
        <v>1612</v>
      </c>
      <c r="B1566" t="s">
        <v>49</v>
      </c>
      <c r="C1566" t="s">
        <v>40</v>
      </c>
      <c r="D1566" t="s">
        <v>18</v>
      </c>
      <c r="E1566" s="1">
        <v>45133</v>
      </c>
      <c r="F1566" s="1">
        <v>45138</v>
      </c>
      <c r="G1566" s="2">
        <v>49.5</v>
      </c>
      <c r="H1566" s="2">
        <v>383.77</v>
      </c>
      <c r="I1566" t="s">
        <v>15</v>
      </c>
      <c r="J1566" s="2">
        <v>2055</v>
      </c>
      <c r="K1566" s="2">
        <v>5</v>
      </c>
    </row>
    <row r="1567" spans="1:11" x14ac:dyDescent="0.25">
      <c r="A1567" t="s">
        <v>1613</v>
      </c>
      <c r="B1567" t="s">
        <v>39</v>
      </c>
      <c r="C1567" t="s">
        <v>44</v>
      </c>
      <c r="D1567" t="s">
        <v>14</v>
      </c>
      <c r="E1567" s="1">
        <v>45026</v>
      </c>
      <c r="G1567" s="2">
        <v>39.200000000000003</v>
      </c>
      <c r="H1567" s="2">
        <v>293.51</v>
      </c>
      <c r="I1567" t="s">
        <v>15</v>
      </c>
      <c r="J1567" s="2">
        <v>1732</v>
      </c>
      <c r="K1567" s="2">
        <v>6</v>
      </c>
    </row>
    <row r="1568" spans="1:11" x14ac:dyDescent="0.25">
      <c r="A1568" t="s">
        <v>1614</v>
      </c>
      <c r="B1568" t="s">
        <v>39</v>
      </c>
      <c r="C1568" t="s">
        <v>70</v>
      </c>
      <c r="D1568" t="s">
        <v>59</v>
      </c>
      <c r="E1568" s="1">
        <v>45203</v>
      </c>
      <c r="F1568" s="1">
        <v>45208</v>
      </c>
      <c r="G1568" s="2">
        <v>17.7</v>
      </c>
      <c r="H1568" s="2">
        <v>168.61</v>
      </c>
      <c r="I1568" t="s">
        <v>15</v>
      </c>
      <c r="J1568" s="2">
        <v>1439</v>
      </c>
      <c r="K1568" s="2">
        <v>5</v>
      </c>
    </row>
    <row r="1569" spans="1:11" x14ac:dyDescent="0.25">
      <c r="A1569" t="s">
        <v>1615</v>
      </c>
      <c r="B1569" t="s">
        <v>39</v>
      </c>
      <c r="C1569" t="s">
        <v>57</v>
      </c>
      <c r="D1569" t="s">
        <v>32</v>
      </c>
      <c r="E1569" s="1">
        <v>45015</v>
      </c>
      <c r="F1569" s="1">
        <v>45017</v>
      </c>
      <c r="G1569" s="2">
        <v>27.9</v>
      </c>
      <c r="H1569" s="2">
        <v>138.4</v>
      </c>
      <c r="I1569" t="s">
        <v>15</v>
      </c>
      <c r="J1569" s="2">
        <v>860</v>
      </c>
      <c r="K1569" s="2">
        <v>2</v>
      </c>
    </row>
    <row r="1570" spans="1:11" x14ac:dyDescent="0.25">
      <c r="A1570" t="s">
        <v>1616</v>
      </c>
      <c r="B1570" t="s">
        <v>27</v>
      </c>
      <c r="C1570" t="s">
        <v>17</v>
      </c>
      <c r="D1570" t="s">
        <v>18</v>
      </c>
      <c r="E1570" s="1">
        <v>44942</v>
      </c>
      <c r="F1570" s="1">
        <v>44947</v>
      </c>
      <c r="G1570" s="2">
        <v>4.5999999999999996</v>
      </c>
      <c r="H1570" s="2">
        <v>291.01</v>
      </c>
      <c r="I1570" t="s">
        <v>15</v>
      </c>
      <c r="J1570" s="2">
        <v>2171</v>
      </c>
      <c r="K1570" s="2">
        <v>5</v>
      </c>
    </row>
    <row r="1571" spans="1:11" x14ac:dyDescent="0.25">
      <c r="A1571" t="s">
        <v>1617</v>
      </c>
      <c r="B1571" t="s">
        <v>12</v>
      </c>
      <c r="C1571" t="s">
        <v>40</v>
      </c>
      <c r="D1571" t="s">
        <v>14</v>
      </c>
      <c r="E1571" s="1">
        <v>44994</v>
      </c>
      <c r="F1571" s="1">
        <v>45001</v>
      </c>
      <c r="G1571" s="2">
        <v>13.6</v>
      </c>
      <c r="H1571" s="2">
        <v>261.01</v>
      </c>
      <c r="I1571" t="s">
        <v>15</v>
      </c>
      <c r="J1571" s="2">
        <v>2029</v>
      </c>
      <c r="K1571" s="2">
        <v>7</v>
      </c>
    </row>
    <row r="1572" spans="1:11" x14ac:dyDescent="0.25">
      <c r="A1572" t="s">
        <v>1618</v>
      </c>
      <c r="B1572" t="s">
        <v>35</v>
      </c>
      <c r="C1572" t="s">
        <v>44</v>
      </c>
      <c r="D1572" t="s">
        <v>42</v>
      </c>
      <c r="E1572" s="1">
        <v>44992</v>
      </c>
      <c r="F1572" s="1">
        <v>44996</v>
      </c>
      <c r="G1572" s="2">
        <v>137.5</v>
      </c>
      <c r="H1572" s="2">
        <v>165.56</v>
      </c>
      <c r="I1572" t="s">
        <v>15</v>
      </c>
      <c r="J1572" s="2">
        <v>136</v>
      </c>
      <c r="K1572" s="2">
        <v>4</v>
      </c>
    </row>
    <row r="1573" spans="1:11" x14ac:dyDescent="0.25">
      <c r="A1573" t="s">
        <v>1619</v>
      </c>
      <c r="B1573" t="s">
        <v>56</v>
      </c>
      <c r="C1573" t="s">
        <v>57</v>
      </c>
      <c r="D1573" t="s">
        <v>37</v>
      </c>
      <c r="E1573" s="1">
        <v>45036</v>
      </c>
      <c r="F1573" s="1">
        <v>45043</v>
      </c>
      <c r="G1573" s="2">
        <v>17.100000000000001</v>
      </c>
      <c r="H1573" s="2">
        <v>303.85000000000002</v>
      </c>
      <c r="I1573" t="s">
        <v>15</v>
      </c>
      <c r="J1573" s="2">
        <v>2247</v>
      </c>
      <c r="K1573" s="2">
        <v>7</v>
      </c>
    </row>
    <row r="1574" spans="1:11" x14ac:dyDescent="0.25">
      <c r="A1574" t="s">
        <v>1620</v>
      </c>
      <c r="B1574" t="s">
        <v>27</v>
      </c>
      <c r="C1574" t="s">
        <v>81</v>
      </c>
      <c r="D1574" t="s">
        <v>14</v>
      </c>
      <c r="E1574" s="1">
        <v>45267</v>
      </c>
      <c r="F1574" s="1">
        <v>45268</v>
      </c>
      <c r="G1574" s="2">
        <v>25.9</v>
      </c>
      <c r="H1574" s="2">
        <v>60.74</v>
      </c>
      <c r="I1574" t="s">
        <v>15</v>
      </c>
      <c r="J1574" s="2">
        <v>131</v>
      </c>
      <c r="K1574" s="2">
        <v>1</v>
      </c>
    </row>
    <row r="1575" spans="1:11" x14ac:dyDescent="0.25">
      <c r="A1575" t="s">
        <v>1621</v>
      </c>
      <c r="B1575" t="s">
        <v>35</v>
      </c>
      <c r="C1575" t="s">
        <v>81</v>
      </c>
      <c r="D1575" t="s">
        <v>18</v>
      </c>
      <c r="E1575" s="1">
        <v>45202</v>
      </c>
      <c r="F1575" s="1">
        <v>45206</v>
      </c>
      <c r="G1575" s="2">
        <v>18.3</v>
      </c>
      <c r="H1575" s="2">
        <v>172.23</v>
      </c>
      <c r="I1575" t="s">
        <v>15</v>
      </c>
      <c r="J1575" s="2">
        <v>1000</v>
      </c>
      <c r="K1575" s="2">
        <v>4</v>
      </c>
    </row>
    <row r="1576" spans="1:11" x14ac:dyDescent="0.25">
      <c r="A1576" t="s">
        <v>1622</v>
      </c>
      <c r="B1576" t="s">
        <v>56</v>
      </c>
      <c r="C1576" t="s">
        <v>81</v>
      </c>
      <c r="D1576" t="s">
        <v>25</v>
      </c>
      <c r="E1576" s="1">
        <v>45280</v>
      </c>
      <c r="F1576" s="1">
        <v>45282</v>
      </c>
      <c r="G1576" s="2">
        <v>6.8</v>
      </c>
      <c r="H1576" s="2">
        <v>30.04</v>
      </c>
      <c r="I1576" t="s">
        <v>15</v>
      </c>
      <c r="J1576" s="2">
        <v>152</v>
      </c>
      <c r="K1576" s="2">
        <v>2</v>
      </c>
    </row>
    <row r="1577" spans="1:11" x14ac:dyDescent="0.25">
      <c r="A1577" t="s">
        <v>1623</v>
      </c>
      <c r="B1577" t="s">
        <v>56</v>
      </c>
      <c r="C1577" t="s">
        <v>52</v>
      </c>
      <c r="D1577" t="s">
        <v>32</v>
      </c>
      <c r="E1577" s="1">
        <v>45280</v>
      </c>
      <c r="F1577" s="1">
        <v>45281</v>
      </c>
      <c r="G1577" s="2">
        <v>34.700000000000003</v>
      </c>
      <c r="H1577" s="2">
        <v>86.21</v>
      </c>
      <c r="I1577" t="s">
        <v>15</v>
      </c>
      <c r="J1577" s="2">
        <v>224</v>
      </c>
      <c r="K1577" s="2">
        <v>1</v>
      </c>
    </row>
    <row r="1578" spans="1:11" x14ac:dyDescent="0.25">
      <c r="A1578" t="s">
        <v>1624</v>
      </c>
      <c r="B1578" t="s">
        <v>20</v>
      </c>
      <c r="C1578" t="s">
        <v>21</v>
      </c>
      <c r="D1578" t="s">
        <v>25</v>
      </c>
      <c r="E1578" s="1">
        <v>45108</v>
      </c>
      <c r="F1578" s="1">
        <v>45120</v>
      </c>
      <c r="G1578" s="2">
        <v>36.799999999999997</v>
      </c>
      <c r="H1578" s="2">
        <v>150.78</v>
      </c>
      <c r="I1578" t="s">
        <v>47</v>
      </c>
      <c r="J1578" s="2">
        <v>882</v>
      </c>
      <c r="K1578" s="2">
        <v>2</v>
      </c>
    </row>
    <row r="1579" spans="1:11" x14ac:dyDescent="0.25">
      <c r="A1579" t="s">
        <v>1625</v>
      </c>
      <c r="B1579" t="s">
        <v>12</v>
      </c>
      <c r="C1579" t="s">
        <v>13</v>
      </c>
      <c r="D1579" t="s">
        <v>37</v>
      </c>
      <c r="E1579" s="1">
        <v>45267</v>
      </c>
      <c r="F1579" s="1">
        <v>45271</v>
      </c>
      <c r="G1579" s="2">
        <v>28.7</v>
      </c>
      <c r="H1579" s="2">
        <v>238.39</v>
      </c>
      <c r="I1579" t="s">
        <v>15</v>
      </c>
      <c r="J1579" s="2">
        <v>1229</v>
      </c>
      <c r="K1579" s="2">
        <v>4</v>
      </c>
    </row>
    <row r="1580" spans="1:11" x14ac:dyDescent="0.25">
      <c r="A1580" t="s">
        <v>1626</v>
      </c>
      <c r="B1580" t="s">
        <v>30</v>
      </c>
      <c r="C1580" t="s">
        <v>17</v>
      </c>
      <c r="D1580" t="s">
        <v>32</v>
      </c>
      <c r="E1580" s="1">
        <v>44942</v>
      </c>
      <c r="F1580" s="1">
        <v>44945</v>
      </c>
      <c r="G1580" s="2">
        <v>8.1</v>
      </c>
      <c r="H1580" s="2">
        <v>171.35</v>
      </c>
      <c r="I1580" t="s">
        <v>67</v>
      </c>
      <c r="J1580" s="2">
        <v>1305</v>
      </c>
      <c r="K1580" s="2">
        <v>3</v>
      </c>
    </row>
    <row r="1581" spans="1:11" x14ac:dyDescent="0.25">
      <c r="A1581" t="s">
        <v>1627</v>
      </c>
      <c r="B1581" t="s">
        <v>51</v>
      </c>
      <c r="C1581" t="s">
        <v>24</v>
      </c>
      <c r="D1581" t="s">
        <v>18</v>
      </c>
      <c r="E1581" s="1">
        <v>45134</v>
      </c>
      <c r="F1581" s="1">
        <v>45137</v>
      </c>
      <c r="G1581" s="2">
        <v>34.6</v>
      </c>
      <c r="H1581" s="2">
        <v>91.64</v>
      </c>
      <c r="I1581" t="s">
        <v>15</v>
      </c>
      <c r="J1581" s="2">
        <v>344</v>
      </c>
      <c r="K1581" s="2">
        <v>3</v>
      </c>
    </row>
    <row r="1582" spans="1:11" x14ac:dyDescent="0.25">
      <c r="A1582" t="s">
        <v>1628</v>
      </c>
      <c r="B1582" t="s">
        <v>49</v>
      </c>
      <c r="C1582" t="s">
        <v>81</v>
      </c>
      <c r="D1582" t="s">
        <v>14</v>
      </c>
      <c r="E1582" s="1">
        <v>45145</v>
      </c>
      <c r="G1582" s="2">
        <v>52.4</v>
      </c>
      <c r="H1582" s="2">
        <v>194.19</v>
      </c>
      <c r="I1582" t="s">
        <v>15</v>
      </c>
      <c r="J1582" s="2">
        <v>1071</v>
      </c>
      <c r="K1582" s="2">
        <v>4</v>
      </c>
    </row>
    <row r="1583" spans="1:11" x14ac:dyDescent="0.25">
      <c r="A1583" t="s">
        <v>1629</v>
      </c>
      <c r="B1583" t="s">
        <v>49</v>
      </c>
      <c r="C1583" t="s">
        <v>44</v>
      </c>
      <c r="D1583" t="s">
        <v>25</v>
      </c>
      <c r="E1583" s="1">
        <v>45266</v>
      </c>
      <c r="F1583" s="1">
        <v>45273</v>
      </c>
      <c r="G1583" s="2">
        <v>10.8</v>
      </c>
      <c r="H1583" s="2">
        <v>225.38</v>
      </c>
      <c r="I1583" t="s">
        <v>15</v>
      </c>
      <c r="J1583" s="2">
        <v>1369</v>
      </c>
      <c r="K1583" s="2">
        <v>7</v>
      </c>
    </row>
    <row r="1584" spans="1:11" x14ac:dyDescent="0.25">
      <c r="A1584" t="s">
        <v>1630</v>
      </c>
      <c r="B1584" t="s">
        <v>20</v>
      </c>
      <c r="C1584" t="s">
        <v>70</v>
      </c>
      <c r="D1584" t="s">
        <v>14</v>
      </c>
      <c r="E1584" s="1">
        <v>45038</v>
      </c>
      <c r="F1584" s="1">
        <v>45043</v>
      </c>
      <c r="G1584" s="2">
        <v>16.5</v>
      </c>
      <c r="H1584" s="2">
        <v>282.23</v>
      </c>
      <c r="I1584" t="s">
        <v>15</v>
      </c>
      <c r="J1584" s="2">
        <v>2056</v>
      </c>
      <c r="K1584" s="2">
        <v>5</v>
      </c>
    </row>
    <row r="1585" spans="1:11" x14ac:dyDescent="0.25">
      <c r="A1585" t="s">
        <v>1631</v>
      </c>
      <c r="B1585" t="s">
        <v>39</v>
      </c>
      <c r="C1585" t="s">
        <v>44</v>
      </c>
      <c r="D1585" t="s">
        <v>59</v>
      </c>
      <c r="E1585" s="1">
        <v>45279</v>
      </c>
      <c r="F1585" s="1">
        <v>45283</v>
      </c>
      <c r="G1585" s="2">
        <v>108.5</v>
      </c>
      <c r="H1585" s="2">
        <v>299.16000000000003</v>
      </c>
      <c r="I1585" t="s">
        <v>15</v>
      </c>
      <c r="J1585" s="2">
        <v>1240</v>
      </c>
      <c r="K1585" s="2">
        <v>4</v>
      </c>
    </row>
    <row r="1586" spans="1:11" x14ac:dyDescent="0.25">
      <c r="A1586" t="s">
        <v>1632</v>
      </c>
      <c r="B1586" t="s">
        <v>56</v>
      </c>
      <c r="C1586" t="s">
        <v>70</v>
      </c>
      <c r="D1586" t="s">
        <v>25</v>
      </c>
      <c r="E1586" s="1">
        <v>45018</v>
      </c>
      <c r="F1586" s="1">
        <v>45022</v>
      </c>
      <c r="G1586" s="2">
        <v>5.8</v>
      </c>
      <c r="H1586" s="2">
        <v>173.56</v>
      </c>
      <c r="I1586" t="s">
        <v>15</v>
      </c>
      <c r="J1586" s="2">
        <v>1355</v>
      </c>
      <c r="K1586" s="2">
        <v>4</v>
      </c>
    </row>
    <row r="1587" spans="1:11" x14ac:dyDescent="0.25">
      <c r="A1587" t="s">
        <v>1633</v>
      </c>
      <c r="B1587" t="s">
        <v>39</v>
      </c>
      <c r="C1587" t="s">
        <v>44</v>
      </c>
      <c r="D1587" t="s">
        <v>18</v>
      </c>
      <c r="E1587" s="1">
        <v>45220</v>
      </c>
      <c r="F1587" s="1">
        <v>45233</v>
      </c>
      <c r="G1587" s="2">
        <v>31</v>
      </c>
      <c r="H1587" s="2">
        <v>346.62</v>
      </c>
      <c r="I1587" t="s">
        <v>47</v>
      </c>
      <c r="J1587" s="2">
        <v>2201</v>
      </c>
      <c r="K1587" s="2">
        <v>8</v>
      </c>
    </row>
    <row r="1588" spans="1:11" x14ac:dyDescent="0.25">
      <c r="A1588" t="s">
        <v>1634</v>
      </c>
      <c r="B1588" t="s">
        <v>23</v>
      </c>
      <c r="C1588" t="s">
        <v>17</v>
      </c>
      <c r="D1588" t="s">
        <v>59</v>
      </c>
      <c r="E1588" s="1">
        <v>45215</v>
      </c>
      <c r="F1588" s="1">
        <v>45216</v>
      </c>
      <c r="G1588" s="2">
        <v>58.5</v>
      </c>
      <c r="H1588" s="2">
        <v>83.51</v>
      </c>
      <c r="I1588" t="s">
        <v>15</v>
      </c>
      <c r="J1588" s="2">
        <v>122</v>
      </c>
      <c r="K1588" s="2">
        <v>1</v>
      </c>
    </row>
    <row r="1589" spans="1:11" x14ac:dyDescent="0.25">
      <c r="A1589" t="s">
        <v>1635</v>
      </c>
      <c r="B1589" t="s">
        <v>12</v>
      </c>
      <c r="C1589" t="s">
        <v>81</v>
      </c>
      <c r="D1589" t="s">
        <v>37</v>
      </c>
      <c r="E1589" s="1">
        <v>45203</v>
      </c>
      <c r="F1589" s="1">
        <v>45205</v>
      </c>
      <c r="G1589" s="2">
        <v>18.3</v>
      </c>
      <c r="H1589" s="2">
        <v>119.1</v>
      </c>
      <c r="I1589" t="s">
        <v>60</v>
      </c>
      <c r="J1589" s="2">
        <v>860</v>
      </c>
      <c r="K1589" s="2">
        <v>2</v>
      </c>
    </row>
    <row r="1590" spans="1:11" x14ac:dyDescent="0.25">
      <c r="A1590" t="s">
        <v>1636</v>
      </c>
      <c r="B1590" t="s">
        <v>39</v>
      </c>
      <c r="C1590" t="s">
        <v>40</v>
      </c>
      <c r="D1590" t="s">
        <v>37</v>
      </c>
      <c r="E1590" s="1">
        <v>45157</v>
      </c>
      <c r="F1590" s="1">
        <v>45162</v>
      </c>
      <c r="G1590" s="2">
        <v>38.1</v>
      </c>
      <c r="H1590" s="2">
        <v>172.76</v>
      </c>
      <c r="I1590" t="s">
        <v>15</v>
      </c>
      <c r="J1590" s="2">
        <v>1115</v>
      </c>
      <c r="K1590" s="2">
        <v>5</v>
      </c>
    </row>
    <row r="1591" spans="1:11" x14ac:dyDescent="0.25">
      <c r="A1591" t="s">
        <v>1637</v>
      </c>
      <c r="B1591" t="s">
        <v>12</v>
      </c>
      <c r="C1591" t="s">
        <v>13</v>
      </c>
      <c r="D1591" t="s">
        <v>18</v>
      </c>
      <c r="E1591" s="1">
        <v>45052</v>
      </c>
      <c r="G1591" s="2">
        <v>42.5</v>
      </c>
      <c r="H1591" s="2">
        <v>287</v>
      </c>
      <c r="I1591" t="s">
        <v>15</v>
      </c>
      <c r="J1591" s="2">
        <v>1527</v>
      </c>
      <c r="K1591" s="2">
        <v>3</v>
      </c>
    </row>
    <row r="1592" spans="1:11" x14ac:dyDescent="0.25">
      <c r="A1592" t="s">
        <v>1638</v>
      </c>
      <c r="B1592" t="s">
        <v>49</v>
      </c>
      <c r="C1592" t="s">
        <v>17</v>
      </c>
      <c r="D1592" t="s">
        <v>37</v>
      </c>
      <c r="E1592" s="1">
        <v>45215</v>
      </c>
      <c r="F1592" s="1">
        <v>45218</v>
      </c>
      <c r="G1592" s="2">
        <v>15.2</v>
      </c>
      <c r="H1592" s="2">
        <v>160.36000000000001</v>
      </c>
      <c r="I1592" t="s">
        <v>15</v>
      </c>
      <c r="J1592" s="2">
        <v>1098</v>
      </c>
      <c r="K1592" s="2">
        <v>3</v>
      </c>
    </row>
    <row r="1593" spans="1:11" x14ac:dyDescent="0.25">
      <c r="A1593" t="s">
        <v>1639</v>
      </c>
      <c r="B1593" t="s">
        <v>12</v>
      </c>
      <c r="C1593" t="s">
        <v>70</v>
      </c>
      <c r="D1593" t="s">
        <v>25</v>
      </c>
      <c r="E1593" s="1">
        <v>45143</v>
      </c>
      <c r="F1593" s="1">
        <v>45149</v>
      </c>
      <c r="G1593" s="2">
        <v>23.4</v>
      </c>
      <c r="H1593" s="2">
        <v>311.04000000000002</v>
      </c>
      <c r="I1593" t="s">
        <v>15</v>
      </c>
      <c r="J1593" s="2">
        <v>2447</v>
      </c>
      <c r="K1593" s="2">
        <v>6</v>
      </c>
    </row>
    <row r="1594" spans="1:11" x14ac:dyDescent="0.25">
      <c r="A1594" t="s">
        <v>1640</v>
      </c>
      <c r="B1594" t="s">
        <v>23</v>
      </c>
      <c r="C1594" t="s">
        <v>70</v>
      </c>
      <c r="D1594" t="s">
        <v>14</v>
      </c>
      <c r="E1594" s="1">
        <v>44938</v>
      </c>
      <c r="F1594" s="1">
        <v>44943</v>
      </c>
      <c r="G1594" s="2">
        <v>31.7</v>
      </c>
      <c r="H1594" s="2">
        <v>195.68</v>
      </c>
      <c r="I1594" t="s">
        <v>15</v>
      </c>
      <c r="J1594" s="2">
        <v>1114</v>
      </c>
      <c r="K1594" s="2">
        <v>5</v>
      </c>
    </row>
    <row r="1595" spans="1:11" x14ac:dyDescent="0.25">
      <c r="A1595" t="s">
        <v>1641</v>
      </c>
      <c r="B1595" t="s">
        <v>51</v>
      </c>
      <c r="C1595" t="s">
        <v>28</v>
      </c>
      <c r="D1595" t="s">
        <v>59</v>
      </c>
      <c r="E1595" s="1">
        <v>44938</v>
      </c>
      <c r="F1595" s="1">
        <v>44941</v>
      </c>
      <c r="G1595" s="2">
        <v>16.3</v>
      </c>
      <c r="H1595" s="2">
        <v>105.67</v>
      </c>
      <c r="I1595" t="s">
        <v>15</v>
      </c>
      <c r="J1595" s="2">
        <v>759</v>
      </c>
      <c r="K1595" s="2">
        <v>3</v>
      </c>
    </row>
    <row r="1596" spans="1:11" x14ac:dyDescent="0.25">
      <c r="A1596" t="s">
        <v>1642</v>
      </c>
      <c r="B1596" t="s">
        <v>49</v>
      </c>
      <c r="C1596" t="s">
        <v>28</v>
      </c>
      <c r="D1596" t="s">
        <v>59</v>
      </c>
      <c r="E1596" s="1">
        <v>44999</v>
      </c>
      <c r="F1596" s="1">
        <v>45004</v>
      </c>
      <c r="G1596" s="2">
        <v>34</v>
      </c>
      <c r="H1596" s="2">
        <v>267.20999999999998</v>
      </c>
      <c r="I1596" t="s">
        <v>15</v>
      </c>
      <c r="J1596" s="2">
        <v>2176</v>
      </c>
      <c r="K1596" s="2">
        <v>5</v>
      </c>
    </row>
    <row r="1597" spans="1:11" x14ac:dyDescent="0.25">
      <c r="A1597" t="s">
        <v>1643</v>
      </c>
      <c r="B1597" t="s">
        <v>12</v>
      </c>
      <c r="C1597" t="s">
        <v>28</v>
      </c>
      <c r="D1597" t="s">
        <v>37</v>
      </c>
      <c r="E1597" s="1">
        <v>45279</v>
      </c>
      <c r="F1597" s="1">
        <v>45282</v>
      </c>
      <c r="G1597" s="2">
        <v>10</v>
      </c>
      <c r="H1597" s="2">
        <v>60.18</v>
      </c>
      <c r="I1597" t="s">
        <v>15</v>
      </c>
      <c r="J1597" s="2">
        <v>287</v>
      </c>
      <c r="K1597" s="2">
        <v>3</v>
      </c>
    </row>
    <row r="1598" spans="1:11" x14ac:dyDescent="0.25">
      <c r="A1598" t="s">
        <v>1644</v>
      </c>
      <c r="B1598" t="s">
        <v>20</v>
      </c>
      <c r="C1598" t="s">
        <v>31</v>
      </c>
      <c r="D1598" t="s">
        <v>14</v>
      </c>
      <c r="E1598" s="1">
        <v>45237</v>
      </c>
      <c r="F1598" s="1">
        <v>45241</v>
      </c>
      <c r="G1598" s="2">
        <v>17.399999999999999</v>
      </c>
      <c r="H1598" s="2">
        <v>250.16</v>
      </c>
      <c r="I1598" t="s">
        <v>15</v>
      </c>
      <c r="J1598" s="2">
        <v>1356</v>
      </c>
      <c r="K1598" s="2">
        <v>4</v>
      </c>
    </row>
    <row r="1599" spans="1:11" x14ac:dyDescent="0.25">
      <c r="A1599" t="s">
        <v>1645</v>
      </c>
      <c r="B1599" t="s">
        <v>56</v>
      </c>
      <c r="C1599" t="s">
        <v>17</v>
      </c>
      <c r="D1599" t="s">
        <v>25</v>
      </c>
      <c r="E1599" s="1">
        <v>45223</v>
      </c>
      <c r="F1599" s="1">
        <v>45225</v>
      </c>
      <c r="G1599" s="2">
        <v>20</v>
      </c>
      <c r="H1599" s="2">
        <v>113.54</v>
      </c>
      <c r="I1599" t="s">
        <v>15</v>
      </c>
      <c r="J1599" s="2">
        <v>737</v>
      </c>
      <c r="K1599" s="2">
        <v>2</v>
      </c>
    </row>
    <row r="1600" spans="1:11" x14ac:dyDescent="0.25">
      <c r="A1600" t="s">
        <v>1646</v>
      </c>
      <c r="B1600" t="s">
        <v>27</v>
      </c>
      <c r="C1600" t="s">
        <v>52</v>
      </c>
      <c r="D1600" t="s">
        <v>37</v>
      </c>
      <c r="E1600" s="1">
        <v>45119</v>
      </c>
      <c r="F1600" s="1">
        <v>45122</v>
      </c>
      <c r="G1600" s="2">
        <v>11.5</v>
      </c>
      <c r="H1600" s="2">
        <v>148.69</v>
      </c>
      <c r="I1600" t="s">
        <v>15</v>
      </c>
      <c r="J1600" s="2">
        <v>1189</v>
      </c>
      <c r="K1600" s="2">
        <v>3</v>
      </c>
    </row>
    <row r="1601" spans="1:11" x14ac:dyDescent="0.25">
      <c r="A1601" t="s">
        <v>1647</v>
      </c>
      <c r="B1601" t="s">
        <v>35</v>
      </c>
      <c r="C1601" t="s">
        <v>81</v>
      </c>
      <c r="D1601" t="s">
        <v>18</v>
      </c>
      <c r="E1601" s="1">
        <v>45271</v>
      </c>
      <c r="F1601" s="1">
        <v>45274</v>
      </c>
      <c r="G1601" s="2">
        <v>35.1</v>
      </c>
      <c r="H1601" s="2">
        <v>226.64</v>
      </c>
      <c r="I1601" t="s">
        <v>15</v>
      </c>
      <c r="J1601" s="2">
        <v>1000</v>
      </c>
      <c r="K1601" s="2">
        <v>3</v>
      </c>
    </row>
    <row r="1602" spans="1:11" x14ac:dyDescent="0.25">
      <c r="A1602" t="s">
        <v>1648</v>
      </c>
      <c r="B1602" t="s">
        <v>20</v>
      </c>
      <c r="C1602" t="s">
        <v>57</v>
      </c>
      <c r="D1602" t="s">
        <v>42</v>
      </c>
      <c r="E1602" s="1">
        <v>45215</v>
      </c>
      <c r="F1602" s="1">
        <v>45221</v>
      </c>
      <c r="G1602" s="2">
        <v>32.299999999999997</v>
      </c>
      <c r="H1602" s="2">
        <v>304.81</v>
      </c>
      <c r="I1602" t="s">
        <v>15</v>
      </c>
      <c r="J1602" s="2">
        <v>2156</v>
      </c>
      <c r="K1602" s="2">
        <v>6</v>
      </c>
    </row>
    <row r="1603" spans="1:11" x14ac:dyDescent="0.25">
      <c r="A1603" t="s">
        <v>1649</v>
      </c>
      <c r="B1603" t="s">
        <v>12</v>
      </c>
      <c r="C1603" t="s">
        <v>54</v>
      </c>
      <c r="D1603" t="s">
        <v>14</v>
      </c>
      <c r="E1603" s="1">
        <v>45123</v>
      </c>
      <c r="F1603" s="1">
        <v>45125</v>
      </c>
      <c r="G1603" s="2">
        <v>38.4</v>
      </c>
      <c r="H1603" s="2">
        <v>177.3</v>
      </c>
      <c r="I1603" t="s">
        <v>15</v>
      </c>
      <c r="J1603" s="2">
        <v>916</v>
      </c>
      <c r="K1603" s="2">
        <v>2</v>
      </c>
    </row>
    <row r="1604" spans="1:11" x14ac:dyDescent="0.25">
      <c r="A1604" t="s">
        <v>1650</v>
      </c>
      <c r="B1604" t="s">
        <v>27</v>
      </c>
      <c r="C1604" t="s">
        <v>24</v>
      </c>
      <c r="D1604" t="s">
        <v>59</v>
      </c>
      <c r="E1604" s="1">
        <v>45135</v>
      </c>
      <c r="F1604" s="1">
        <v>45147</v>
      </c>
      <c r="G1604" s="2">
        <v>71.900000000000006</v>
      </c>
      <c r="H1604" s="2">
        <v>123.54</v>
      </c>
      <c r="I1604" t="s">
        <v>47</v>
      </c>
      <c r="J1604" s="2">
        <v>450</v>
      </c>
      <c r="K1604" s="2">
        <v>2</v>
      </c>
    </row>
    <row r="1605" spans="1:11" x14ac:dyDescent="0.25">
      <c r="A1605" t="s">
        <v>1651</v>
      </c>
      <c r="B1605" t="s">
        <v>35</v>
      </c>
      <c r="C1605" t="s">
        <v>31</v>
      </c>
      <c r="D1605" t="s">
        <v>25</v>
      </c>
      <c r="E1605" s="1">
        <v>45275</v>
      </c>
      <c r="F1605" s="1">
        <v>45279</v>
      </c>
      <c r="G1605" s="2">
        <v>10.7</v>
      </c>
      <c r="H1605" s="2">
        <v>219.96</v>
      </c>
      <c r="I1605" t="s">
        <v>15</v>
      </c>
      <c r="J1605" s="2">
        <v>1474</v>
      </c>
      <c r="K1605" s="2">
        <v>4</v>
      </c>
    </row>
    <row r="1606" spans="1:11" x14ac:dyDescent="0.25">
      <c r="A1606" t="s">
        <v>1652</v>
      </c>
      <c r="B1606" t="s">
        <v>49</v>
      </c>
      <c r="C1606" t="s">
        <v>54</v>
      </c>
      <c r="D1606" t="s">
        <v>59</v>
      </c>
      <c r="E1606" s="1">
        <v>44940</v>
      </c>
      <c r="F1606" s="1">
        <v>44944</v>
      </c>
      <c r="G1606" s="2">
        <v>20.6</v>
      </c>
      <c r="H1606" s="2">
        <v>181.01</v>
      </c>
      <c r="I1606" t="s">
        <v>62</v>
      </c>
      <c r="J1606" s="2">
        <v>1523</v>
      </c>
      <c r="K1606" s="2">
        <v>4</v>
      </c>
    </row>
    <row r="1607" spans="1:11" x14ac:dyDescent="0.25">
      <c r="A1607" t="s">
        <v>1653</v>
      </c>
      <c r="B1607" t="s">
        <v>51</v>
      </c>
      <c r="C1607" t="s">
        <v>24</v>
      </c>
      <c r="D1607" t="s">
        <v>25</v>
      </c>
      <c r="E1607" s="1">
        <v>45010</v>
      </c>
      <c r="F1607" s="1">
        <v>45016</v>
      </c>
      <c r="G1607" s="2">
        <v>27.4</v>
      </c>
      <c r="I1607" t="s">
        <v>15</v>
      </c>
      <c r="J1607" s="2">
        <v>986</v>
      </c>
      <c r="K1607" s="2">
        <v>6</v>
      </c>
    </row>
    <row r="1608" spans="1:11" x14ac:dyDescent="0.25">
      <c r="A1608" t="s">
        <v>1654</v>
      </c>
      <c r="B1608" t="s">
        <v>23</v>
      </c>
      <c r="C1608" t="s">
        <v>40</v>
      </c>
      <c r="D1608" t="s">
        <v>18</v>
      </c>
      <c r="E1608" s="1">
        <v>45093</v>
      </c>
      <c r="F1608" s="1">
        <v>45112</v>
      </c>
      <c r="G1608" s="2">
        <v>23.1</v>
      </c>
      <c r="H1608" s="2">
        <v>323.18</v>
      </c>
      <c r="I1608" t="s">
        <v>47</v>
      </c>
      <c r="J1608" s="2">
        <v>1989</v>
      </c>
      <c r="K1608" s="2">
        <v>6</v>
      </c>
    </row>
    <row r="1609" spans="1:11" x14ac:dyDescent="0.25">
      <c r="A1609" t="s">
        <v>1655</v>
      </c>
      <c r="B1609" t="s">
        <v>49</v>
      </c>
      <c r="C1609" t="s">
        <v>21</v>
      </c>
      <c r="D1609" t="s">
        <v>42</v>
      </c>
      <c r="E1609" s="1">
        <v>44994</v>
      </c>
      <c r="F1609" s="1">
        <v>44999</v>
      </c>
      <c r="G1609" s="2">
        <v>8.1999999999999993</v>
      </c>
      <c r="H1609" s="2">
        <v>212.27</v>
      </c>
      <c r="I1609" t="s">
        <v>15</v>
      </c>
      <c r="J1609" s="2">
        <v>1713</v>
      </c>
      <c r="K1609" s="2">
        <v>5</v>
      </c>
    </row>
    <row r="1610" spans="1:11" x14ac:dyDescent="0.25">
      <c r="A1610" t="s">
        <v>1656</v>
      </c>
      <c r="B1610" t="s">
        <v>12</v>
      </c>
      <c r="C1610" t="s">
        <v>36</v>
      </c>
      <c r="D1610" t="s">
        <v>42</v>
      </c>
      <c r="E1610" s="1">
        <v>45267</v>
      </c>
      <c r="F1610" s="1">
        <v>45269</v>
      </c>
      <c r="G1610" s="2">
        <v>30.1</v>
      </c>
      <c r="H1610" s="2">
        <v>122.82</v>
      </c>
      <c r="I1610" t="s">
        <v>15</v>
      </c>
      <c r="J1610" s="2">
        <v>594</v>
      </c>
      <c r="K1610" s="2">
        <v>2</v>
      </c>
    </row>
    <row r="1611" spans="1:11" x14ac:dyDescent="0.25">
      <c r="A1611" t="s">
        <v>1657</v>
      </c>
      <c r="B1611" t="s">
        <v>51</v>
      </c>
      <c r="C1611" t="s">
        <v>52</v>
      </c>
      <c r="D1611" t="s">
        <v>32</v>
      </c>
      <c r="E1611" s="1">
        <v>45282</v>
      </c>
      <c r="F1611" s="1">
        <v>45287</v>
      </c>
      <c r="G1611" s="2">
        <v>12.6</v>
      </c>
      <c r="H1611" s="2">
        <v>367.26</v>
      </c>
      <c r="I1611" t="s">
        <v>15</v>
      </c>
      <c r="J1611" s="2">
        <v>2151</v>
      </c>
      <c r="K1611" s="2">
        <v>5</v>
      </c>
    </row>
    <row r="1612" spans="1:11" x14ac:dyDescent="0.25">
      <c r="A1612" t="s">
        <v>1658</v>
      </c>
      <c r="B1612" t="s">
        <v>35</v>
      </c>
      <c r="C1612" t="s">
        <v>46</v>
      </c>
      <c r="D1612" t="s">
        <v>37</v>
      </c>
      <c r="E1612" s="1">
        <v>44966</v>
      </c>
      <c r="F1612" s="1">
        <v>44970</v>
      </c>
      <c r="G1612" s="2">
        <v>33.4</v>
      </c>
      <c r="H1612" s="2">
        <v>160.62</v>
      </c>
      <c r="I1612" t="s">
        <v>15</v>
      </c>
      <c r="J1612" s="2">
        <v>989</v>
      </c>
      <c r="K1612" s="2">
        <v>4</v>
      </c>
    </row>
    <row r="1613" spans="1:11" x14ac:dyDescent="0.25">
      <c r="A1613" t="s">
        <v>1659</v>
      </c>
      <c r="B1613" t="s">
        <v>30</v>
      </c>
      <c r="C1613" t="s">
        <v>81</v>
      </c>
      <c r="D1613" t="s">
        <v>14</v>
      </c>
      <c r="E1613" s="1">
        <v>45281</v>
      </c>
      <c r="F1613" s="1">
        <v>45282</v>
      </c>
      <c r="G1613" s="2">
        <v>17.3</v>
      </c>
      <c r="H1613" s="2">
        <v>70.13</v>
      </c>
      <c r="I1613" t="s">
        <v>15</v>
      </c>
      <c r="J1613" s="2">
        <v>250</v>
      </c>
      <c r="K1613" s="2">
        <v>1</v>
      </c>
    </row>
    <row r="1614" spans="1:11" x14ac:dyDescent="0.25">
      <c r="A1614" t="s">
        <v>1660</v>
      </c>
      <c r="B1614" t="s">
        <v>20</v>
      </c>
      <c r="C1614" t="s">
        <v>46</v>
      </c>
      <c r="D1614" t="s">
        <v>25</v>
      </c>
      <c r="E1614" s="1">
        <v>45070</v>
      </c>
      <c r="F1614" s="1">
        <v>45073</v>
      </c>
      <c r="G1614" s="2">
        <v>39.6</v>
      </c>
      <c r="H1614" s="2">
        <v>95.86</v>
      </c>
      <c r="I1614" t="s">
        <v>15</v>
      </c>
      <c r="J1614" s="2">
        <v>378</v>
      </c>
      <c r="K1614" s="2">
        <v>3</v>
      </c>
    </row>
    <row r="1615" spans="1:11" x14ac:dyDescent="0.25">
      <c r="A1615" t="s">
        <v>1661</v>
      </c>
      <c r="B1615" t="s">
        <v>35</v>
      </c>
      <c r="C1615" t="s">
        <v>40</v>
      </c>
      <c r="D1615" t="s">
        <v>37</v>
      </c>
      <c r="E1615" s="1">
        <v>45196</v>
      </c>
      <c r="F1615" s="1">
        <v>45197</v>
      </c>
      <c r="G1615" s="2">
        <v>58.9</v>
      </c>
      <c r="H1615" s="2">
        <v>105.74</v>
      </c>
      <c r="I1615" t="s">
        <v>15</v>
      </c>
      <c r="J1615" s="2">
        <v>283</v>
      </c>
      <c r="K1615" s="2">
        <v>1</v>
      </c>
    </row>
    <row r="1616" spans="1:11" x14ac:dyDescent="0.25">
      <c r="A1616" t="s">
        <v>1662</v>
      </c>
      <c r="B1616" t="s">
        <v>23</v>
      </c>
      <c r="C1616" t="s">
        <v>40</v>
      </c>
      <c r="D1616" t="s">
        <v>18</v>
      </c>
      <c r="E1616" s="1">
        <v>45178</v>
      </c>
      <c r="F1616" s="1">
        <v>45181</v>
      </c>
      <c r="G1616" s="2">
        <v>66.7</v>
      </c>
      <c r="H1616" s="2">
        <v>268.33999999999997</v>
      </c>
      <c r="I1616" t="s">
        <v>15</v>
      </c>
      <c r="J1616" s="2">
        <v>1387</v>
      </c>
      <c r="K1616" s="2">
        <v>3</v>
      </c>
    </row>
    <row r="1617" spans="1:11" x14ac:dyDescent="0.25">
      <c r="A1617" t="s">
        <v>1663</v>
      </c>
      <c r="B1617" t="s">
        <v>49</v>
      </c>
      <c r="C1617" t="s">
        <v>21</v>
      </c>
      <c r="D1617" t="s">
        <v>32</v>
      </c>
      <c r="E1617" s="1">
        <v>45020</v>
      </c>
      <c r="F1617" s="1">
        <v>45026</v>
      </c>
      <c r="G1617" s="2">
        <v>7</v>
      </c>
      <c r="H1617" s="2">
        <v>303.42</v>
      </c>
      <c r="I1617" t="s">
        <v>15</v>
      </c>
      <c r="J1617" s="2">
        <v>2228</v>
      </c>
      <c r="K1617" s="2">
        <v>6</v>
      </c>
    </row>
    <row r="1618" spans="1:11" x14ac:dyDescent="0.25">
      <c r="A1618" t="s">
        <v>1664</v>
      </c>
      <c r="B1618" t="s">
        <v>56</v>
      </c>
      <c r="C1618" t="s">
        <v>17</v>
      </c>
      <c r="D1618" t="s">
        <v>42</v>
      </c>
      <c r="E1618" s="1">
        <v>45065</v>
      </c>
      <c r="F1618" s="1">
        <v>45070</v>
      </c>
      <c r="G1618" s="2">
        <v>49.9</v>
      </c>
      <c r="H1618" s="2">
        <v>288.11</v>
      </c>
      <c r="I1618" t="s">
        <v>15</v>
      </c>
      <c r="J1618" s="2">
        <v>2067</v>
      </c>
      <c r="K1618" s="2">
        <v>5</v>
      </c>
    </row>
    <row r="1619" spans="1:11" x14ac:dyDescent="0.25">
      <c r="A1619" t="s">
        <v>1665</v>
      </c>
      <c r="B1619" t="s">
        <v>39</v>
      </c>
      <c r="C1619" t="s">
        <v>40</v>
      </c>
      <c r="D1619" t="s">
        <v>59</v>
      </c>
      <c r="E1619" s="1">
        <v>45173</v>
      </c>
      <c r="F1619" s="1">
        <v>45179</v>
      </c>
      <c r="G1619" s="2">
        <v>7.2</v>
      </c>
      <c r="I1619" t="s">
        <v>47</v>
      </c>
      <c r="J1619" s="2">
        <v>881</v>
      </c>
      <c r="K1619" s="2">
        <v>5</v>
      </c>
    </row>
    <row r="1620" spans="1:11" x14ac:dyDescent="0.25">
      <c r="A1620" t="s">
        <v>1666</v>
      </c>
      <c r="B1620" t="s">
        <v>27</v>
      </c>
      <c r="C1620" t="s">
        <v>46</v>
      </c>
      <c r="D1620" t="s">
        <v>59</v>
      </c>
      <c r="E1620" s="1">
        <v>45162</v>
      </c>
      <c r="F1620" s="1">
        <v>45165</v>
      </c>
      <c r="G1620" s="2">
        <v>8.8000000000000007</v>
      </c>
      <c r="H1620" s="2">
        <v>132.34</v>
      </c>
      <c r="I1620" t="s">
        <v>15</v>
      </c>
      <c r="J1620" s="2">
        <v>1021</v>
      </c>
      <c r="K1620" s="2">
        <v>3</v>
      </c>
    </row>
    <row r="1621" spans="1:11" x14ac:dyDescent="0.25">
      <c r="A1621" t="s">
        <v>1667</v>
      </c>
      <c r="B1621" t="s">
        <v>12</v>
      </c>
      <c r="C1621" t="s">
        <v>57</v>
      </c>
      <c r="D1621" t="s">
        <v>42</v>
      </c>
      <c r="E1621" s="1">
        <v>45197</v>
      </c>
      <c r="F1621" s="1">
        <v>45200</v>
      </c>
      <c r="G1621" s="2">
        <v>14.5</v>
      </c>
      <c r="H1621" s="2">
        <v>183.23</v>
      </c>
      <c r="I1621" t="s">
        <v>15</v>
      </c>
      <c r="J1621" s="2">
        <v>1420</v>
      </c>
      <c r="K1621" s="2">
        <v>3</v>
      </c>
    </row>
    <row r="1622" spans="1:11" x14ac:dyDescent="0.25">
      <c r="A1622" t="s">
        <v>1668</v>
      </c>
      <c r="B1622" t="s">
        <v>23</v>
      </c>
      <c r="C1622" t="s">
        <v>52</v>
      </c>
      <c r="D1622" t="s">
        <v>42</v>
      </c>
      <c r="E1622" s="1">
        <v>44993</v>
      </c>
      <c r="F1622" s="1">
        <v>44997</v>
      </c>
      <c r="G1622" s="2">
        <v>25.8</v>
      </c>
      <c r="H1622" s="2">
        <v>137.06</v>
      </c>
      <c r="I1622" t="s">
        <v>62</v>
      </c>
      <c r="J1622" s="2">
        <v>896</v>
      </c>
      <c r="K1622" s="2">
        <v>4</v>
      </c>
    </row>
    <row r="1623" spans="1:11" x14ac:dyDescent="0.25">
      <c r="A1623" t="s">
        <v>1669</v>
      </c>
      <c r="B1623" t="s">
        <v>27</v>
      </c>
      <c r="C1623" t="s">
        <v>70</v>
      </c>
      <c r="D1623" t="s">
        <v>25</v>
      </c>
      <c r="E1623" s="1">
        <v>45041</v>
      </c>
      <c r="F1623" s="1">
        <v>45043</v>
      </c>
      <c r="G1623" s="2">
        <v>10.6</v>
      </c>
      <c r="H1623" s="2">
        <v>110.85</v>
      </c>
      <c r="I1623" t="s">
        <v>15</v>
      </c>
      <c r="J1623" s="2">
        <v>752</v>
      </c>
      <c r="K1623" s="2">
        <v>2</v>
      </c>
    </row>
    <row r="1624" spans="1:11" x14ac:dyDescent="0.25">
      <c r="A1624" t="s">
        <v>1670</v>
      </c>
      <c r="B1624" t="s">
        <v>30</v>
      </c>
      <c r="C1624" t="s">
        <v>17</v>
      </c>
      <c r="D1624" t="s">
        <v>59</v>
      </c>
      <c r="E1624" s="1">
        <v>45255</v>
      </c>
      <c r="F1624" s="1">
        <v>45257</v>
      </c>
      <c r="G1624" s="2">
        <v>22.1</v>
      </c>
      <c r="H1624" s="2">
        <v>93</v>
      </c>
      <c r="I1624" t="s">
        <v>15</v>
      </c>
      <c r="J1624" s="2">
        <v>398</v>
      </c>
      <c r="K1624" s="2">
        <v>2</v>
      </c>
    </row>
    <row r="1625" spans="1:11" x14ac:dyDescent="0.25">
      <c r="A1625" t="s">
        <v>1671</v>
      </c>
      <c r="B1625" t="s">
        <v>56</v>
      </c>
      <c r="C1625" t="s">
        <v>54</v>
      </c>
      <c r="D1625" t="s">
        <v>37</v>
      </c>
      <c r="E1625" s="1">
        <v>45033</v>
      </c>
      <c r="F1625" s="1">
        <v>45038</v>
      </c>
      <c r="G1625" s="2">
        <v>15.3</v>
      </c>
      <c r="H1625" s="2">
        <v>157.36000000000001</v>
      </c>
      <c r="I1625" t="s">
        <v>15</v>
      </c>
      <c r="J1625" s="2">
        <v>1237</v>
      </c>
      <c r="K1625" s="2">
        <v>5</v>
      </c>
    </row>
    <row r="1626" spans="1:11" x14ac:dyDescent="0.25">
      <c r="A1626" t="s">
        <v>1672</v>
      </c>
      <c r="B1626" t="s">
        <v>56</v>
      </c>
      <c r="C1626" t="s">
        <v>54</v>
      </c>
      <c r="D1626" t="s">
        <v>25</v>
      </c>
      <c r="E1626" s="1">
        <v>44956</v>
      </c>
      <c r="F1626" s="1">
        <v>44960</v>
      </c>
      <c r="G1626" s="2">
        <v>16.2</v>
      </c>
      <c r="H1626" s="2">
        <v>230.74</v>
      </c>
      <c r="I1626" t="s">
        <v>15</v>
      </c>
      <c r="J1626" s="2">
        <v>1651</v>
      </c>
      <c r="K1626" s="2">
        <v>4</v>
      </c>
    </row>
    <row r="1627" spans="1:11" x14ac:dyDescent="0.25">
      <c r="A1627" t="s">
        <v>1673</v>
      </c>
      <c r="B1627" t="s">
        <v>20</v>
      </c>
      <c r="C1627" t="s">
        <v>54</v>
      </c>
      <c r="D1627" t="s">
        <v>37</v>
      </c>
      <c r="E1627" s="1">
        <v>45291</v>
      </c>
      <c r="F1627" s="1">
        <v>45295</v>
      </c>
      <c r="G1627" s="2">
        <v>37</v>
      </c>
      <c r="H1627" s="2">
        <v>306.42</v>
      </c>
      <c r="I1627" t="s">
        <v>15</v>
      </c>
      <c r="J1627" s="2">
        <v>1658</v>
      </c>
      <c r="K1627" s="2">
        <v>4</v>
      </c>
    </row>
    <row r="1628" spans="1:11" x14ac:dyDescent="0.25">
      <c r="A1628" t="s">
        <v>1674</v>
      </c>
      <c r="B1628" t="s">
        <v>12</v>
      </c>
      <c r="C1628" t="s">
        <v>81</v>
      </c>
      <c r="D1628" t="s">
        <v>59</v>
      </c>
      <c r="E1628" s="1">
        <v>45271</v>
      </c>
      <c r="F1628" s="1">
        <v>45277</v>
      </c>
      <c r="G1628" s="2">
        <v>42.7</v>
      </c>
      <c r="H1628" s="2">
        <v>319.58</v>
      </c>
      <c r="I1628" t="s">
        <v>15</v>
      </c>
      <c r="J1628" s="2">
        <v>1829</v>
      </c>
      <c r="K1628" s="2">
        <v>6</v>
      </c>
    </row>
    <row r="1629" spans="1:11" x14ac:dyDescent="0.25">
      <c r="A1629" t="s">
        <v>1675</v>
      </c>
      <c r="B1629" t="s">
        <v>51</v>
      </c>
      <c r="C1629" t="s">
        <v>21</v>
      </c>
      <c r="D1629" t="s">
        <v>18</v>
      </c>
      <c r="E1629" s="1">
        <v>44960</v>
      </c>
      <c r="F1629" s="1">
        <v>44965</v>
      </c>
      <c r="G1629" s="2">
        <v>7.4</v>
      </c>
      <c r="H1629" s="2">
        <v>252.34</v>
      </c>
      <c r="I1629" t="s">
        <v>15</v>
      </c>
      <c r="J1629" s="2">
        <v>1879</v>
      </c>
      <c r="K1629" s="2">
        <v>5</v>
      </c>
    </row>
    <row r="1630" spans="1:11" x14ac:dyDescent="0.25">
      <c r="A1630" t="s">
        <v>1676</v>
      </c>
      <c r="B1630" t="s">
        <v>39</v>
      </c>
      <c r="C1630" t="s">
        <v>40</v>
      </c>
      <c r="D1630" t="s">
        <v>37</v>
      </c>
      <c r="E1630" s="1">
        <v>45155</v>
      </c>
      <c r="F1630" s="1">
        <v>45160</v>
      </c>
      <c r="G1630" s="2">
        <v>23.4</v>
      </c>
      <c r="H1630" s="2">
        <v>89.92</v>
      </c>
      <c r="I1630" t="s">
        <v>47</v>
      </c>
      <c r="J1630" s="2">
        <v>454</v>
      </c>
      <c r="K1630" s="2">
        <v>1</v>
      </c>
    </row>
    <row r="1631" spans="1:11" x14ac:dyDescent="0.25">
      <c r="A1631" t="s">
        <v>1677</v>
      </c>
      <c r="B1631" t="s">
        <v>51</v>
      </c>
      <c r="C1631" t="s">
        <v>57</v>
      </c>
      <c r="D1631" t="s">
        <v>37</v>
      </c>
      <c r="E1631" s="1">
        <v>45052</v>
      </c>
      <c r="F1631" s="1">
        <v>45053</v>
      </c>
      <c r="G1631" s="2">
        <v>34.9</v>
      </c>
      <c r="H1631" s="2">
        <v>61.85</v>
      </c>
      <c r="I1631" t="s">
        <v>15</v>
      </c>
      <c r="J1631" s="2">
        <v>197</v>
      </c>
      <c r="K1631" s="2">
        <v>1</v>
      </c>
    </row>
    <row r="1632" spans="1:11" x14ac:dyDescent="0.25">
      <c r="A1632" t="s">
        <v>1678</v>
      </c>
      <c r="B1632" t="s">
        <v>56</v>
      </c>
      <c r="C1632" t="s">
        <v>44</v>
      </c>
      <c r="D1632" t="s">
        <v>25</v>
      </c>
      <c r="E1632" s="1">
        <v>45070</v>
      </c>
      <c r="F1632" s="1">
        <v>45075</v>
      </c>
      <c r="G1632" s="2">
        <v>8.1</v>
      </c>
      <c r="H1632" s="2">
        <v>174.87</v>
      </c>
      <c r="I1632" t="s">
        <v>15</v>
      </c>
      <c r="J1632" s="2">
        <v>1325</v>
      </c>
      <c r="K1632" s="2">
        <v>5</v>
      </c>
    </row>
    <row r="1633" spans="1:11" x14ac:dyDescent="0.25">
      <c r="A1633" t="s">
        <v>1679</v>
      </c>
      <c r="B1633" t="s">
        <v>20</v>
      </c>
      <c r="C1633" t="s">
        <v>36</v>
      </c>
      <c r="D1633" t="s">
        <v>32</v>
      </c>
      <c r="E1633" s="1">
        <v>45238</v>
      </c>
      <c r="F1633" s="1">
        <v>45244</v>
      </c>
      <c r="G1633" s="2">
        <v>6.2</v>
      </c>
      <c r="H1633" s="2">
        <v>268.27</v>
      </c>
      <c r="I1633" t="s">
        <v>15</v>
      </c>
      <c r="J1633" s="2">
        <v>1538</v>
      </c>
      <c r="K1633" s="2">
        <v>6</v>
      </c>
    </row>
    <row r="1634" spans="1:11" x14ac:dyDescent="0.25">
      <c r="A1634" t="s">
        <v>1680</v>
      </c>
      <c r="B1634" t="s">
        <v>27</v>
      </c>
      <c r="C1634" t="s">
        <v>44</v>
      </c>
      <c r="D1634" t="s">
        <v>25</v>
      </c>
      <c r="E1634" s="1">
        <v>44931</v>
      </c>
      <c r="F1634" s="1">
        <v>44936</v>
      </c>
      <c r="G1634" s="2">
        <v>14</v>
      </c>
      <c r="H1634" s="2">
        <v>151.05000000000001</v>
      </c>
      <c r="I1634" t="s">
        <v>15</v>
      </c>
      <c r="J1634" s="2">
        <v>1077</v>
      </c>
      <c r="K1634" s="2">
        <v>5</v>
      </c>
    </row>
    <row r="1635" spans="1:11" x14ac:dyDescent="0.25">
      <c r="A1635" t="s">
        <v>1681</v>
      </c>
      <c r="B1635" t="s">
        <v>39</v>
      </c>
      <c r="C1635" t="s">
        <v>54</v>
      </c>
      <c r="D1635" t="s">
        <v>18</v>
      </c>
      <c r="E1635" s="1">
        <v>45236</v>
      </c>
      <c r="F1635" s="1">
        <v>45240</v>
      </c>
      <c r="G1635" s="2">
        <v>10</v>
      </c>
      <c r="H1635" s="2">
        <v>118.15</v>
      </c>
      <c r="I1635" t="s">
        <v>47</v>
      </c>
      <c r="J1635" s="2">
        <v>638</v>
      </c>
      <c r="K1635" s="2">
        <v>2</v>
      </c>
    </row>
    <row r="1636" spans="1:11" x14ac:dyDescent="0.25">
      <c r="A1636" t="s">
        <v>1682</v>
      </c>
      <c r="B1636" t="s">
        <v>27</v>
      </c>
      <c r="C1636" t="s">
        <v>46</v>
      </c>
      <c r="D1636" t="s">
        <v>59</v>
      </c>
      <c r="E1636" s="1">
        <v>45249</v>
      </c>
      <c r="F1636" s="1">
        <v>45258</v>
      </c>
      <c r="G1636" s="2">
        <v>43.6</v>
      </c>
      <c r="H1636" s="2">
        <v>304.3</v>
      </c>
      <c r="I1636" t="s">
        <v>15</v>
      </c>
      <c r="J1636" s="2">
        <v>1947</v>
      </c>
      <c r="K1636" s="2">
        <v>9</v>
      </c>
    </row>
    <row r="1637" spans="1:11" x14ac:dyDescent="0.25">
      <c r="A1637" t="s">
        <v>1683</v>
      </c>
      <c r="B1637" t="s">
        <v>56</v>
      </c>
      <c r="C1637" t="s">
        <v>17</v>
      </c>
      <c r="D1637" t="s">
        <v>37</v>
      </c>
      <c r="E1637" s="1">
        <v>45099</v>
      </c>
      <c r="F1637" s="1">
        <v>45104</v>
      </c>
      <c r="G1637" s="2">
        <v>16.100000000000001</v>
      </c>
      <c r="H1637" s="2">
        <v>143</v>
      </c>
      <c r="I1637" t="s">
        <v>15</v>
      </c>
      <c r="J1637" s="2">
        <v>1074</v>
      </c>
      <c r="K1637" s="2">
        <v>5</v>
      </c>
    </row>
    <row r="1638" spans="1:11" x14ac:dyDescent="0.25">
      <c r="A1638" t="s">
        <v>1684</v>
      </c>
      <c r="B1638" t="s">
        <v>30</v>
      </c>
      <c r="C1638" t="s">
        <v>44</v>
      </c>
      <c r="D1638" t="s">
        <v>42</v>
      </c>
      <c r="E1638" s="1">
        <v>45089</v>
      </c>
      <c r="F1638" s="1">
        <v>45092</v>
      </c>
      <c r="G1638" s="2">
        <v>21.3</v>
      </c>
      <c r="H1638" s="2">
        <v>91.45</v>
      </c>
      <c r="I1638" t="s">
        <v>15</v>
      </c>
      <c r="J1638" s="2">
        <v>587</v>
      </c>
      <c r="K1638" s="2">
        <v>3</v>
      </c>
    </row>
    <row r="1639" spans="1:11" x14ac:dyDescent="0.25">
      <c r="A1639" t="s">
        <v>1685</v>
      </c>
      <c r="B1639" t="s">
        <v>20</v>
      </c>
      <c r="C1639" t="s">
        <v>24</v>
      </c>
      <c r="D1639" t="s">
        <v>59</v>
      </c>
      <c r="E1639" s="1">
        <v>45007</v>
      </c>
      <c r="F1639" s="1">
        <v>45011</v>
      </c>
      <c r="G1639" s="2">
        <v>66.3</v>
      </c>
      <c r="H1639" s="2">
        <v>204.27</v>
      </c>
      <c r="I1639" t="s">
        <v>15</v>
      </c>
      <c r="J1639" s="2">
        <v>1135</v>
      </c>
      <c r="K1639" s="2">
        <v>4</v>
      </c>
    </row>
    <row r="1640" spans="1:11" x14ac:dyDescent="0.25">
      <c r="A1640" t="s">
        <v>1686</v>
      </c>
      <c r="B1640" t="s">
        <v>12</v>
      </c>
      <c r="C1640" t="s">
        <v>17</v>
      </c>
      <c r="D1640" t="s">
        <v>25</v>
      </c>
      <c r="E1640" s="1">
        <v>44978</v>
      </c>
      <c r="F1640" s="1">
        <v>44981</v>
      </c>
      <c r="G1640" s="2">
        <v>5.9</v>
      </c>
      <c r="H1640" s="2">
        <v>103.51</v>
      </c>
      <c r="I1640" t="s">
        <v>15</v>
      </c>
      <c r="J1640" s="2">
        <v>746</v>
      </c>
      <c r="K1640" s="2">
        <v>3</v>
      </c>
    </row>
    <row r="1641" spans="1:11" x14ac:dyDescent="0.25">
      <c r="A1641" t="s">
        <v>1687</v>
      </c>
      <c r="B1641" t="s">
        <v>23</v>
      </c>
      <c r="C1641" t="s">
        <v>46</v>
      </c>
      <c r="D1641" t="s">
        <v>59</v>
      </c>
      <c r="E1641" s="1">
        <v>45202</v>
      </c>
      <c r="F1641" s="1">
        <v>45206</v>
      </c>
      <c r="G1641" s="2">
        <v>28.9</v>
      </c>
      <c r="H1641" s="2">
        <v>227.91</v>
      </c>
      <c r="I1641" t="s">
        <v>60</v>
      </c>
      <c r="J1641" s="2">
        <v>1675</v>
      </c>
      <c r="K1641" s="2">
        <v>4</v>
      </c>
    </row>
    <row r="1642" spans="1:11" x14ac:dyDescent="0.25">
      <c r="A1642" t="s">
        <v>1688</v>
      </c>
      <c r="B1642" t="s">
        <v>20</v>
      </c>
      <c r="C1642" t="s">
        <v>46</v>
      </c>
      <c r="D1642" t="s">
        <v>59</v>
      </c>
      <c r="E1642" s="1">
        <v>45230</v>
      </c>
      <c r="F1642" s="1">
        <v>45237</v>
      </c>
      <c r="G1642" s="2">
        <v>32.4</v>
      </c>
      <c r="H1642" s="2">
        <v>226.41</v>
      </c>
      <c r="I1642" t="s">
        <v>15</v>
      </c>
      <c r="J1642" s="2">
        <v>1636</v>
      </c>
      <c r="K1642" s="2">
        <v>7</v>
      </c>
    </row>
    <row r="1643" spans="1:11" x14ac:dyDescent="0.25">
      <c r="A1643" t="s">
        <v>1689</v>
      </c>
      <c r="B1643" t="s">
        <v>39</v>
      </c>
      <c r="C1643" t="s">
        <v>13</v>
      </c>
      <c r="D1643" t="s">
        <v>59</v>
      </c>
      <c r="E1643" s="1">
        <v>44945</v>
      </c>
      <c r="F1643" s="1">
        <v>44952</v>
      </c>
      <c r="G1643" s="2">
        <v>53</v>
      </c>
      <c r="H1643" s="2">
        <v>322.97000000000003</v>
      </c>
      <c r="I1643" t="s">
        <v>15</v>
      </c>
      <c r="J1643" s="2">
        <v>2490</v>
      </c>
      <c r="K1643" s="2">
        <v>7</v>
      </c>
    </row>
    <row r="1644" spans="1:11" x14ac:dyDescent="0.25">
      <c r="A1644" t="s">
        <v>1690</v>
      </c>
      <c r="B1644" t="s">
        <v>12</v>
      </c>
      <c r="C1644" t="s">
        <v>36</v>
      </c>
      <c r="D1644" t="s">
        <v>59</v>
      </c>
      <c r="E1644" s="1">
        <v>45046</v>
      </c>
      <c r="F1644" s="1">
        <v>45059</v>
      </c>
      <c r="G1644" s="2">
        <v>37</v>
      </c>
      <c r="H1644" s="2">
        <v>211.45</v>
      </c>
      <c r="I1644" t="s">
        <v>47</v>
      </c>
      <c r="J1644" s="2">
        <v>1433</v>
      </c>
      <c r="K1644" s="2">
        <v>4</v>
      </c>
    </row>
    <row r="1645" spans="1:11" x14ac:dyDescent="0.25">
      <c r="A1645" t="s">
        <v>1691</v>
      </c>
      <c r="B1645" t="s">
        <v>30</v>
      </c>
      <c r="C1645" t="s">
        <v>40</v>
      </c>
      <c r="D1645" t="s">
        <v>25</v>
      </c>
      <c r="E1645" s="1">
        <v>45061</v>
      </c>
      <c r="F1645" s="1">
        <v>45063</v>
      </c>
      <c r="G1645" s="2">
        <v>33.799999999999997</v>
      </c>
      <c r="H1645" s="2">
        <v>134.61000000000001</v>
      </c>
      <c r="I1645" t="s">
        <v>60</v>
      </c>
      <c r="J1645" s="2">
        <v>775</v>
      </c>
      <c r="K1645" s="2">
        <v>2</v>
      </c>
    </row>
    <row r="1646" spans="1:11" x14ac:dyDescent="0.25">
      <c r="A1646" t="s">
        <v>1692</v>
      </c>
      <c r="B1646" t="s">
        <v>39</v>
      </c>
      <c r="C1646" t="s">
        <v>13</v>
      </c>
      <c r="D1646" t="s">
        <v>25</v>
      </c>
      <c r="E1646" s="1">
        <v>45160</v>
      </c>
      <c r="F1646" s="1">
        <v>45166</v>
      </c>
      <c r="G1646" s="2">
        <v>12.3</v>
      </c>
      <c r="H1646" s="2">
        <v>190.39</v>
      </c>
      <c r="I1646" t="s">
        <v>15</v>
      </c>
      <c r="J1646" s="2">
        <v>1393</v>
      </c>
      <c r="K1646" s="2">
        <v>6</v>
      </c>
    </row>
    <row r="1647" spans="1:11" x14ac:dyDescent="0.25">
      <c r="A1647" t="s">
        <v>1693</v>
      </c>
      <c r="B1647" t="s">
        <v>20</v>
      </c>
      <c r="C1647" t="s">
        <v>70</v>
      </c>
      <c r="D1647" t="s">
        <v>18</v>
      </c>
      <c r="E1647" s="1">
        <v>44959</v>
      </c>
      <c r="F1647" s="1">
        <v>44965</v>
      </c>
      <c r="G1647" s="2">
        <v>15.5</v>
      </c>
      <c r="H1647" s="2">
        <v>351.5</v>
      </c>
      <c r="I1647" t="s">
        <v>15</v>
      </c>
      <c r="J1647" s="2">
        <v>2499</v>
      </c>
      <c r="K1647" s="2">
        <v>6</v>
      </c>
    </row>
    <row r="1648" spans="1:11" x14ac:dyDescent="0.25">
      <c r="A1648" t="s">
        <v>1694</v>
      </c>
      <c r="B1648" t="s">
        <v>30</v>
      </c>
      <c r="C1648" t="s">
        <v>52</v>
      </c>
      <c r="D1648" t="s">
        <v>25</v>
      </c>
      <c r="E1648" s="1">
        <v>45071</v>
      </c>
      <c r="F1648" s="1">
        <v>45074</v>
      </c>
      <c r="G1648" s="2">
        <v>29.2</v>
      </c>
      <c r="H1648" s="2">
        <v>126.94</v>
      </c>
      <c r="I1648" t="s">
        <v>15</v>
      </c>
      <c r="J1648" s="2">
        <v>680</v>
      </c>
      <c r="K1648" s="2">
        <v>3</v>
      </c>
    </row>
    <row r="1649" spans="1:11" x14ac:dyDescent="0.25">
      <c r="A1649" t="s">
        <v>1695</v>
      </c>
      <c r="B1649" t="s">
        <v>35</v>
      </c>
      <c r="C1649" t="s">
        <v>21</v>
      </c>
      <c r="D1649" t="s">
        <v>18</v>
      </c>
      <c r="E1649" s="1">
        <v>44985</v>
      </c>
      <c r="F1649" s="1">
        <v>44992</v>
      </c>
      <c r="G1649" s="2">
        <v>39.9</v>
      </c>
      <c r="H1649" s="2">
        <v>36.450000000000003</v>
      </c>
      <c r="I1649" t="s">
        <v>47</v>
      </c>
      <c r="J1649" s="2">
        <v>2190</v>
      </c>
      <c r="K1649" s="2">
        <v>6</v>
      </c>
    </row>
    <row r="1650" spans="1:11" x14ac:dyDescent="0.25">
      <c r="A1650" t="s">
        <v>1696</v>
      </c>
      <c r="B1650" t="s">
        <v>20</v>
      </c>
      <c r="C1650" t="s">
        <v>70</v>
      </c>
      <c r="D1650" t="s">
        <v>18</v>
      </c>
      <c r="E1650" s="1">
        <v>45134</v>
      </c>
      <c r="F1650" s="1">
        <v>45140</v>
      </c>
      <c r="G1650" s="2">
        <v>24.6</v>
      </c>
      <c r="H1650" s="2">
        <v>295.52</v>
      </c>
      <c r="I1650" t="s">
        <v>15</v>
      </c>
      <c r="J1650" s="2">
        <v>1899</v>
      </c>
      <c r="K1650" s="2">
        <v>6</v>
      </c>
    </row>
    <row r="1651" spans="1:11" x14ac:dyDescent="0.25">
      <c r="A1651" t="s">
        <v>1697</v>
      </c>
      <c r="B1651" t="s">
        <v>30</v>
      </c>
      <c r="C1651" t="s">
        <v>52</v>
      </c>
      <c r="D1651" t="s">
        <v>32</v>
      </c>
      <c r="E1651" s="1">
        <v>44979</v>
      </c>
      <c r="F1651" s="1">
        <v>44984</v>
      </c>
      <c r="G1651" s="2">
        <v>27.4</v>
      </c>
      <c r="H1651" s="2">
        <v>336.51</v>
      </c>
      <c r="I1651" t="s">
        <v>15</v>
      </c>
      <c r="J1651" s="2">
        <v>2166</v>
      </c>
      <c r="K1651" s="2">
        <v>5</v>
      </c>
    </row>
    <row r="1652" spans="1:11" x14ac:dyDescent="0.25">
      <c r="A1652" t="s">
        <v>1698</v>
      </c>
      <c r="B1652" t="s">
        <v>35</v>
      </c>
      <c r="C1652" t="s">
        <v>28</v>
      </c>
      <c r="D1652" t="s">
        <v>25</v>
      </c>
      <c r="E1652" s="1">
        <v>45165</v>
      </c>
      <c r="F1652" s="1">
        <v>45168</v>
      </c>
      <c r="G1652" s="2">
        <v>9.9</v>
      </c>
      <c r="H1652" s="2">
        <v>67.66</v>
      </c>
      <c r="I1652" t="s">
        <v>15</v>
      </c>
      <c r="J1652" s="2">
        <v>520</v>
      </c>
      <c r="K1652" s="2">
        <v>3</v>
      </c>
    </row>
    <row r="1653" spans="1:11" x14ac:dyDescent="0.25">
      <c r="A1653" t="s">
        <v>1699</v>
      </c>
      <c r="B1653" t="s">
        <v>56</v>
      </c>
      <c r="C1653" t="s">
        <v>31</v>
      </c>
      <c r="D1653" t="s">
        <v>37</v>
      </c>
      <c r="E1653" s="1">
        <v>44956</v>
      </c>
      <c r="F1653" s="1">
        <v>44958</v>
      </c>
      <c r="G1653" s="2">
        <v>16.2</v>
      </c>
      <c r="H1653" s="2">
        <v>106.95</v>
      </c>
      <c r="I1653" t="s">
        <v>15</v>
      </c>
      <c r="J1653" s="2">
        <v>715</v>
      </c>
      <c r="K1653" s="2">
        <v>2</v>
      </c>
    </row>
    <row r="1654" spans="1:11" x14ac:dyDescent="0.25">
      <c r="A1654" t="s">
        <v>1700</v>
      </c>
      <c r="B1654" t="s">
        <v>30</v>
      </c>
      <c r="C1654" t="s">
        <v>28</v>
      </c>
      <c r="D1654" t="s">
        <v>42</v>
      </c>
      <c r="E1654" s="1">
        <v>45219</v>
      </c>
      <c r="F1654" s="1">
        <v>45224</v>
      </c>
      <c r="G1654" s="2">
        <v>27.9</v>
      </c>
      <c r="H1654" s="2">
        <v>261.5</v>
      </c>
      <c r="I1654" t="s">
        <v>62</v>
      </c>
      <c r="J1654" s="2">
        <v>1773</v>
      </c>
      <c r="K1654" s="2">
        <v>5</v>
      </c>
    </row>
    <row r="1655" spans="1:11" x14ac:dyDescent="0.25">
      <c r="A1655" t="s">
        <v>1701</v>
      </c>
      <c r="B1655" t="s">
        <v>49</v>
      </c>
      <c r="C1655" t="s">
        <v>40</v>
      </c>
      <c r="D1655" t="s">
        <v>18</v>
      </c>
      <c r="E1655" s="1">
        <v>45061</v>
      </c>
      <c r="F1655" s="1">
        <v>45063</v>
      </c>
      <c r="G1655" s="2">
        <v>16.2</v>
      </c>
      <c r="H1655" s="2">
        <v>75.069999999999993</v>
      </c>
      <c r="I1655" t="s">
        <v>15</v>
      </c>
      <c r="J1655" s="2">
        <v>369</v>
      </c>
      <c r="K1655" s="2">
        <v>2</v>
      </c>
    </row>
    <row r="1656" spans="1:11" x14ac:dyDescent="0.25">
      <c r="A1656" t="s">
        <v>1702</v>
      </c>
      <c r="B1656" t="s">
        <v>51</v>
      </c>
      <c r="C1656" t="s">
        <v>70</v>
      </c>
      <c r="D1656" t="s">
        <v>32</v>
      </c>
      <c r="E1656" s="1">
        <v>45156</v>
      </c>
      <c r="F1656" s="1">
        <v>45158</v>
      </c>
      <c r="G1656" s="2">
        <v>5.3</v>
      </c>
      <c r="H1656" s="2">
        <v>107.55</v>
      </c>
      <c r="I1656" t="s">
        <v>15</v>
      </c>
      <c r="J1656" s="2">
        <v>846</v>
      </c>
      <c r="K1656" s="2">
        <v>2</v>
      </c>
    </row>
    <row r="1657" spans="1:11" x14ac:dyDescent="0.25">
      <c r="A1657" t="s">
        <v>1703</v>
      </c>
      <c r="B1657" t="s">
        <v>20</v>
      </c>
      <c r="C1657" t="s">
        <v>46</v>
      </c>
      <c r="D1657" t="s">
        <v>37</v>
      </c>
      <c r="E1657" s="1">
        <v>45167</v>
      </c>
      <c r="F1657" s="1">
        <v>45170</v>
      </c>
      <c r="G1657" s="2">
        <v>23.7</v>
      </c>
      <c r="H1657" s="2">
        <v>137.37</v>
      </c>
      <c r="I1657" t="s">
        <v>15</v>
      </c>
      <c r="J1657" s="2">
        <v>905</v>
      </c>
      <c r="K1657" s="2">
        <v>3</v>
      </c>
    </row>
    <row r="1658" spans="1:11" x14ac:dyDescent="0.25">
      <c r="A1658" t="s">
        <v>1704</v>
      </c>
      <c r="B1658" t="s">
        <v>23</v>
      </c>
      <c r="C1658" t="s">
        <v>70</v>
      </c>
      <c r="D1658" t="s">
        <v>18</v>
      </c>
      <c r="E1658" s="1">
        <v>45262</v>
      </c>
      <c r="F1658" s="1">
        <v>45264</v>
      </c>
      <c r="G1658" s="2">
        <v>5.6</v>
      </c>
      <c r="H1658" s="2">
        <v>36.1</v>
      </c>
      <c r="I1658" t="s">
        <v>15</v>
      </c>
      <c r="J1658" s="2">
        <v>171</v>
      </c>
      <c r="K1658" s="2">
        <v>2</v>
      </c>
    </row>
    <row r="1659" spans="1:11" x14ac:dyDescent="0.25">
      <c r="A1659" t="s">
        <v>1705</v>
      </c>
      <c r="B1659" t="s">
        <v>12</v>
      </c>
      <c r="C1659" t="s">
        <v>57</v>
      </c>
      <c r="D1659" t="s">
        <v>18</v>
      </c>
      <c r="E1659" s="1">
        <v>44975</v>
      </c>
      <c r="F1659" s="1">
        <v>44981</v>
      </c>
      <c r="G1659" s="2">
        <v>8.9</v>
      </c>
      <c r="H1659" s="2">
        <v>296.47000000000003</v>
      </c>
      <c r="I1659" t="s">
        <v>15</v>
      </c>
      <c r="J1659" s="2">
        <v>2222</v>
      </c>
      <c r="K1659" s="2">
        <v>6</v>
      </c>
    </row>
    <row r="1660" spans="1:11" x14ac:dyDescent="0.25">
      <c r="A1660" t="s">
        <v>1706</v>
      </c>
      <c r="B1660" t="s">
        <v>49</v>
      </c>
      <c r="C1660" t="s">
        <v>54</v>
      </c>
      <c r="D1660" t="s">
        <v>32</v>
      </c>
      <c r="E1660" s="1">
        <v>44965</v>
      </c>
      <c r="F1660" s="1">
        <v>44971</v>
      </c>
      <c r="G1660" s="2">
        <v>27.2</v>
      </c>
      <c r="H1660" s="2">
        <v>375.67</v>
      </c>
      <c r="I1660" t="s">
        <v>15</v>
      </c>
      <c r="J1660" s="2">
        <v>2462</v>
      </c>
      <c r="K1660" s="2">
        <v>6</v>
      </c>
    </row>
    <row r="1661" spans="1:11" x14ac:dyDescent="0.25">
      <c r="A1661" t="s">
        <v>1707</v>
      </c>
      <c r="B1661" t="s">
        <v>30</v>
      </c>
      <c r="C1661" t="s">
        <v>57</v>
      </c>
      <c r="D1661" t="s">
        <v>25</v>
      </c>
      <c r="E1661" s="1">
        <v>45113</v>
      </c>
      <c r="F1661" s="1">
        <v>45118</v>
      </c>
      <c r="G1661" s="2">
        <v>9.6999999999999993</v>
      </c>
      <c r="H1661" s="2">
        <v>191.62</v>
      </c>
      <c r="I1661" t="s">
        <v>15</v>
      </c>
      <c r="J1661" s="2">
        <v>1529</v>
      </c>
      <c r="K1661" s="2">
        <v>5</v>
      </c>
    </row>
    <row r="1662" spans="1:11" x14ac:dyDescent="0.25">
      <c r="A1662" t="s">
        <v>1708</v>
      </c>
      <c r="B1662" t="s">
        <v>23</v>
      </c>
      <c r="C1662" t="s">
        <v>54</v>
      </c>
      <c r="D1662" t="s">
        <v>14</v>
      </c>
      <c r="E1662" s="1">
        <v>45046</v>
      </c>
      <c r="F1662" s="1">
        <v>45051</v>
      </c>
      <c r="G1662" s="2">
        <v>3</v>
      </c>
      <c r="H1662" s="2">
        <v>237.95</v>
      </c>
      <c r="I1662" t="s">
        <v>15</v>
      </c>
      <c r="J1662" s="2">
        <v>1912</v>
      </c>
      <c r="K1662" s="2">
        <v>5</v>
      </c>
    </row>
    <row r="1663" spans="1:11" x14ac:dyDescent="0.25">
      <c r="A1663" t="s">
        <v>1709</v>
      </c>
      <c r="B1663" t="s">
        <v>20</v>
      </c>
      <c r="C1663" t="s">
        <v>31</v>
      </c>
      <c r="D1663" t="s">
        <v>42</v>
      </c>
      <c r="E1663" s="1">
        <v>45277</v>
      </c>
      <c r="F1663" s="1">
        <v>45280</v>
      </c>
      <c r="G1663" s="2">
        <v>60.3</v>
      </c>
      <c r="H1663" s="2">
        <v>272.77999999999997</v>
      </c>
      <c r="I1663" t="s">
        <v>15</v>
      </c>
      <c r="J1663" s="2">
        <v>1194</v>
      </c>
      <c r="K1663" s="2">
        <v>3</v>
      </c>
    </row>
    <row r="1664" spans="1:11" x14ac:dyDescent="0.25">
      <c r="A1664" t="s">
        <v>1710</v>
      </c>
      <c r="B1664" t="s">
        <v>35</v>
      </c>
      <c r="C1664" t="s">
        <v>40</v>
      </c>
      <c r="D1664" t="s">
        <v>14</v>
      </c>
      <c r="E1664" s="1">
        <v>45269</v>
      </c>
      <c r="F1664" s="1">
        <v>45280</v>
      </c>
      <c r="G1664" s="2">
        <v>10.3</v>
      </c>
      <c r="I1664" t="s">
        <v>47</v>
      </c>
      <c r="J1664" s="2">
        <v>283</v>
      </c>
      <c r="K1664" s="2">
        <v>1</v>
      </c>
    </row>
    <row r="1665" spans="1:11" x14ac:dyDescent="0.25">
      <c r="A1665" t="s">
        <v>1711</v>
      </c>
      <c r="B1665" t="s">
        <v>27</v>
      </c>
      <c r="C1665" t="s">
        <v>36</v>
      </c>
      <c r="D1665" t="s">
        <v>42</v>
      </c>
      <c r="E1665" s="1">
        <v>45088</v>
      </c>
      <c r="F1665" s="1">
        <v>45094</v>
      </c>
      <c r="G1665" s="2">
        <v>34.299999999999997</v>
      </c>
      <c r="H1665" s="2">
        <v>296.22000000000003</v>
      </c>
      <c r="I1665" t="s">
        <v>15</v>
      </c>
      <c r="J1665" s="2">
        <v>1916</v>
      </c>
      <c r="K1665" s="2">
        <v>6</v>
      </c>
    </row>
    <row r="1666" spans="1:11" x14ac:dyDescent="0.25">
      <c r="A1666" t="s">
        <v>1712</v>
      </c>
      <c r="B1666" t="s">
        <v>12</v>
      </c>
      <c r="C1666" t="s">
        <v>81</v>
      </c>
      <c r="D1666" t="s">
        <v>14</v>
      </c>
      <c r="E1666" s="1">
        <v>45024</v>
      </c>
      <c r="F1666" s="1">
        <v>45029</v>
      </c>
      <c r="G1666" s="2">
        <v>34.200000000000003</v>
      </c>
      <c r="H1666" s="2">
        <v>113.11</v>
      </c>
      <c r="I1666" t="s">
        <v>15</v>
      </c>
      <c r="J1666" s="2">
        <v>504</v>
      </c>
      <c r="K1666" s="2">
        <v>5</v>
      </c>
    </row>
    <row r="1667" spans="1:11" x14ac:dyDescent="0.25">
      <c r="A1667" t="s">
        <v>1713</v>
      </c>
      <c r="B1667" t="s">
        <v>49</v>
      </c>
      <c r="C1667" t="s">
        <v>44</v>
      </c>
      <c r="D1667" t="s">
        <v>37</v>
      </c>
      <c r="E1667" s="1">
        <v>45139</v>
      </c>
      <c r="F1667" s="1">
        <v>45147</v>
      </c>
      <c r="G1667" s="2">
        <v>70.5</v>
      </c>
      <c r="H1667" s="2">
        <v>367.67</v>
      </c>
      <c r="I1667" t="s">
        <v>15</v>
      </c>
      <c r="J1667" s="2">
        <v>2442</v>
      </c>
      <c r="K1667" s="2">
        <v>8</v>
      </c>
    </row>
    <row r="1668" spans="1:11" x14ac:dyDescent="0.25">
      <c r="A1668" t="s">
        <v>1714</v>
      </c>
      <c r="B1668" t="s">
        <v>20</v>
      </c>
      <c r="C1668" t="s">
        <v>24</v>
      </c>
      <c r="D1668" t="s">
        <v>42</v>
      </c>
      <c r="E1668" s="1">
        <v>45012</v>
      </c>
      <c r="F1668" s="1">
        <v>45017</v>
      </c>
      <c r="G1668" s="2">
        <v>13.1</v>
      </c>
      <c r="H1668" s="2">
        <v>162.21</v>
      </c>
      <c r="I1668" t="s">
        <v>15</v>
      </c>
      <c r="J1668" s="2">
        <v>1135</v>
      </c>
      <c r="K1668" s="2">
        <v>5</v>
      </c>
    </row>
    <row r="1669" spans="1:11" x14ac:dyDescent="0.25">
      <c r="A1669" t="s">
        <v>1715</v>
      </c>
      <c r="B1669" t="s">
        <v>35</v>
      </c>
      <c r="C1669" t="s">
        <v>52</v>
      </c>
      <c r="D1669" t="s">
        <v>42</v>
      </c>
      <c r="E1669" s="1">
        <v>45229</v>
      </c>
      <c r="F1669" s="1">
        <v>45234</v>
      </c>
      <c r="G1669" s="2">
        <v>26.5</v>
      </c>
      <c r="H1669" s="2">
        <v>254.13</v>
      </c>
      <c r="I1669" t="s">
        <v>15</v>
      </c>
      <c r="J1669" s="2">
        <v>1815</v>
      </c>
      <c r="K1669" s="2">
        <v>5</v>
      </c>
    </row>
    <row r="1670" spans="1:11" x14ac:dyDescent="0.25">
      <c r="A1670" t="s">
        <v>1716</v>
      </c>
      <c r="B1670" t="s">
        <v>56</v>
      </c>
      <c r="C1670" t="s">
        <v>81</v>
      </c>
      <c r="D1670" t="s">
        <v>32</v>
      </c>
      <c r="E1670" s="1">
        <v>45287</v>
      </c>
      <c r="F1670" s="1">
        <v>45290</v>
      </c>
      <c r="G1670" s="2">
        <v>13.6</v>
      </c>
      <c r="H1670" s="2">
        <v>166.26</v>
      </c>
      <c r="I1670" t="s">
        <v>62</v>
      </c>
      <c r="J1670" s="2">
        <v>834</v>
      </c>
      <c r="K1670" s="2">
        <v>3</v>
      </c>
    </row>
    <row r="1671" spans="1:11" x14ac:dyDescent="0.25">
      <c r="A1671" t="s">
        <v>1717</v>
      </c>
      <c r="B1671" t="s">
        <v>30</v>
      </c>
      <c r="C1671" t="s">
        <v>24</v>
      </c>
      <c r="D1671" t="s">
        <v>18</v>
      </c>
      <c r="E1671" s="1">
        <v>45257</v>
      </c>
      <c r="F1671" s="1">
        <v>45260</v>
      </c>
      <c r="G1671" s="2">
        <v>18.600000000000001</v>
      </c>
      <c r="H1671" s="2">
        <v>202.15</v>
      </c>
      <c r="I1671" t="s">
        <v>15</v>
      </c>
      <c r="J1671" s="2">
        <v>997</v>
      </c>
      <c r="K1671" s="2">
        <v>3</v>
      </c>
    </row>
    <row r="1672" spans="1:11" x14ac:dyDescent="0.25">
      <c r="A1672" t="s">
        <v>1718</v>
      </c>
      <c r="B1672" t="s">
        <v>20</v>
      </c>
      <c r="C1672" t="s">
        <v>52</v>
      </c>
      <c r="D1672" t="s">
        <v>37</v>
      </c>
      <c r="E1672" s="1">
        <v>44984</v>
      </c>
      <c r="F1672" s="1">
        <v>44986</v>
      </c>
      <c r="G1672" s="2">
        <v>32.6</v>
      </c>
      <c r="H1672" s="2">
        <v>89.42</v>
      </c>
      <c r="I1672" t="s">
        <v>15</v>
      </c>
      <c r="J1672" s="2">
        <v>373</v>
      </c>
      <c r="K1672" s="2">
        <v>2</v>
      </c>
    </row>
    <row r="1673" spans="1:11" x14ac:dyDescent="0.25">
      <c r="A1673" t="s">
        <v>1719</v>
      </c>
      <c r="B1673" t="s">
        <v>12</v>
      </c>
      <c r="C1673" t="s">
        <v>44</v>
      </c>
      <c r="D1673" t="s">
        <v>32</v>
      </c>
      <c r="E1673" s="1">
        <v>45266</v>
      </c>
      <c r="F1673" s="1">
        <v>45273</v>
      </c>
      <c r="G1673" s="2">
        <v>9</v>
      </c>
      <c r="H1673" s="2">
        <v>352.78</v>
      </c>
      <c r="I1673" t="s">
        <v>15</v>
      </c>
      <c r="J1673" s="2">
        <v>1993</v>
      </c>
      <c r="K1673" s="2">
        <v>7</v>
      </c>
    </row>
    <row r="1674" spans="1:11" x14ac:dyDescent="0.25">
      <c r="A1674" t="s">
        <v>1720</v>
      </c>
      <c r="B1674" t="s">
        <v>51</v>
      </c>
      <c r="C1674" t="s">
        <v>13</v>
      </c>
      <c r="D1674" t="s">
        <v>42</v>
      </c>
      <c r="E1674" s="1">
        <v>45051</v>
      </c>
      <c r="F1674" s="1">
        <v>45058</v>
      </c>
      <c r="G1674" s="2">
        <v>19.399999999999999</v>
      </c>
      <c r="H1674" s="2">
        <v>322.16000000000003</v>
      </c>
      <c r="I1674" t="s">
        <v>15</v>
      </c>
      <c r="J1674" s="2">
        <v>2423</v>
      </c>
      <c r="K1674" s="2">
        <v>7</v>
      </c>
    </row>
    <row r="1675" spans="1:11" x14ac:dyDescent="0.25">
      <c r="A1675" t="s">
        <v>1721</v>
      </c>
      <c r="B1675" t="s">
        <v>23</v>
      </c>
      <c r="C1675" t="s">
        <v>28</v>
      </c>
      <c r="D1675" t="s">
        <v>42</v>
      </c>
      <c r="E1675" s="1">
        <v>45069</v>
      </c>
      <c r="F1675" s="1">
        <v>45073</v>
      </c>
      <c r="G1675" s="2">
        <v>4.7</v>
      </c>
      <c r="H1675" s="2">
        <v>228.78</v>
      </c>
      <c r="I1675" t="s">
        <v>15</v>
      </c>
      <c r="J1675" s="2">
        <v>1732</v>
      </c>
      <c r="K1675" s="2">
        <v>4</v>
      </c>
    </row>
    <row r="1676" spans="1:11" x14ac:dyDescent="0.25">
      <c r="A1676" t="s">
        <v>1722</v>
      </c>
      <c r="B1676" t="s">
        <v>12</v>
      </c>
      <c r="C1676" t="s">
        <v>36</v>
      </c>
      <c r="D1676" t="s">
        <v>59</v>
      </c>
      <c r="E1676" s="1">
        <v>45106</v>
      </c>
      <c r="F1676" s="1">
        <v>45108</v>
      </c>
      <c r="G1676" s="2">
        <v>15.9</v>
      </c>
      <c r="H1676" s="2">
        <v>119.24</v>
      </c>
      <c r="I1676" t="s">
        <v>15</v>
      </c>
      <c r="J1676" s="2">
        <v>928</v>
      </c>
      <c r="K1676" s="2">
        <v>2</v>
      </c>
    </row>
    <row r="1677" spans="1:11" x14ac:dyDescent="0.25">
      <c r="A1677" t="s">
        <v>1723</v>
      </c>
      <c r="B1677" t="s">
        <v>49</v>
      </c>
      <c r="C1677" t="s">
        <v>40</v>
      </c>
      <c r="D1677" t="s">
        <v>32</v>
      </c>
      <c r="E1677" s="1">
        <v>45022</v>
      </c>
      <c r="F1677" s="1">
        <v>45026</v>
      </c>
      <c r="G1677" s="2">
        <v>16</v>
      </c>
      <c r="H1677" s="2">
        <v>220.43</v>
      </c>
      <c r="I1677" t="s">
        <v>15</v>
      </c>
      <c r="J1677" s="2">
        <v>1521</v>
      </c>
      <c r="K1677" s="2">
        <v>4</v>
      </c>
    </row>
    <row r="1678" spans="1:11" x14ac:dyDescent="0.25">
      <c r="A1678" t="s">
        <v>1724</v>
      </c>
      <c r="B1678" t="s">
        <v>30</v>
      </c>
      <c r="C1678" t="s">
        <v>40</v>
      </c>
      <c r="D1678" t="s">
        <v>37</v>
      </c>
      <c r="E1678" s="1">
        <v>45143</v>
      </c>
      <c r="F1678" s="1">
        <v>45150</v>
      </c>
      <c r="G1678" s="2">
        <v>11.4</v>
      </c>
      <c r="H1678" s="2">
        <v>263.33999999999997</v>
      </c>
      <c r="I1678" t="s">
        <v>15</v>
      </c>
      <c r="J1678" s="2">
        <v>2178</v>
      </c>
      <c r="K1678" s="2">
        <v>7</v>
      </c>
    </row>
    <row r="1679" spans="1:11" x14ac:dyDescent="0.25">
      <c r="A1679" t="s">
        <v>1725</v>
      </c>
      <c r="B1679" t="s">
        <v>39</v>
      </c>
      <c r="C1679" t="s">
        <v>17</v>
      </c>
      <c r="D1679" t="s">
        <v>25</v>
      </c>
      <c r="E1679" s="1">
        <v>45080</v>
      </c>
      <c r="F1679" s="1">
        <v>45094</v>
      </c>
      <c r="G1679" s="2">
        <v>43.6</v>
      </c>
      <c r="H1679" s="2">
        <v>155.15</v>
      </c>
      <c r="I1679" t="s">
        <v>47</v>
      </c>
      <c r="J1679" s="2">
        <v>800</v>
      </c>
      <c r="K1679" s="2">
        <v>4</v>
      </c>
    </row>
    <row r="1680" spans="1:11" x14ac:dyDescent="0.25">
      <c r="A1680" t="s">
        <v>1726</v>
      </c>
      <c r="B1680" t="s">
        <v>56</v>
      </c>
      <c r="C1680" t="s">
        <v>46</v>
      </c>
      <c r="D1680" t="s">
        <v>42</v>
      </c>
      <c r="E1680" s="1">
        <v>45161</v>
      </c>
      <c r="F1680" s="1">
        <v>45166</v>
      </c>
      <c r="G1680" s="2">
        <v>45.5</v>
      </c>
      <c r="H1680" s="2">
        <v>293.95</v>
      </c>
      <c r="I1680" t="s">
        <v>15</v>
      </c>
      <c r="J1680" s="2">
        <v>2201</v>
      </c>
      <c r="K1680" s="2">
        <v>5</v>
      </c>
    </row>
    <row r="1681" spans="1:11" x14ac:dyDescent="0.25">
      <c r="A1681" t="s">
        <v>1727</v>
      </c>
      <c r="B1681" t="s">
        <v>27</v>
      </c>
      <c r="C1681" t="s">
        <v>52</v>
      </c>
      <c r="D1681" t="s">
        <v>59</v>
      </c>
      <c r="E1681" s="1">
        <v>45063</v>
      </c>
      <c r="F1681" s="1">
        <v>45064</v>
      </c>
      <c r="G1681" s="2">
        <v>18.3</v>
      </c>
      <c r="H1681" s="2">
        <v>31.27</v>
      </c>
      <c r="I1681" t="s">
        <v>15</v>
      </c>
      <c r="J1681" s="2">
        <v>117</v>
      </c>
      <c r="K1681" s="2">
        <v>1</v>
      </c>
    </row>
    <row r="1682" spans="1:11" x14ac:dyDescent="0.25">
      <c r="A1682" t="s">
        <v>1728</v>
      </c>
      <c r="B1682" t="s">
        <v>30</v>
      </c>
      <c r="C1682" t="s">
        <v>46</v>
      </c>
      <c r="D1682" t="s">
        <v>18</v>
      </c>
      <c r="E1682" s="1">
        <v>45092</v>
      </c>
      <c r="F1682" s="1">
        <v>45097</v>
      </c>
      <c r="G1682" s="2">
        <v>29.2</v>
      </c>
      <c r="H1682" s="2">
        <v>280.92</v>
      </c>
      <c r="I1682" t="s">
        <v>15</v>
      </c>
      <c r="J1682" s="2">
        <v>1739</v>
      </c>
      <c r="K1682" s="2">
        <v>5</v>
      </c>
    </row>
    <row r="1683" spans="1:11" x14ac:dyDescent="0.25">
      <c r="A1683" t="s">
        <v>1729</v>
      </c>
      <c r="B1683" t="s">
        <v>12</v>
      </c>
      <c r="C1683" t="s">
        <v>17</v>
      </c>
      <c r="D1683" t="s">
        <v>32</v>
      </c>
      <c r="E1683" s="1">
        <v>45021</v>
      </c>
      <c r="F1683" s="1">
        <v>45037</v>
      </c>
      <c r="G1683" s="2">
        <v>81.900000000000006</v>
      </c>
      <c r="H1683" s="2">
        <v>247.05</v>
      </c>
      <c r="I1683" t="s">
        <v>47</v>
      </c>
      <c r="J1683" s="2">
        <v>1123</v>
      </c>
      <c r="K1683" s="2">
        <v>3</v>
      </c>
    </row>
    <row r="1684" spans="1:11" x14ac:dyDescent="0.25">
      <c r="A1684" t="s">
        <v>1730</v>
      </c>
      <c r="B1684" t="s">
        <v>27</v>
      </c>
      <c r="C1684" t="s">
        <v>44</v>
      </c>
      <c r="D1684" t="s">
        <v>42</v>
      </c>
      <c r="E1684" s="1">
        <v>45032</v>
      </c>
      <c r="F1684" s="1">
        <v>45033</v>
      </c>
      <c r="G1684" s="2">
        <v>43.5</v>
      </c>
      <c r="H1684" s="2">
        <v>111.47</v>
      </c>
      <c r="I1684" t="s">
        <v>15</v>
      </c>
      <c r="J1684" s="2">
        <v>421</v>
      </c>
      <c r="K1684" s="2">
        <v>1</v>
      </c>
    </row>
    <row r="1685" spans="1:11" x14ac:dyDescent="0.25">
      <c r="A1685" t="s">
        <v>1731</v>
      </c>
      <c r="B1685" t="s">
        <v>27</v>
      </c>
      <c r="C1685" t="s">
        <v>24</v>
      </c>
      <c r="D1685" t="s">
        <v>14</v>
      </c>
      <c r="E1685" s="1">
        <v>44970</v>
      </c>
      <c r="F1685" s="1">
        <v>44976</v>
      </c>
      <c r="G1685" s="2">
        <v>12.5</v>
      </c>
      <c r="H1685" s="2">
        <v>119.12</v>
      </c>
      <c r="I1685" t="s">
        <v>15</v>
      </c>
      <c r="J1685" s="2">
        <v>916</v>
      </c>
      <c r="K1685" s="2">
        <v>6</v>
      </c>
    </row>
    <row r="1686" spans="1:11" x14ac:dyDescent="0.25">
      <c r="A1686" t="s">
        <v>1732</v>
      </c>
      <c r="B1686" t="s">
        <v>51</v>
      </c>
      <c r="C1686" t="s">
        <v>13</v>
      </c>
      <c r="D1686" t="s">
        <v>59</v>
      </c>
      <c r="E1686" s="1">
        <v>45066</v>
      </c>
      <c r="F1686" s="1">
        <v>45072</v>
      </c>
      <c r="G1686" s="2">
        <v>21.5</v>
      </c>
      <c r="H1686" s="2">
        <v>271.82</v>
      </c>
      <c r="I1686" t="s">
        <v>15</v>
      </c>
      <c r="J1686" s="2">
        <v>2202</v>
      </c>
      <c r="K1686" s="2">
        <v>6</v>
      </c>
    </row>
    <row r="1687" spans="1:11" x14ac:dyDescent="0.25">
      <c r="A1687" t="s">
        <v>1733</v>
      </c>
      <c r="B1687" t="s">
        <v>51</v>
      </c>
      <c r="C1687" t="s">
        <v>46</v>
      </c>
      <c r="D1687" t="s">
        <v>25</v>
      </c>
      <c r="E1687" s="1">
        <v>45169</v>
      </c>
      <c r="F1687" s="1">
        <v>45171</v>
      </c>
      <c r="G1687" s="2">
        <v>19</v>
      </c>
      <c r="H1687" s="2">
        <v>46.94</v>
      </c>
      <c r="I1687" t="s">
        <v>15</v>
      </c>
      <c r="J1687" s="2">
        <v>215</v>
      </c>
      <c r="K1687" s="2">
        <v>2</v>
      </c>
    </row>
    <row r="1688" spans="1:11" x14ac:dyDescent="0.25">
      <c r="A1688" t="s">
        <v>1734</v>
      </c>
      <c r="B1688" t="s">
        <v>49</v>
      </c>
      <c r="C1688" t="s">
        <v>24</v>
      </c>
      <c r="D1688" t="s">
        <v>25</v>
      </c>
      <c r="E1688" s="1">
        <v>45254</v>
      </c>
      <c r="F1688" s="1">
        <v>45257</v>
      </c>
      <c r="G1688" s="2">
        <v>53.8</v>
      </c>
      <c r="H1688" s="2">
        <v>121.01</v>
      </c>
      <c r="I1688" t="s">
        <v>15</v>
      </c>
      <c r="J1688" s="2">
        <v>371</v>
      </c>
      <c r="K1688" s="2">
        <v>3</v>
      </c>
    </row>
    <row r="1689" spans="1:11" x14ac:dyDescent="0.25">
      <c r="A1689" t="s">
        <v>1735</v>
      </c>
      <c r="B1689" t="s">
        <v>27</v>
      </c>
      <c r="C1689" t="s">
        <v>24</v>
      </c>
      <c r="D1689" t="s">
        <v>37</v>
      </c>
      <c r="E1689" s="1">
        <v>45001</v>
      </c>
      <c r="F1689" s="1">
        <v>45015</v>
      </c>
      <c r="G1689" s="2">
        <v>21.6</v>
      </c>
      <c r="H1689" s="2">
        <v>73.319999999999993</v>
      </c>
      <c r="I1689" t="s">
        <v>47</v>
      </c>
      <c r="J1689" s="2">
        <v>378</v>
      </c>
      <c r="K1689" s="2">
        <v>3</v>
      </c>
    </row>
    <row r="1690" spans="1:11" x14ac:dyDescent="0.25">
      <c r="A1690" t="s">
        <v>1736</v>
      </c>
      <c r="B1690" t="s">
        <v>49</v>
      </c>
      <c r="C1690" t="s">
        <v>44</v>
      </c>
      <c r="D1690" t="s">
        <v>32</v>
      </c>
      <c r="E1690" s="1">
        <v>45192</v>
      </c>
      <c r="F1690" s="1">
        <v>45200</v>
      </c>
      <c r="G1690" s="2">
        <v>14.8</v>
      </c>
      <c r="H1690" s="2">
        <v>215.86</v>
      </c>
      <c r="I1690" t="s">
        <v>15</v>
      </c>
      <c r="J1690" s="2">
        <v>1456</v>
      </c>
      <c r="K1690" s="2">
        <v>8</v>
      </c>
    </row>
    <row r="1691" spans="1:11" x14ac:dyDescent="0.25">
      <c r="A1691" t="s">
        <v>1737</v>
      </c>
      <c r="B1691" t="s">
        <v>20</v>
      </c>
      <c r="C1691" t="s">
        <v>44</v>
      </c>
      <c r="D1691" t="s">
        <v>32</v>
      </c>
      <c r="E1691" s="1">
        <v>45207</v>
      </c>
      <c r="F1691" s="1">
        <v>45217</v>
      </c>
      <c r="G1691" s="2">
        <v>10.7</v>
      </c>
      <c r="H1691" s="2">
        <v>170.69</v>
      </c>
      <c r="I1691" t="s">
        <v>47</v>
      </c>
      <c r="J1691" s="2">
        <v>1114</v>
      </c>
      <c r="K1691" s="2">
        <v>3</v>
      </c>
    </row>
    <row r="1692" spans="1:11" x14ac:dyDescent="0.25">
      <c r="A1692" t="s">
        <v>1738</v>
      </c>
      <c r="B1692" t="s">
        <v>56</v>
      </c>
      <c r="C1692" t="s">
        <v>36</v>
      </c>
      <c r="D1692" t="s">
        <v>14</v>
      </c>
      <c r="E1692" s="1">
        <v>45093</v>
      </c>
      <c r="F1692" s="1">
        <v>45097</v>
      </c>
      <c r="G1692" s="2">
        <v>42</v>
      </c>
      <c r="H1692" s="2">
        <v>218.32</v>
      </c>
      <c r="I1692" t="s">
        <v>15</v>
      </c>
      <c r="J1692" s="2">
        <v>1417</v>
      </c>
      <c r="K1692" s="2">
        <v>4</v>
      </c>
    </row>
    <row r="1693" spans="1:11" x14ac:dyDescent="0.25">
      <c r="A1693" t="s">
        <v>1739</v>
      </c>
      <c r="B1693" t="s">
        <v>49</v>
      </c>
      <c r="C1693" t="s">
        <v>21</v>
      </c>
      <c r="D1693" t="s">
        <v>18</v>
      </c>
      <c r="E1693" s="1">
        <v>45051</v>
      </c>
      <c r="F1693" s="1">
        <v>45056</v>
      </c>
      <c r="G1693" s="2">
        <v>19</v>
      </c>
      <c r="H1693" s="2">
        <v>224.15</v>
      </c>
      <c r="I1693" t="s">
        <v>15</v>
      </c>
      <c r="J1693" s="2">
        <v>1402</v>
      </c>
      <c r="K1693" s="2">
        <v>5</v>
      </c>
    </row>
    <row r="1694" spans="1:11" x14ac:dyDescent="0.25">
      <c r="A1694" t="s">
        <v>1740</v>
      </c>
      <c r="B1694" t="s">
        <v>20</v>
      </c>
      <c r="C1694" t="s">
        <v>17</v>
      </c>
      <c r="D1694" t="s">
        <v>18</v>
      </c>
      <c r="E1694" s="1">
        <v>45010</v>
      </c>
      <c r="F1694" s="1">
        <v>45011</v>
      </c>
      <c r="G1694" s="2">
        <v>18.399999999999999</v>
      </c>
      <c r="H1694" s="2">
        <v>46.71</v>
      </c>
      <c r="I1694" t="s">
        <v>15</v>
      </c>
      <c r="J1694" s="2">
        <v>178</v>
      </c>
      <c r="K1694" s="2">
        <v>1</v>
      </c>
    </row>
    <row r="1695" spans="1:11" x14ac:dyDescent="0.25">
      <c r="A1695" t="s">
        <v>1741</v>
      </c>
      <c r="B1695" t="s">
        <v>56</v>
      </c>
      <c r="C1695" t="s">
        <v>21</v>
      </c>
      <c r="D1695" t="s">
        <v>14</v>
      </c>
      <c r="E1695" s="1">
        <v>44955</v>
      </c>
      <c r="F1695" s="1">
        <v>44960</v>
      </c>
      <c r="G1695" s="2">
        <v>16</v>
      </c>
      <c r="H1695" s="2">
        <v>205.32</v>
      </c>
      <c r="I1695" t="s">
        <v>15</v>
      </c>
      <c r="J1695" s="2">
        <v>1575</v>
      </c>
      <c r="K1695" s="2">
        <v>5</v>
      </c>
    </row>
    <row r="1696" spans="1:11" x14ac:dyDescent="0.25">
      <c r="A1696" t="s">
        <v>1742</v>
      </c>
      <c r="B1696" t="s">
        <v>51</v>
      </c>
      <c r="C1696" t="s">
        <v>17</v>
      </c>
      <c r="D1696" t="s">
        <v>59</v>
      </c>
      <c r="E1696" s="1">
        <v>45192</v>
      </c>
      <c r="F1696" s="1">
        <v>45199</v>
      </c>
      <c r="G1696" s="2">
        <v>13.9</v>
      </c>
      <c r="H1696" s="2">
        <v>107.12</v>
      </c>
      <c r="I1696" t="s">
        <v>15</v>
      </c>
      <c r="J1696" s="2">
        <v>870</v>
      </c>
      <c r="K1696" s="2">
        <v>7</v>
      </c>
    </row>
    <row r="1697" spans="1:11" x14ac:dyDescent="0.25">
      <c r="A1697" t="s">
        <v>1743</v>
      </c>
      <c r="B1697" t="s">
        <v>30</v>
      </c>
      <c r="C1697" t="s">
        <v>36</v>
      </c>
      <c r="D1697" t="s">
        <v>37</v>
      </c>
      <c r="E1697" s="1">
        <v>45022</v>
      </c>
      <c r="F1697" s="1">
        <v>45029</v>
      </c>
      <c r="G1697" s="2">
        <v>6.3</v>
      </c>
      <c r="H1697" s="2">
        <v>258.52</v>
      </c>
      <c r="I1697" t="s">
        <v>15</v>
      </c>
      <c r="J1697" s="2">
        <v>1995</v>
      </c>
      <c r="K1697" s="2">
        <v>7</v>
      </c>
    </row>
    <row r="1698" spans="1:11" x14ac:dyDescent="0.25">
      <c r="A1698" t="s">
        <v>1744</v>
      </c>
      <c r="B1698" t="s">
        <v>56</v>
      </c>
      <c r="C1698" t="s">
        <v>36</v>
      </c>
      <c r="D1698" t="s">
        <v>59</v>
      </c>
      <c r="E1698" s="1">
        <v>44953</v>
      </c>
      <c r="F1698" s="1">
        <v>44955</v>
      </c>
      <c r="G1698" s="2">
        <v>20</v>
      </c>
      <c r="H1698" s="2">
        <v>92.89</v>
      </c>
      <c r="I1698" t="s">
        <v>15</v>
      </c>
      <c r="J1698" s="2">
        <v>606</v>
      </c>
      <c r="K1698" s="2">
        <v>2</v>
      </c>
    </row>
    <row r="1699" spans="1:11" x14ac:dyDescent="0.25">
      <c r="A1699" t="s">
        <v>1745</v>
      </c>
      <c r="B1699" t="s">
        <v>51</v>
      </c>
      <c r="C1699" t="s">
        <v>57</v>
      </c>
      <c r="D1699" t="s">
        <v>25</v>
      </c>
      <c r="E1699" s="1">
        <v>45061</v>
      </c>
      <c r="F1699" s="1">
        <v>45064</v>
      </c>
      <c r="G1699" s="2">
        <v>30.8</v>
      </c>
      <c r="H1699" s="2">
        <v>84.89</v>
      </c>
      <c r="I1699" t="s">
        <v>15</v>
      </c>
      <c r="J1699" s="2">
        <v>433</v>
      </c>
      <c r="K1699" s="2">
        <v>3</v>
      </c>
    </row>
    <row r="1700" spans="1:11" x14ac:dyDescent="0.25">
      <c r="A1700" t="s">
        <v>1746</v>
      </c>
      <c r="B1700" t="s">
        <v>49</v>
      </c>
      <c r="C1700" t="s">
        <v>36</v>
      </c>
      <c r="D1700" t="s">
        <v>18</v>
      </c>
      <c r="E1700" s="1">
        <v>45239</v>
      </c>
      <c r="F1700" s="1">
        <v>45243</v>
      </c>
      <c r="G1700" s="2">
        <v>38.799999999999997</v>
      </c>
      <c r="H1700" s="2">
        <v>192.95</v>
      </c>
      <c r="I1700" t="s">
        <v>15</v>
      </c>
      <c r="J1700" s="2">
        <v>755</v>
      </c>
      <c r="K1700" s="2">
        <v>4</v>
      </c>
    </row>
    <row r="1701" spans="1:11" x14ac:dyDescent="0.25">
      <c r="A1701" t="s">
        <v>1747</v>
      </c>
      <c r="B1701" t="s">
        <v>35</v>
      </c>
      <c r="C1701" t="s">
        <v>36</v>
      </c>
      <c r="D1701" t="s">
        <v>42</v>
      </c>
      <c r="E1701" s="1">
        <v>44982</v>
      </c>
      <c r="F1701" s="1">
        <v>44987</v>
      </c>
      <c r="G1701" s="2">
        <v>69.7</v>
      </c>
      <c r="H1701" s="2">
        <v>267.92</v>
      </c>
      <c r="I1701" t="s">
        <v>15</v>
      </c>
      <c r="J1701" s="2">
        <v>1580</v>
      </c>
      <c r="K1701" s="2">
        <v>5</v>
      </c>
    </row>
    <row r="1702" spans="1:11" x14ac:dyDescent="0.25">
      <c r="A1702" t="s">
        <v>1748</v>
      </c>
      <c r="B1702" t="s">
        <v>30</v>
      </c>
      <c r="C1702" t="s">
        <v>70</v>
      </c>
      <c r="D1702" t="s">
        <v>59</v>
      </c>
      <c r="E1702" s="1">
        <v>45091</v>
      </c>
      <c r="F1702" s="1">
        <v>45096</v>
      </c>
      <c r="G1702" s="2">
        <v>45.3</v>
      </c>
      <c r="H1702" s="2">
        <v>234.57</v>
      </c>
      <c r="I1702" t="s">
        <v>15</v>
      </c>
      <c r="J1702" s="2">
        <v>1464</v>
      </c>
      <c r="K1702" s="2">
        <v>5</v>
      </c>
    </row>
    <row r="1703" spans="1:11" x14ac:dyDescent="0.25">
      <c r="A1703" t="s">
        <v>1749</v>
      </c>
      <c r="B1703" t="s">
        <v>39</v>
      </c>
      <c r="C1703" t="s">
        <v>57</v>
      </c>
      <c r="D1703" t="s">
        <v>37</v>
      </c>
      <c r="E1703" s="1">
        <v>45209</v>
      </c>
      <c r="F1703" s="1">
        <v>45228</v>
      </c>
      <c r="G1703" s="2">
        <v>43.7</v>
      </c>
      <c r="H1703" s="2">
        <v>350.82</v>
      </c>
      <c r="I1703" t="s">
        <v>47</v>
      </c>
      <c r="J1703" s="2">
        <v>2299</v>
      </c>
      <c r="K1703" s="2">
        <v>6</v>
      </c>
    </row>
    <row r="1704" spans="1:11" x14ac:dyDescent="0.25">
      <c r="A1704" t="s">
        <v>1750</v>
      </c>
      <c r="B1704" t="s">
        <v>35</v>
      </c>
      <c r="C1704" t="s">
        <v>54</v>
      </c>
      <c r="D1704" t="s">
        <v>37</v>
      </c>
      <c r="E1704" s="1">
        <v>44986</v>
      </c>
      <c r="F1704" s="1">
        <v>44992</v>
      </c>
      <c r="G1704" s="2">
        <v>16.399999999999999</v>
      </c>
      <c r="H1704" s="2">
        <v>178.38</v>
      </c>
      <c r="I1704" t="s">
        <v>15</v>
      </c>
      <c r="J1704" s="2">
        <v>1350</v>
      </c>
      <c r="K1704" s="2">
        <v>6</v>
      </c>
    </row>
    <row r="1705" spans="1:11" x14ac:dyDescent="0.25">
      <c r="A1705" t="s">
        <v>1751</v>
      </c>
      <c r="B1705" t="s">
        <v>39</v>
      </c>
      <c r="C1705" t="s">
        <v>70</v>
      </c>
      <c r="D1705" t="s">
        <v>59</v>
      </c>
      <c r="E1705" s="1">
        <v>45101</v>
      </c>
      <c r="F1705" s="1">
        <v>45102</v>
      </c>
      <c r="G1705" s="2">
        <v>7</v>
      </c>
      <c r="H1705" s="2">
        <v>49.21</v>
      </c>
      <c r="I1705" t="s">
        <v>67</v>
      </c>
      <c r="J1705" s="2">
        <v>386</v>
      </c>
      <c r="K1705" s="2">
        <v>1</v>
      </c>
    </row>
    <row r="1706" spans="1:11" x14ac:dyDescent="0.25">
      <c r="A1706" t="s">
        <v>1752</v>
      </c>
      <c r="B1706" t="s">
        <v>23</v>
      </c>
      <c r="C1706" t="s">
        <v>36</v>
      </c>
      <c r="D1706" t="s">
        <v>14</v>
      </c>
      <c r="E1706" s="1">
        <v>45109</v>
      </c>
      <c r="F1706" s="1">
        <v>45117</v>
      </c>
      <c r="G1706" s="2">
        <v>13</v>
      </c>
      <c r="H1706" s="2">
        <v>250.6</v>
      </c>
      <c r="I1706" t="s">
        <v>15</v>
      </c>
      <c r="J1706" s="2">
        <v>1899</v>
      </c>
      <c r="K1706" s="2">
        <v>8</v>
      </c>
    </row>
    <row r="1707" spans="1:11" x14ac:dyDescent="0.25">
      <c r="A1707" t="s">
        <v>1753</v>
      </c>
      <c r="B1707" t="s">
        <v>20</v>
      </c>
      <c r="C1707" t="s">
        <v>36</v>
      </c>
      <c r="D1707" t="s">
        <v>42</v>
      </c>
      <c r="E1707" s="1">
        <v>45158</v>
      </c>
      <c r="F1707" s="1">
        <v>45162</v>
      </c>
      <c r="G1707" s="2">
        <v>40.5</v>
      </c>
      <c r="H1707" s="2">
        <v>155.06</v>
      </c>
      <c r="I1707" t="s">
        <v>15</v>
      </c>
      <c r="J1707" s="2">
        <v>787</v>
      </c>
      <c r="K1707" s="2">
        <v>4</v>
      </c>
    </row>
    <row r="1708" spans="1:11" x14ac:dyDescent="0.25">
      <c r="A1708" t="s">
        <v>1754</v>
      </c>
      <c r="B1708" t="s">
        <v>51</v>
      </c>
      <c r="C1708" t="s">
        <v>36</v>
      </c>
      <c r="D1708" t="s">
        <v>42</v>
      </c>
      <c r="E1708" s="1">
        <v>45072</v>
      </c>
      <c r="F1708" s="1">
        <v>45078</v>
      </c>
      <c r="G1708" s="2">
        <v>50.6</v>
      </c>
      <c r="H1708" s="2">
        <v>328.01</v>
      </c>
      <c r="I1708" t="s">
        <v>15</v>
      </c>
      <c r="J1708" s="2">
        <v>2388</v>
      </c>
      <c r="K1708" s="2">
        <v>6</v>
      </c>
    </row>
    <row r="1709" spans="1:11" x14ac:dyDescent="0.25">
      <c r="A1709" t="s">
        <v>1755</v>
      </c>
      <c r="B1709" t="s">
        <v>30</v>
      </c>
      <c r="C1709" t="s">
        <v>28</v>
      </c>
      <c r="D1709" t="s">
        <v>37</v>
      </c>
      <c r="E1709" s="1">
        <v>45136</v>
      </c>
      <c r="F1709" s="1">
        <v>45141</v>
      </c>
      <c r="G1709" s="2">
        <v>35.4</v>
      </c>
      <c r="H1709" s="2">
        <v>301.47000000000003</v>
      </c>
      <c r="I1709" t="s">
        <v>15</v>
      </c>
      <c r="J1709" s="2">
        <v>2347</v>
      </c>
      <c r="K1709" s="2">
        <v>5</v>
      </c>
    </row>
    <row r="1710" spans="1:11" x14ac:dyDescent="0.25">
      <c r="A1710" t="s">
        <v>1756</v>
      </c>
      <c r="B1710" t="s">
        <v>27</v>
      </c>
      <c r="C1710" t="s">
        <v>13</v>
      </c>
      <c r="D1710" t="s">
        <v>32</v>
      </c>
      <c r="E1710" s="1">
        <v>45244</v>
      </c>
      <c r="F1710" s="1">
        <v>45249</v>
      </c>
      <c r="G1710" s="2">
        <v>9.6999999999999993</v>
      </c>
      <c r="H1710" s="2">
        <v>228.09</v>
      </c>
      <c r="I1710" t="s">
        <v>15</v>
      </c>
      <c r="J1710" s="2">
        <v>1364</v>
      </c>
      <c r="K1710" s="2">
        <v>5</v>
      </c>
    </row>
    <row r="1711" spans="1:11" x14ac:dyDescent="0.25">
      <c r="A1711" t="s">
        <v>1757</v>
      </c>
      <c r="B1711" t="s">
        <v>20</v>
      </c>
      <c r="C1711" t="s">
        <v>24</v>
      </c>
      <c r="D1711" t="s">
        <v>14</v>
      </c>
      <c r="E1711" s="1">
        <v>44984</v>
      </c>
      <c r="F1711" s="1">
        <v>44987</v>
      </c>
      <c r="G1711" s="2">
        <v>7.2</v>
      </c>
      <c r="H1711" s="2">
        <v>137.16</v>
      </c>
      <c r="I1711" t="s">
        <v>15</v>
      </c>
      <c r="J1711" s="2">
        <v>1135</v>
      </c>
      <c r="K1711" s="2">
        <v>3</v>
      </c>
    </row>
    <row r="1712" spans="1:11" x14ac:dyDescent="0.25">
      <c r="A1712" t="s">
        <v>1758</v>
      </c>
      <c r="B1712" t="s">
        <v>35</v>
      </c>
      <c r="C1712" t="s">
        <v>46</v>
      </c>
      <c r="D1712" t="s">
        <v>25</v>
      </c>
      <c r="E1712" s="1">
        <v>44996</v>
      </c>
      <c r="F1712" s="1">
        <v>45003</v>
      </c>
      <c r="G1712" s="2">
        <v>10.7</v>
      </c>
      <c r="H1712" s="2">
        <v>290.55</v>
      </c>
      <c r="I1712" t="s">
        <v>15</v>
      </c>
      <c r="J1712" s="2">
        <v>2200</v>
      </c>
      <c r="K1712" s="2">
        <v>7</v>
      </c>
    </row>
    <row r="1713" spans="1:11" x14ac:dyDescent="0.25">
      <c r="A1713" t="s">
        <v>1759</v>
      </c>
      <c r="B1713" t="s">
        <v>35</v>
      </c>
      <c r="C1713" t="s">
        <v>81</v>
      </c>
      <c r="D1713" t="s">
        <v>32</v>
      </c>
      <c r="E1713" s="1">
        <v>45037</v>
      </c>
      <c r="F1713" s="1">
        <v>45043</v>
      </c>
      <c r="G1713" s="2">
        <v>19.5</v>
      </c>
      <c r="H1713" s="2">
        <v>150.02000000000001</v>
      </c>
      <c r="I1713" t="s">
        <v>15</v>
      </c>
      <c r="J1713" s="2">
        <v>1000</v>
      </c>
      <c r="K1713" s="2">
        <v>6</v>
      </c>
    </row>
    <row r="1714" spans="1:11" x14ac:dyDescent="0.25">
      <c r="A1714" t="s">
        <v>1760</v>
      </c>
      <c r="B1714" t="s">
        <v>23</v>
      </c>
      <c r="C1714" t="s">
        <v>44</v>
      </c>
      <c r="D1714" t="s">
        <v>14</v>
      </c>
      <c r="E1714" s="1">
        <v>45051</v>
      </c>
      <c r="F1714" s="1">
        <v>45054</v>
      </c>
      <c r="G1714" s="2">
        <v>11.7</v>
      </c>
      <c r="H1714" s="2">
        <v>99.97</v>
      </c>
      <c r="I1714" t="s">
        <v>15</v>
      </c>
      <c r="J1714" s="2">
        <v>701</v>
      </c>
      <c r="K1714" s="2">
        <v>3</v>
      </c>
    </row>
    <row r="1715" spans="1:11" x14ac:dyDescent="0.25">
      <c r="A1715" t="s">
        <v>1761</v>
      </c>
      <c r="B1715" t="s">
        <v>51</v>
      </c>
      <c r="C1715" t="s">
        <v>40</v>
      </c>
      <c r="D1715" t="s">
        <v>18</v>
      </c>
      <c r="E1715" s="1">
        <v>45028</v>
      </c>
      <c r="F1715" s="1">
        <v>45032</v>
      </c>
      <c r="G1715" s="2">
        <v>28.8</v>
      </c>
      <c r="H1715" s="2">
        <v>325.2</v>
      </c>
      <c r="I1715" t="s">
        <v>15</v>
      </c>
      <c r="J1715" s="2">
        <v>1883</v>
      </c>
      <c r="K1715" s="2">
        <v>4</v>
      </c>
    </row>
    <row r="1716" spans="1:11" x14ac:dyDescent="0.25">
      <c r="A1716" t="s">
        <v>1762</v>
      </c>
      <c r="B1716" t="s">
        <v>23</v>
      </c>
      <c r="C1716" t="s">
        <v>40</v>
      </c>
      <c r="D1716" t="s">
        <v>14</v>
      </c>
      <c r="E1716" s="1">
        <v>45107</v>
      </c>
      <c r="F1716" s="1">
        <v>45113</v>
      </c>
      <c r="G1716" s="2">
        <v>7</v>
      </c>
      <c r="H1716" s="2">
        <v>296.14999999999998</v>
      </c>
      <c r="I1716" t="s">
        <v>15</v>
      </c>
      <c r="J1716" s="2">
        <v>2424</v>
      </c>
      <c r="K1716" s="2">
        <v>6</v>
      </c>
    </row>
    <row r="1717" spans="1:11" x14ac:dyDescent="0.25">
      <c r="A1717" t="s">
        <v>1763</v>
      </c>
      <c r="B1717" t="s">
        <v>27</v>
      </c>
      <c r="C1717" t="s">
        <v>31</v>
      </c>
      <c r="D1717" t="s">
        <v>32</v>
      </c>
      <c r="E1717" s="1">
        <v>45047</v>
      </c>
      <c r="F1717" s="1">
        <v>45055</v>
      </c>
      <c r="G1717" s="2">
        <v>48.9</v>
      </c>
      <c r="H1717" s="2">
        <v>354.59</v>
      </c>
      <c r="I1717" t="s">
        <v>60</v>
      </c>
      <c r="J1717" s="2">
        <v>2059</v>
      </c>
      <c r="K1717" s="2">
        <v>8</v>
      </c>
    </row>
    <row r="1718" spans="1:11" x14ac:dyDescent="0.25">
      <c r="A1718" t="s">
        <v>1764</v>
      </c>
      <c r="B1718" t="s">
        <v>49</v>
      </c>
      <c r="C1718" t="s">
        <v>36</v>
      </c>
      <c r="D1718" t="s">
        <v>25</v>
      </c>
      <c r="E1718" s="1">
        <v>45092</v>
      </c>
      <c r="F1718" s="1">
        <v>45101</v>
      </c>
      <c r="G1718" s="2">
        <v>108.8</v>
      </c>
      <c r="H1718" s="2">
        <v>368.09</v>
      </c>
      <c r="I1718" t="s">
        <v>47</v>
      </c>
      <c r="J1718" s="2">
        <v>1857</v>
      </c>
      <c r="K1718" s="2">
        <v>5</v>
      </c>
    </row>
    <row r="1719" spans="1:11" x14ac:dyDescent="0.25">
      <c r="A1719" t="s">
        <v>1765</v>
      </c>
      <c r="B1719" t="s">
        <v>12</v>
      </c>
      <c r="C1719" t="s">
        <v>17</v>
      </c>
      <c r="D1719" t="s">
        <v>59</v>
      </c>
      <c r="E1719" s="1">
        <v>45234</v>
      </c>
      <c r="F1719" s="1">
        <v>45239</v>
      </c>
      <c r="G1719" s="2">
        <v>12.2</v>
      </c>
      <c r="H1719" s="2">
        <v>37.96</v>
      </c>
      <c r="I1719" t="s">
        <v>15</v>
      </c>
      <c r="J1719" s="2">
        <v>152</v>
      </c>
      <c r="K1719" s="2">
        <v>5</v>
      </c>
    </row>
    <row r="1720" spans="1:11" x14ac:dyDescent="0.25">
      <c r="A1720" t="s">
        <v>1766</v>
      </c>
      <c r="B1720" t="s">
        <v>12</v>
      </c>
      <c r="C1720" t="s">
        <v>57</v>
      </c>
      <c r="D1720" t="s">
        <v>18</v>
      </c>
      <c r="E1720" s="1">
        <v>45271</v>
      </c>
      <c r="F1720" s="1">
        <v>45276</v>
      </c>
      <c r="G1720" s="2">
        <v>9</v>
      </c>
      <c r="H1720" s="2">
        <v>287.97000000000003</v>
      </c>
      <c r="I1720" t="s">
        <v>62</v>
      </c>
      <c r="J1720" s="2">
        <v>1495</v>
      </c>
      <c r="K1720" s="2">
        <v>5</v>
      </c>
    </row>
    <row r="1721" spans="1:11" x14ac:dyDescent="0.25">
      <c r="A1721" t="s">
        <v>1767</v>
      </c>
      <c r="B1721" t="s">
        <v>39</v>
      </c>
      <c r="C1721" t="s">
        <v>81</v>
      </c>
      <c r="D1721" t="s">
        <v>25</v>
      </c>
      <c r="E1721" s="1">
        <v>45152</v>
      </c>
      <c r="F1721" s="1">
        <v>45155</v>
      </c>
      <c r="G1721" s="2">
        <v>17.3</v>
      </c>
      <c r="H1721" s="2">
        <v>146.13999999999999</v>
      </c>
      <c r="I1721" t="s">
        <v>15</v>
      </c>
      <c r="J1721" s="2">
        <v>1030</v>
      </c>
      <c r="K1721" s="2">
        <v>3</v>
      </c>
    </row>
    <row r="1722" spans="1:11" x14ac:dyDescent="0.25">
      <c r="A1722" t="s">
        <v>1768</v>
      </c>
      <c r="B1722" t="s">
        <v>27</v>
      </c>
      <c r="C1722" t="s">
        <v>81</v>
      </c>
      <c r="D1722" t="s">
        <v>32</v>
      </c>
      <c r="E1722" s="1">
        <v>45067</v>
      </c>
      <c r="F1722" s="1">
        <v>45070</v>
      </c>
      <c r="G1722" s="2">
        <v>19.399999999999999</v>
      </c>
      <c r="H1722" s="2">
        <v>143.96</v>
      </c>
      <c r="I1722" t="s">
        <v>15</v>
      </c>
      <c r="J1722" s="2">
        <v>854</v>
      </c>
      <c r="K1722" s="2">
        <v>3</v>
      </c>
    </row>
    <row r="1723" spans="1:11" x14ac:dyDescent="0.25">
      <c r="A1723" t="s">
        <v>1769</v>
      </c>
      <c r="B1723" t="s">
        <v>49</v>
      </c>
      <c r="C1723" t="s">
        <v>36</v>
      </c>
      <c r="D1723" t="s">
        <v>59</v>
      </c>
      <c r="E1723" s="1">
        <v>45041</v>
      </c>
      <c r="F1723" s="1">
        <v>45042</v>
      </c>
      <c r="G1723" s="2">
        <v>22.8</v>
      </c>
      <c r="H1723" s="2">
        <v>36.24</v>
      </c>
      <c r="I1723" t="s">
        <v>15</v>
      </c>
      <c r="J1723" s="2">
        <v>101</v>
      </c>
      <c r="K1723" s="2">
        <v>1</v>
      </c>
    </row>
    <row r="1724" spans="1:11" x14ac:dyDescent="0.25">
      <c r="A1724" t="s">
        <v>1770</v>
      </c>
      <c r="B1724" t="s">
        <v>39</v>
      </c>
      <c r="C1724" t="s">
        <v>46</v>
      </c>
      <c r="D1724" t="s">
        <v>42</v>
      </c>
      <c r="E1724" s="1">
        <v>45291</v>
      </c>
      <c r="F1724" s="1">
        <v>45296</v>
      </c>
      <c r="G1724" s="2">
        <v>27.4</v>
      </c>
      <c r="H1724" s="2">
        <v>392.67</v>
      </c>
      <c r="I1724" t="s">
        <v>15</v>
      </c>
      <c r="J1724" s="2">
        <v>2353</v>
      </c>
      <c r="K1724" s="2">
        <v>5</v>
      </c>
    </row>
    <row r="1725" spans="1:11" x14ac:dyDescent="0.25">
      <c r="A1725" t="s">
        <v>1771</v>
      </c>
      <c r="B1725" t="s">
        <v>39</v>
      </c>
      <c r="C1725" t="s">
        <v>70</v>
      </c>
      <c r="D1725" t="s">
        <v>59</v>
      </c>
      <c r="E1725" s="1">
        <v>45120</v>
      </c>
      <c r="F1725" s="1">
        <v>45123</v>
      </c>
      <c r="G1725" s="2">
        <v>17.7</v>
      </c>
      <c r="H1725" s="2">
        <v>170.71</v>
      </c>
      <c r="I1725" t="s">
        <v>15</v>
      </c>
      <c r="J1725" s="2">
        <v>1382</v>
      </c>
      <c r="K1725" s="2">
        <v>3</v>
      </c>
    </row>
    <row r="1726" spans="1:11" x14ac:dyDescent="0.25">
      <c r="A1726" t="s">
        <v>1772</v>
      </c>
      <c r="B1726" t="s">
        <v>56</v>
      </c>
      <c r="C1726" t="s">
        <v>46</v>
      </c>
      <c r="D1726" t="s">
        <v>18</v>
      </c>
      <c r="E1726" s="1">
        <v>45101</v>
      </c>
      <c r="F1726" s="1">
        <v>45115</v>
      </c>
      <c r="G1726" s="2">
        <v>38.5</v>
      </c>
      <c r="H1726" s="2">
        <v>174.45</v>
      </c>
      <c r="I1726" t="s">
        <v>47</v>
      </c>
      <c r="J1726" s="2">
        <v>975</v>
      </c>
      <c r="K1726" s="2">
        <v>3</v>
      </c>
    </row>
    <row r="1727" spans="1:11" x14ac:dyDescent="0.25">
      <c r="A1727" t="s">
        <v>1773</v>
      </c>
      <c r="B1727" t="s">
        <v>20</v>
      </c>
      <c r="C1727" t="s">
        <v>81</v>
      </c>
      <c r="D1727" t="s">
        <v>59</v>
      </c>
      <c r="E1727" s="1">
        <v>45110</v>
      </c>
      <c r="F1727" s="1">
        <v>45114</v>
      </c>
      <c r="G1727" s="2">
        <v>15.2</v>
      </c>
      <c r="H1727" s="2">
        <v>181.08</v>
      </c>
      <c r="I1727" t="s">
        <v>15</v>
      </c>
      <c r="J1727" s="2">
        <v>1453</v>
      </c>
      <c r="K1727" s="2">
        <v>4</v>
      </c>
    </row>
    <row r="1728" spans="1:11" x14ac:dyDescent="0.25">
      <c r="A1728" t="s">
        <v>1774</v>
      </c>
      <c r="B1728" t="s">
        <v>30</v>
      </c>
      <c r="C1728" t="s">
        <v>21</v>
      </c>
      <c r="D1728" t="s">
        <v>14</v>
      </c>
      <c r="E1728" s="1">
        <v>45157</v>
      </c>
      <c r="F1728" s="1">
        <v>45160</v>
      </c>
      <c r="G1728" s="2">
        <v>9.5</v>
      </c>
      <c r="H1728" s="2">
        <v>177.71</v>
      </c>
      <c r="I1728" t="s">
        <v>62</v>
      </c>
      <c r="J1728" s="2">
        <v>1321</v>
      </c>
      <c r="K1728" s="2">
        <v>3</v>
      </c>
    </row>
    <row r="1729" spans="1:11" x14ac:dyDescent="0.25">
      <c r="A1729" t="s">
        <v>1775</v>
      </c>
      <c r="B1729" t="s">
        <v>30</v>
      </c>
      <c r="C1729" t="s">
        <v>46</v>
      </c>
      <c r="D1729" t="s">
        <v>59</v>
      </c>
      <c r="E1729" s="1">
        <v>45229</v>
      </c>
      <c r="F1729" s="1">
        <v>45199</v>
      </c>
      <c r="G1729" s="2">
        <v>25.2</v>
      </c>
      <c r="H1729" s="2">
        <v>295.58999999999997</v>
      </c>
      <c r="I1729" t="s">
        <v>15</v>
      </c>
      <c r="J1729" s="2">
        <v>2279</v>
      </c>
      <c r="K1729" s="2">
        <v>7</v>
      </c>
    </row>
    <row r="1730" spans="1:11" x14ac:dyDescent="0.25">
      <c r="A1730" t="s">
        <v>1776</v>
      </c>
      <c r="B1730" t="s">
        <v>39</v>
      </c>
      <c r="C1730" t="s">
        <v>31</v>
      </c>
      <c r="D1730" t="s">
        <v>32</v>
      </c>
      <c r="E1730" s="1">
        <v>45085</v>
      </c>
      <c r="F1730" s="1">
        <v>45090</v>
      </c>
      <c r="G1730" s="2">
        <v>11.8</v>
      </c>
      <c r="H1730" s="2">
        <v>116.39</v>
      </c>
      <c r="I1730" t="s">
        <v>15</v>
      </c>
      <c r="J1730" s="2">
        <v>835</v>
      </c>
      <c r="K1730" s="2">
        <v>5</v>
      </c>
    </row>
    <row r="1731" spans="1:11" x14ac:dyDescent="0.25">
      <c r="A1731" t="s">
        <v>1777</v>
      </c>
      <c r="B1731" t="s">
        <v>20</v>
      </c>
      <c r="C1731" t="s">
        <v>54</v>
      </c>
      <c r="D1731" t="s">
        <v>25</v>
      </c>
      <c r="E1731" s="1">
        <v>45080</v>
      </c>
      <c r="F1731" s="1">
        <v>45084</v>
      </c>
      <c r="G1731" s="2">
        <v>8.6999999999999993</v>
      </c>
      <c r="H1731" s="2">
        <v>124.66</v>
      </c>
      <c r="I1731" t="s">
        <v>15</v>
      </c>
      <c r="J1731" s="2">
        <v>1035</v>
      </c>
      <c r="K1731" s="2">
        <v>4</v>
      </c>
    </row>
    <row r="1732" spans="1:11" x14ac:dyDescent="0.25">
      <c r="A1732" t="s">
        <v>1778</v>
      </c>
      <c r="B1732" t="s">
        <v>56</v>
      </c>
      <c r="C1732" t="s">
        <v>13</v>
      </c>
      <c r="D1732" t="s">
        <v>59</v>
      </c>
      <c r="E1732" s="1">
        <v>45019</v>
      </c>
      <c r="F1732" s="1">
        <v>45023</v>
      </c>
      <c r="G1732" s="2">
        <v>226.6</v>
      </c>
      <c r="H1732" s="2">
        <v>44.83</v>
      </c>
      <c r="I1732" t="s">
        <v>15</v>
      </c>
      <c r="J1732" s="2">
        <v>202</v>
      </c>
      <c r="K1732" s="2">
        <v>4</v>
      </c>
    </row>
    <row r="1733" spans="1:11" x14ac:dyDescent="0.25">
      <c r="A1733" t="s">
        <v>1779</v>
      </c>
      <c r="B1733" t="s">
        <v>35</v>
      </c>
      <c r="C1733" t="s">
        <v>57</v>
      </c>
      <c r="D1733" t="s">
        <v>37</v>
      </c>
      <c r="E1733" s="1">
        <v>45157</v>
      </c>
      <c r="F1733" s="1">
        <v>45159</v>
      </c>
      <c r="G1733" s="2">
        <v>14.3</v>
      </c>
      <c r="H1733" s="2">
        <v>44.86</v>
      </c>
      <c r="I1733" t="s">
        <v>15</v>
      </c>
      <c r="J1733" s="2">
        <v>226</v>
      </c>
      <c r="K1733" s="2">
        <v>2</v>
      </c>
    </row>
    <row r="1734" spans="1:11" x14ac:dyDescent="0.25">
      <c r="A1734" t="s">
        <v>1780</v>
      </c>
      <c r="B1734" t="s">
        <v>39</v>
      </c>
      <c r="C1734" t="s">
        <v>54</v>
      </c>
      <c r="D1734" t="s">
        <v>32</v>
      </c>
      <c r="E1734" s="1">
        <v>45248</v>
      </c>
      <c r="F1734" s="1">
        <v>45254</v>
      </c>
      <c r="G1734" s="2">
        <v>47.6</v>
      </c>
      <c r="H1734" s="2">
        <v>434.73</v>
      </c>
      <c r="I1734" t="s">
        <v>15</v>
      </c>
      <c r="J1734" s="2">
        <v>2194</v>
      </c>
      <c r="K1734" s="2">
        <v>6</v>
      </c>
    </row>
    <row r="1735" spans="1:11" x14ac:dyDescent="0.25">
      <c r="A1735" t="s">
        <v>1781</v>
      </c>
      <c r="B1735" t="s">
        <v>39</v>
      </c>
      <c r="C1735" t="s">
        <v>52</v>
      </c>
      <c r="D1735" t="s">
        <v>37</v>
      </c>
      <c r="E1735" s="1">
        <v>45235</v>
      </c>
      <c r="F1735" s="1">
        <v>45246</v>
      </c>
      <c r="G1735" s="2">
        <v>22.5</v>
      </c>
      <c r="H1735" s="2">
        <v>320.2</v>
      </c>
      <c r="I1735" t="s">
        <v>15</v>
      </c>
      <c r="J1735" s="2">
        <v>1865</v>
      </c>
      <c r="K1735" s="2">
        <v>11</v>
      </c>
    </row>
    <row r="1736" spans="1:11" x14ac:dyDescent="0.25">
      <c r="A1736" t="s">
        <v>1782</v>
      </c>
      <c r="B1736" t="s">
        <v>35</v>
      </c>
      <c r="C1736" t="s">
        <v>81</v>
      </c>
      <c r="D1736" t="s">
        <v>32</v>
      </c>
      <c r="E1736" s="1">
        <v>45019</v>
      </c>
      <c r="F1736" s="1">
        <v>45023</v>
      </c>
      <c r="G1736" s="2">
        <v>19.100000000000001</v>
      </c>
      <c r="H1736" s="2">
        <v>159.13999999999999</v>
      </c>
      <c r="I1736" t="s">
        <v>15</v>
      </c>
      <c r="J1736" s="2">
        <v>1000</v>
      </c>
      <c r="K1736" s="2">
        <v>4</v>
      </c>
    </row>
    <row r="1737" spans="1:11" x14ac:dyDescent="0.25">
      <c r="A1737" t="s">
        <v>1783</v>
      </c>
      <c r="B1737" t="s">
        <v>23</v>
      </c>
      <c r="C1737" t="s">
        <v>57</v>
      </c>
      <c r="D1737" t="s">
        <v>59</v>
      </c>
      <c r="E1737" s="1">
        <v>45009</v>
      </c>
      <c r="F1737" s="1">
        <v>45014</v>
      </c>
      <c r="G1737" s="2">
        <v>58.8</v>
      </c>
      <c r="H1737" s="2">
        <v>177.73</v>
      </c>
      <c r="I1737" t="s">
        <v>15</v>
      </c>
      <c r="J1737" s="2">
        <v>892</v>
      </c>
      <c r="K1737" s="2">
        <v>5</v>
      </c>
    </row>
    <row r="1738" spans="1:11" x14ac:dyDescent="0.25">
      <c r="A1738" t="s">
        <v>1784</v>
      </c>
      <c r="B1738" t="s">
        <v>27</v>
      </c>
      <c r="C1738" t="s">
        <v>52</v>
      </c>
      <c r="D1738" t="s">
        <v>42</v>
      </c>
      <c r="E1738" s="1">
        <v>45223</v>
      </c>
      <c r="F1738" s="1">
        <v>45231</v>
      </c>
      <c r="G1738" s="2">
        <v>32</v>
      </c>
      <c r="H1738" s="2">
        <v>301.33</v>
      </c>
      <c r="I1738" t="s">
        <v>15</v>
      </c>
      <c r="J1738" s="2">
        <v>2356</v>
      </c>
      <c r="K1738" s="2">
        <v>8</v>
      </c>
    </row>
    <row r="1739" spans="1:11" x14ac:dyDescent="0.25">
      <c r="A1739" t="s">
        <v>1785</v>
      </c>
      <c r="B1739" t="s">
        <v>56</v>
      </c>
      <c r="C1739" t="s">
        <v>54</v>
      </c>
      <c r="D1739" t="s">
        <v>42</v>
      </c>
      <c r="E1739" s="1">
        <v>45265</v>
      </c>
      <c r="F1739" s="1">
        <v>45266</v>
      </c>
      <c r="G1739" s="2">
        <v>5</v>
      </c>
      <c r="H1739" s="2">
        <v>33.880000000000003</v>
      </c>
      <c r="I1739" t="s">
        <v>15</v>
      </c>
      <c r="J1739" s="2">
        <v>165</v>
      </c>
      <c r="K1739" s="2">
        <v>1</v>
      </c>
    </row>
    <row r="1740" spans="1:11" x14ac:dyDescent="0.25">
      <c r="A1740" t="s">
        <v>1786</v>
      </c>
      <c r="B1740" t="s">
        <v>12</v>
      </c>
      <c r="C1740" t="s">
        <v>54</v>
      </c>
      <c r="D1740" t="s">
        <v>32</v>
      </c>
      <c r="E1740" s="1">
        <v>45053</v>
      </c>
      <c r="F1740" s="1">
        <v>45055</v>
      </c>
      <c r="G1740" s="2">
        <v>0.2</v>
      </c>
      <c r="H1740" s="2">
        <v>88.88</v>
      </c>
      <c r="I1740" t="s">
        <v>15</v>
      </c>
      <c r="J1740" s="2">
        <v>403</v>
      </c>
      <c r="K1740" s="2">
        <v>2</v>
      </c>
    </row>
    <row r="1741" spans="1:11" x14ac:dyDescent="0.25">
      <c r="A1741" t="s">
        <v>1787</v>
      </c>
      <c r="B1741" t="s">
        <v>20</v>
      </c>
      <c r="C1741" t="s">
        <v>52</v>
      </c>
      <c r="D1741" t="s">
        <v>25</v>
      </c>
      <c r="E1741" s="1">
        <v>45139</v>
      </c>
      <c r="F1741" s="1">
        <v>45141</v>
      </c>
      <c r="G1741" s="2">
        <v>9.6999999999999993</v>
      </c>
      <c r="H1741" s="2">
        <v>60.27</v>
      </c>
      <c r="I1741" t="s">
        <v>15</v>
      </c>
      <c r="J1741" s="2">
        <v>373</v>
      </c>
      <c r="K1741" s="2">
        <v>2</v>
      </c>
    </row>
    <row r="1742" spans="1:11" x14ac:dyDescent="0.25">
      <c r="A1742" t="s">
        <v>1788</v>
      </c>
      <c r="B1742" t="s">
        <v>20</v>
      </c>
      <c r="C1742" t="s">
        <v>31</v>
      </c>
      <c r="D1742" t="s">
        <v>18</v>
      </c>
      <c r="E1742" s="1">
        <v>45034</v>
      </c>
      <c r="F1742" s="1">
        <v>45038</v>
      </c>
      <c r="G1742" s="2">
        <v>29.8</v>
      </c>
      <c r="H1742" s="2">
        <v>248.19</v>
      </c>
      <c r="I1742" t="s">
        <v>15</v>
      </c>
      <c r="J1742" s="2">
        <v>1462</v>
      </c>
      <c r="K1742" s="2">
        <v>4</v>
      </c>
    </row>
    <row r="1743" spans="1:11" x14ac:dyDescent="0.25">
      <c r="A1743" t="s">
        <v>1789</v>
      </c>
      <c r="B1743" t="s">
        <v>27</v>
      </c>
      <c r="C1743" t="s">
        <v>57</v>
      </c>
      <c r="D1743" t="s">
        <v>59</v>
      </c>
      <c r="E1743" s="1">
        <v>44954</v>
      </c>
      <c r="F1743" s="1">
        <v>44961</v>
      </c>
      <c r="G1743" s="2">
        <v>15.7</v>
      </c>
      <c r="H1743" s="2">
        <v>199.62</v>
      </c>
      <c r="I1743" t="s">
        <v>15</v>
      </c>
      <c r="J1743" s="2">
        <v>1715</v>
      </c>
      <c r="K1743" s="2">
        <v>7</v>
      </c>
    </row>
    <row r="1744" spans="1:11" x14ac:dyDescent="0.25">
      <c r="A1744" t="s">
        <v>1790</v>
      </c>
      <c r="B1744" t="s">
        <v>51</v>
      </c>
      <c r="C1744" t="s">
        <v>40</v>
      </c>
      <c r="D1744" t="s">
        <v>25</v>
      </c>
      <c r="E1744" s="1">
        <v>44976</v>
      </c>
      <c r="F1744" s="1">
        <v>44981</v>
      </c>
      <c r="G1744" s="2">
        <v>55</v>
      </c>
      <c r="H1744" s="2">
        <v>282.54000000000002</v>
      </c>
      <c r="I1744" t="s">
        <v>15</v>
      </c>
      <c r="J1744" s="2">
        <v>2033</v>
      </c>
      <c r="K1744" s="2">
        <v>5</v>
      </c>
    </row>
    <row r="1745" spans="1:11" x14ac:dyDescent="0.25">
      <c r="A1745" t="s">
        <v>1791</v>
      </c>
      <c r="B1745" t="s">
        <v>12</v>
      </c>
      <c r="C1745" t="s">
        <v>52</v>
      </c>
      <c r="D1745" t="s">
        <v>37</v>
      </c>
      <c r="E1745" s="1">
        <v>45263</v>
      </c>
      <c r="F1745" s="1">
        <v>45281</v>
      </c>
      <c r="G1745" s="2">
        <v>31.4</v>
      </c>
      <c r="H1745" s="2">
        <v>226.08</v>
      </c>
      <c r="I1745" t="s">
        <v>47</v>
      </c>
      <c r="J1745" s="2">
        <v>1430</v>
      </c>
      <c r="K1745" s="2">
        <v>5</v>
      </c>
    </row>
    <row r="1746" spans="1:11" x14ac:dyDescent="0.25">
      <c r="A1746" t="s">
        <v>1792</v>
      </c>
      <c r="B1746" t="s">
        <v>30</v>
      </c>
      <c r="C1746" t="s">
        <v>28</v>
      </c>
      <c r="D1746" t="s">
        <v>42</v>
      </c>
      <c r="E1746" s="1">
        <v>45197</v>
      </c>
      <c r="F1746" s="1">
        <v>45201</v>
      </c>
      <c r="G1746" s="2">
        <v>54.2</v>
      </c>
      <c r="H1746" s="2">
        <v>240.9</v>
      </c>
      <c r="I1746" t="s">
        <v>15</v>
      </c>
      <c r="J1746" s="2">
        <v>1309</v>
      </c>
      <c r="K1746" s="2">
        <v>4</v>
      </c>
    </row>
    <row r="1747" spans="1:11" x14ac:dyDescent="0.25">
      <c r="A1747" t="s">
        <v>1793</v>
      </c>
      <c r="B1747" t="s">
        <v>39</v>
      </c>
      <c r="C1747" t="s">
        <v>46</v>
      </c>
      <c r="D1747" t="s">
        <v>59</v>
      </c>
      <c r="E1747" s="1">
        <v>45166</v>
      </c>
      <c r="F1747" s="1">
        <v>45171</v>
      </c>
      <c r="G1747" s="2">
        <v>54.6</v>
      </c>
      <c r="H1747" s="2">
        <v>185.97</v>
      </c>
      <c r="I1747" t="s">
        <v>15</v>
      </c>
      <c r="J1747" s="2">
        <v>942</v>
      </c>
      <c r="K1747" s="2">
        <v>5</v>
      </c>
    </row>
    <row r="1748" spans="1:11" x14ac:dyDescent="0.25">
      <c r="A1748" t="s">
        <v>1794</v>
      </c>
      <c r="B1748" t="s">
        <v>20</v>
      </c>
      <c r="C1748" t="s">
        <v>24</v>
      </c>
      <c r="D1748" t="s">
        <v>59</v>
      </c>
      <c r="E1748" s="1">
        <v>45286</v>
      </c>
      <c r="F1748" s="1">
        <v>45294</v>
      </c>
      <c r="G1748" s="2">
        <v>46.8</v>
      </c>
      <c r="H1748" s="2">
        <v>230.72</v>
      </c>
      <c r="I1748" t="s">
        <v>47</v>
      </c>
      <c r="J1748" s="2">
        <v>1135</v>
      </c>
      <c r="K1748" s="2">
        <v>3</v>
      </c>
    </row>
    <row r="1749" spans="1:11" x14ac:dyDescent="0.25">
      <c r="A1749" t="s">
        <v>1795</v>
      </c>
      <c r="B1749" t="s">
        <v>27</v>
      </c>
      <c r="C1749" t="s">
        <v>36</v>
      </c>
      <c r="D1749" t="s">
        <v>59</v>
      </c>
      <c r="E1749" s="1">
        <v>45164</v>
      </c>
      <c r="F1749" s="1">
        <v>45168</v>
      </c>
      <c r="G1749" s="2">
        <v>36.700000000000003</v>
      </c>
      <c r="H1749" s="2">
        <v>163.13999999999999</v>
      </c>
      <c r="I1749" t="s">
        <v>15</v>
      </c>
      <c r="J1749" s="2">
        <v>1070</v>
      </c>
      <c r="K1749" s="2">
        <v>4</v>
      </c>
    </row>
    <row r="1750" spans="1:11" x14ac:dyDescent="0.25">
      <c r="A1750" t="s">
        <v>1796</v>
      </c>
      <c r="B1750" t="s">
        <v>30</v>
      </c>
      <c r="C1750" t="s">
        <v>13</v>
      </c>
      <c r="D1750" t="s">
        <v>14</v>
      </c>
      <c r="E1750" s="1">
        <v>45064</v>
      </c>
      <c r="F1750" s="1">
        <v>45069</v>
      </c>
      <c r="G1750" s="2">
        <v>20.9</v>
      </c>
      <c r="H1750" s="2">
        <v>267.89</v>
      </c>
      <c r="I1750" t="s">
        <v>15</v>
      </c>
      <c r="J1750" s="2">
        <v>2032</v>
      </c>
      <c r="K1750" s="2">
        <v>5</v>
      </c>
    </row>
    <row r="1751" spans="1:11" x14ac:dyDescent="0.25">
      <c r="A1751" t="s">
        <v>1797</v>
      </c>
      <c r="B1751" t="s">
        <v>51</v>
      </c>
      <c r="C1751" t="s">
        <v>36</v>
      </c>
      <c r="D1751" t="s">
        <v>32</v>
      </c>
      <c r="E1751" s="1">
        <v>45022</v>
      </c>
      <c r="F1751" s="1">
        <v>45028</v>
      </c>
      <c r="G1751" s="2">
        <v>6.6</v>
      </c>
      <c r="H1751" s="2">
        <v>297.63</v>
      </c>
      <c r="I1751" t="s">
        <v>15</v>
      </c>
      <c r="J1751" s="2">
        <v>2132</v>
      </c>
      <c r="K1751" s="2">
        <v>6</v>
      </c>
    </row>
    <row r="1752" spans="1:11" x14ac:dyDescent="0.25">
      <c r="A1752" t="s">
        <v>1798</v>
      </c>
      <c r="B1752" t="s">
        <v>30</v>
      </c>
      <c r="C1752" t="s">
        <v>24</v>
      </c>
      <c r="D1752" t="s">
        <v>42</v>
      </c>
      <c r="E1752" s="1">
        <v>45236</v>
      </c>
      <c r="F1752" s="1">
        <v>45239</v>
      </c>
      <c r="G1752" s="2">
        <v>12.4</v>
      </c>
      <c r="H1752" s="2">
        <v>167.33</v>
      </c>
      <c r="I1752" t="s">
        <v>60</v>
      </c>
      <c r="J1752" s="2">
        <v>1030</v>
      </c>
      <c r="K1752" s="2">
        <v>3</v>
      </c>
    </row>
    <row r="1753" spans="1:11" x14ac:dyDescent="0.25">
      <c r="A1753" t="s">
        <v>1799</v>
      </c>
      <c r="B1753" t="s">
        <v>23</v>
      </c>
      <c r="C1753" t="s">
        <v>28</v>
      </c>
      <c r="D1753" t="s">
        <v>42</v>
      </c>
      <c r="E1753" s="1">
        <v>45141</v>
      </c>
      <c r="F1753" s="1">
        <v>45146</v>
      </c>
      <c r="G1753" s="2">
        <v>20.2</v>
      </c>
      <c r="I1753" t="s">
        <v>15</v>
      </c>
      <c r="J1753" s="2">
        <v>1360</v>
      </c>
      <c r="K1753" s="2">
        <v>5</v>
      </c>
    </row>
    <row r="1754" spans="1:11" x14ac:dyDescent="0.25">
      <c r="A1754" t="s">
        <v>1800</v>
      </c>
      <c r="B1754" t="s">
        <v>56</v>
      </c>
      <c r="C1754" t="s">
        <v>52</v>
      </c>
      <c r="D1754" t="s">
        <v>37</v>
      </c>
      <c r="E1754" s="1">
        <v>45233</v>
      </c>
      <c r="F1754" s="1">
        <v>45236</v>
      </c>
      <c r="G1754" s="2">
        <v>40.299999999999997</v>
      </c>
      <c r="H1754" s="2">
        <v>158.18</v>
      </c>
      <c r="I1754" t="s">
        <v>15</v>
      </c>
      <c r="J1754" s="2">
        <v>645</v>
      </c>
      <c r="K1754" s="2">
        <v>3</v>
      </c>
    </row>
    <row r="1755" spans="1:11" x14ac:dyDescent="0.25">
      <c r="A1755" t="s">
        <v>1801</v>
      </c>
      <c r="B1755" t="s">
        <v>27</v>
      </c>
      <c r="C1755" t="s">
        <v>81</v>
      </c>
      <c r="D1755" t="s">
        <v>59</v>
      </c>
      <c r="E1755" s="1">
        <v>45219</v>
      </c>
      <c r="F1755" s="1">
        <v>45236</v>
      </c>
      <c r="G1755" s="2">
        <v>12.4</v>
      </c>
      <c r="H1755" s="2">
        <v>256.57</v>
      </c>
      <c r="I1755" t="s">
        <v>47</v>
      </c>
      <c r="J1755" s="2">
        <v>2179</v>
      </c>
      <c r="K1755" s="2">
        <v>6</v>
      </c>
    </row>
    <row r="1756" spans="1:11" x14ac:dyDescent="0.25">
      <c r="A1756" t="s">
        <v>1802</v>
      </c>
      <c r="B1756" t="s">
        <v>49</v>
      </c>
      <c r="C1756" t="s">
        <v>44</v>
      </c>
      <c r="D1756" t="s">
        <v>18</v>
      </c>
      <c r="E1756" s="1">
        <v>44975</v>
      </c>
      <c r="F1756" s="1">
        <v>44977</v>
      </c>
      <c r="G1756" s="2">
        <v>22.2</v>
      </c>
      <c r="H1756" s="2">
        <v>83.4</v>
      </c>
      <c r="I1756" t="s">
        <v>67</v>
      </c>
      <c r="J1756" s="2">
        <v>368</v>
      </c>
      <c r="K1756" s="2">
        <v>2</v>
      </c>
    </row>
    <row r="1757" spans="1:11" x14ac:dyDescent="0.25">
      <c r="A1757" t="s">
        <v>1803</v>
      </c>
      <c r="B1757" t="s">
        <v>27</v>
      </c>
      <c r="C1757" t="s">
        <v>52</v>
      </c>
      <c r="D1757" t="s">
        <v>59</v>
      </c>
      <c r="E1757" s="1">
        <v>45046</v>
      </c>
      <c r="F1757" s="1">
        <v>45051</v>
      </c>
      <c r="G1757" s="2">
        <v>24.6</v>
      </c>
      <c r="H1757" s="2">
        <v>171.1</v>
      </c>
      <c r="I1757" t="s">
        <v>15</v>
      </c>
      <c r="J1757" s="2">
        <v>1225</v>
      </c>
      <c r="K1757" s="2">
        <v>5</v>
      </c>
    </row>
    <row r="1758" spans="1:11" x14ac:dyDescent="0.25">
      <c r="A1758" t="s">
        <v>1804</v>
      </c>
      <c r="B1758" t="s">
        <v>20</v>
      </c>
      <c r="C1758" t="s">
        <v>52</v>
      </c>
      <c r="D1758" t="s">
        <v>25</v>
      </c>
      <c r="E1758" s="1">
        <v>45123</v>
      </c>
      <c r="F1758" s="1">
        <v>45124</v>
      </c>
      <c r="G1758" s="2">
        <v>94</v>
      </c>
      <c r="H1758" s="2">
        <v>143.19999999999999</v>
      </c>
      <c r="I1758" t="s">
        <v>15</v>
      </c>
      <c r="J1758" s="2">
        <v>373</v>
      </c>
      <c r="K1758" s="2">
        <v>1</v>
      </c>
    </row>
    <row r="1759" spans="1:11" x14ac:dyDescent="0.25">
      <c r="A1759" t="s">
        <v>1805</v>
      </c>
      <c r="B1759" t="s">
        <v>30</v>
      </c>
      <c r="C1759" t="s">
        <v>81</v>
      </c>
      <c r="D1759" t="s">
        <v>32</v>
      </c>
      <c r="E1759" s="1">
        <v>45204</v>
      </c>
      <c r="F1759" s="1">
        <v>45209</v>
      </c>
      <c r="G1759" s="2">
        <v>59.3</v>
      </c>
      <c r="H1759" s="2">
        <v>388.44</v>
      </c>
      <c r="I1759" t="s">
        <v>15</v>
      </c>
      <c r="J1759" s="2">
        <v>2161</v>
      </c>
      <c r="K1759" s="2">
        <v>5</v>
      </c>
    </row>
    <row r="1760" spans="1:11" x14ac:dyDescent="0.25">
      <c r="A1760" t="s">
        <v>1806</v>
      </c>
      <c r="B1760" t="s">
        <v>23</v>
      </c>
      <c r="C1760" t="s">
        <v>24</v>
      </c>
      <c r="D1760" t="s">
        <v>14</v>
      </c>
      <c r="E1760" s="1">
        <v>45082</v>
      </c>
      <c r="F1760" s="1">
        <v>45084</v>
      </c>
      <c r="G1760" s="2">
        <v>13.1</v>
      </c>
      <c r="H1760" s="2">
        <v>85.44</v>
      </c>
      <c r="I1760" t="s">
        <v>15</v>
      </c>
      <c r="J1760" s="2">
        <v>610</v>
      </c>
      <c r="K1760" s="2">
        <v>2</v>
      </c>
    </row>
    <row r="1761" spans="1:11" x14ac:dyDescent="0.25">
      <c r="A1761" t="s">
        <v>1807</v>
      </c>
      <c r="B1761" t="s">
        <v>49</v>
      </c>
      <c r="C1761" t="s">
        <v>70</v>
      </c>
      <c r="D1761" t="s">
        <v>32</v>
      </c>
      <c r="E1761" s="1">
        <v>45122</v>
      </c>
      <c r="F1761" s="1">
        <v>45125</v>
      </c>
      <c r="G1761" s="2">
        <v>20</v>
      </c>
      <c r="H1761" s="2">
        <v>140.66</v>
      </c>
      <c r="I1761" t="s">
        <v>15</v>
      </c>
      <c r="J1761" s="2">
        <v>847</v>
      </c>
      <c r="K1761" s="2">
        <v>3</v>
      </c>
    </row>
    <row r="1762" spans="1:11" x14ac:dyDescent="0.25">
      <c r="A1762" t="s">
        <v>1808</v>
      </c>
      <c r="B1762" t="s">
        <v>49</v>
      </c>
      <c r="C1762" t="s">
        <v>57</v>
      </c>
      <c r="D1762" t="s">
        <v>37</v>
      </c>
      <c r="E1762" s="1">
        <v>45105</v>
      </c>
      <c r="F1762" s="1">
        <v>45113</v>
      </c>
      <c r="G1762" s="2">
        <v>49.4</v>
      </c>
      <c r="H1762" s="2">
        <v>333.09</v>
      </c>
      <c r="I1762" t="s">
        <v>15</v>
      </c>
      <c r="J1762" s="2">
        <v>2256</v>
      </c>
      <c r="K1762" s="2">
        <v>8</v>
      </c>
    </row>
    <row r="1763" spans="1:11" x14ac:dyDescent="0.25">
      <c r="A1763" t="s">
        <v>1809</v>
      </c>
      <c r="B1763" t="s">
        <v>56</v>
      </c>
      <c r="C1763" t="s">
        <v>57</v>
      </c>
      <c r="D1763" t="s">
        <v>25</v>
      </c>
      <c r="E1763" s="1">
        <v>45219</v>
      </c>
      <c r="F1763" s="1">
        <v>45223</v>
      </c>
      <c r="G1763" s="2">
        <v>23.5</v>
      </c>
      <c r="H1763" s="2">
        <v>194.11</v>
      </c>
      <c r="I1763" t="s">
        <v>15</v>
      </c>
      <c r="J1763" s="2">
        <v>1324</v>
      </c>
      <c r="K1763" s="2">
        <v>4</v>
      </c>
    </row>
    <row r="1764" spans="1:11" x14ac:dyDescent="0.25">
      <c r="A1764" t="s">
        <v>1810</v>
      </c>
      <c r="B1764" t="s">
        <v>35</v>
      </c>
      <c r="C1764" t="s">
        <v>44</v>
      </c>
      <c r="D1764" t="s">
        <v>59</v>
      </c>
      <c r="E1764" s="1">
        <v>45077</v>
      </c>
      <c r="F1764" s="1">
        <v>45082</v>
      </c>
      <c r="G1764" s="2">
        <v>85.1</v>
      </c>
      <c r="H1764" s="2">
        <v>391.46</v>
      </c>
      <c r="I1764" t="s">
        <v>15</v>
      </c>
      <c r="J1764" s="2">
        <v>2467</v>
      </c>
      <c r="K1764" s="2">
        <v>5</v>
      </c>
    </row>
    <row r="1765" spans="1:11" x14ac:dyDescent="0.25">
      <c r="A1765" t="s">
        <v>1811</v>
      </c>
      <c r="B1765" t="s">
        <v>20</v>
      </c>
      <c r="C1765" t="s">
        <v>81</v>
      </c>
      <c r="D1765" t="s">
        <v>42</v>
      </c>
      <c r="E1765" s="1">
        <v>45070</v>
      </c>
      <c r="F1765" s="1">
        <v>45074</v>
      </c>
      <c r="G1765" s="2">
        <v>41.4</v>
      </c>
      <c r="H1765" s="2">
        <v>251.14</v>
      </c>
      <c r="I1765" t="s">
        <v>15</v>
      </c>
      <c r="J1765" s="2">
        <v>1801</v>
      </c>
      <c r="K1765" s="2">
        <v>4</v>
      </c>
    </row>
    <row r="1766" spans="1:11" x14ac:dyDescent="0.25">
      <c r="A1766" t="s">
        <v>1812</v>
      </c>
      <c r="B1766" t="s">
        <v>27</v>
      </c>
      <c r="C1766" t="s">
        <v>24</v>
      </c>
      <c r="D1766" t="s">
        <v>32</v>
      </c>
      <c r="E1766" s="1">
        <v>45181</v>
      </c>
      <c r="F1766" s="1">
        <v>45184</v>
      </c>
      <c r="G1766" s="2">
        <v>5.3</v>
      </c>
      <c r="H1766" s="2">
        <v>76.55</v>
      </c>
      <c r="I1766" t="s">
        <v>15</v>
      </c>
      <c r="J1766" s="2">
        <v>559</v>
      </c>
      <c r="K1766" s="2">
        <v>3</v>
      </c>
    </row>
    <row r="1767" spans="1:11" x14ac:dyDescent="0.25">
      <c r="A1767" t="s">
        <v>1813</v>
      </c>
      <c r="B1767" t="s">
        <v>35</v>
      </c>
      <c r="C1767" t="s">
        <v>44</v>
      </c>
      <c r="D1767" t="s">
        <v>14</v>
      </c>
      <c r="E1767" s="1">
        <v>44983</v>
      </c>
      <c r="F1767" s="1">
        <v>44985</v>
      </c>
      <c r="G1767" s="2">
        <v>122.7</v>
      </c>
      <c r="H1767" s="2">
        <v>288.29000000000002</v>
      </c>
      <c r="I1767" t="s">
        <v>15</v>
      </c>
      <c r="J1767" s="2">
        <v>962</v>
      </c>
      <c r="K1767" s="2">
        <v>2</v>
      </c>
    </row>
    <row r="1768" spans="1:11" x14ac:dyDescent="0.25">
      <c r="A1768" t="s">
        <v>1814</v>
      </c>
      <c r="B1768" t="s">
        <v>23</v>
      </c>
      <c r="C1768" t="s">
        <v>70</v>
      </c>
      <c r="D1768" t="s">
        <v>25</v>
      </c>
      <c r="E1768" s="1">
        <v>45059</v>
      </c>
      <c r="F1768" s="1">
        <v>45064</v>
      </c>
      <c r="G1768" s="2">
        <v>24.4</v>
      </c>
      <c r="H1768" s="2">
        <v>321.82</v>
      </c>
      <c r="I1768" t="s">
        <v>15</v>
      </c>
      <c r="J1768" s="2">
        <v>2429</v>
      </c>
      <c r="K1768" s="2">
        <v>5</v>
      </c>
    </row>
    <row r="1769" spans="1:11" x14ac:dyDescent="0.25">
      <c r="A1769" t="s">
        <v>1815</v>
      </c>
      <c r="B1769" t="s">
        <v>27</v>
      </c>
      <c r="C1769" t="s">
        <v>40</v>
      </c>
      <c r="D1769" t="s">
        <v>14</v>
      </c>
      <c r="E1769" s="1">
        <v>45084</v>
      </c>
      <c r="F1769" s="1">
        <v>45089</v>
      </c>
      <c r="G1769" s="2">
        <v>6.1</v>
      </c>
      <c r="H1769" s="2">
        <v>279.81</v>
      </c>
      <c r="I1769" t="s">
        <v>15</v>
      </c>
      <c r="J1769" s="2">
        <v>2102</v>
      </c>
      <c r="K1769" s="2">
        <v>5</v>
      </c>
    </row>
    <row r="1770" spans="1:11" x14ac:dyDescent="0.25">
      <c r="A1770" t="s">
        <v>1816</v>
      </c>
      <c r="B1770" t="s">
        <v>39</v>
      </c>
      <c r="C1770" t="s">
        <v>31</v>
      </c>
      <c r="D1770" t="s">
        <v>18</v>
      </c>
      <c r="E1770" s="1">
        <v>45214</v>
      </c>
      <c r="F1770" s="1">
        <v>45217</v>
      </c>
      <c r="G1770" s="2">
        <v>18.100000000000001</v>
      </c>
      <c r="H1770" s="2">
        <v>148.79</v>
      </c>
      <c r="I1770" t="s">
        <v>15</v>
      </c>
      <c r="J1770" s="2">
        <v>914</v>
      </c>
      <c r="K1770" s="2">
        <v>3</v>
      </c>
    </row>
    <row r="1771" spans="1:11" x14ac:dyDescent="0.25">
      <c r="A1771" t="s">
        <v>1817</v>
      </c>
      <c r="B1771" t="s">
        <v>56</v>
      </c>
      <c r="C1771" t="s">
        <v>54</v>
      </c>
      <c r="D1771" t="s">
        <v>25</v>
      </c>
      <c r="E1771" s="1">
        <v>45004</v>
      </c>
      <c r="F1771" s="1">
        <v>45009</v>
      </c>
      <c r="G1771" s="2">
        <v>3.5</v>
      </c>
      <c r="H1771" s="2">
        <v>215.07</v>
      </c>
      <c r="I1771" t="s">
        <v>15</v>
      </c>
      <c r="J1771" s="2">
        <v>1843</v>
      </c>
      <c r="K1771" s="2">
        <v>5</v>
      </c>
    </row>
    <row r="1772" spans="1:11" x14ac:dyDescent="0.25">
      <c r="A1772" t="s">
        <v>1818</v>
      </c>
      <c r="B1772" t="s">
        <v>20</v>
      </c>
      <c r="C1772" t="s">
        <v>40</v>
      </c>
      <c r="D1772" t="s">
        <v>14</v>
      </c>
      <c r="E1772" s="1">
        <v>45006</v>
      </c>
      <c r="F1772" s="1">
        <v>45008</v>
      </c>
      <c r="G1772" s="2">
        <v>15.8</v>
      </c>
      <c r="H1772" s="2">
        <v>132.30000000000001</v>
      </c>
      <c r="I1772" t="s">
        <v>15</v>
      </c>
      <c r="J1772" s="2">
        <v>878</v>
      </c>
      <c r="K1772" s="2">
        <v>2</v>
      </c>
    </row>
    <row r="1773" spans="1:11" x14ac:dyDescent="0.25">
      <c r="A1773" t="s">
        <v>1819</v>
      </c>
      <c r="B1773" t="s">
        <v>49</v>
      </c>
      <c r="C1773" t="s">
        <v>36</v>
      </c>
      <c r="D1773" t="s">
        <v>32</v>
      </c>
      <c r="E1773" s="1">
        <v>45096</v>
      </c>
      <c r="F1773" s="1">
        <v>45101</v>
      </c>
      <c r="G1773" s="2">
        <v>40.700000000000003</v>
      </c>
      <c r="H1773" s="2">
        <v>168.17</v>
      </c>
      <c r="I1773" t="s">
        <v>15</v>
      </c>
      <c r="J1773" s="2">
        <v>816</v>
      </c>
      <c r="K1773" s="2">
        <v>5</v>
      </c>
    </row>
    <row r="1774" spans="1:11" x14ac:dyDescent="0.25">
      <c r="A1774" t="s">
        <v>1820</v>
      </c>
      <c r="B1774" t="s">
        <v>30</v>
      </c>
      <c r="C1774" t="s">
        <v>54</v>
      </c>
      <c r="D1774" t="s">
        <v>18</v>
      </c>
      <c r="E1774" s="1">
        <v>45221</v>
      </c>
      <c r="F1774" s="1">
        <v>45229</v>
      </c>
      <c r="G1774" s="2">
        <v>33.700000000000003</v>
      </c>
      <c r="H1774" s="2">
        <v>402.35</v>
      </c>
      <c r="I1774" t="s">
        <v>15</v>
      </c>
      <c r="J1774" s="2">
        <v>2414</v>
      </c>
      <c r="K1774" s="2">
        <v>8</v>
      </c>
    </row>
    <row r="1775" spans="1:11" x14ac:dyDescent="0.25">
      <c r="A1775" t="s">
        <v>1821</v>
      </c>
      <c r="B1775" t="s">
        <v>20</v>
      </c>
      <c r="C1775" t="s">
        <v>44</v>
      </c>
      <c r="D1775" t="s">
        <v>25</v>
      </c>
      <c r="E1775" s="1">
        <v>45046</v>
      </c>
      <c r="F1775" s="1">
        <v>45047</v>
      </c>
      <c r="G1775" s="2">
        <v>27</v>
      </c>
      <c r="H1775" s="2">
        <v>79.510000000000005</v>
      </c>
      <c r="I1775" t="s">
        <v>15</v>
      </c>
      <c r="J1775" s="2">
        <v>391</v>
      </c>
      <c r="K1775" s="2">
        <v>1</v>
      </c>
    </row>
    <row r="1776" spans="1:11" x14ac:dyDescent="0.25">
      <c r="A1776" t="s">
        <v>1822</v>
      </c>
      <c r="B1776" t="s">
        <v>23</v>
      </c>
      <c r="C1776" t="s">
        <v>24</v>
      </c>
      <c r="D1776" t="s">
        <v>32</v>
      </c>
      <c r="E1776" s="1">
        <v>45096</v>
      </c>
      <c r="F1776" s="1">
        <v>45102</v>
      </c>
      <c r="G1776" s="2">
        <v>9.6999999999999993</v>
      </c>
      <c r="H1776" s="2">
        <v>119.44</v>
      </c>
      <c r="I1776" t="s">
        <v>15</v>
      </c>
      <c r="J1776" s="2">
        <v>757</v>
      </c>
      <c r="K1776" s="2">
        <v>6</v>
      </c>
    </row>
    <row r="1777" spans="1:11" x14ac:dyDescent="0.25">
      <c r="A1777" t="s">
        <v>1823</v>
      </c>
      <c r="B1777" t="s">
        <v>12</v>
      </c>
      <c r="C1777" t="s">
        <v>36</v>
      </c>
      <c r="D1777" t="s">
        <v>32</v>
      </c>
      <c r="E1777" s="1">
        <v>45012</v>
      </c>
      <c r="F1777" s="1">
        <v>45021</v>
      </c>
      <c r="G1777" s="2">
        <v>12.8</v>
      </c>
      <c r="H1777" s="2">
        <v>331.5</v>
      </c>
      <c r="I1777" t="s">
        <v>15</v>
      </c>
      <c r="J1777" s="2">
        <v>2488</v>
      </c>
      <c r="K1777" s="2">
        <v>9</v>
      </c>
    </row>
    <row r="1778" spans="1:11" x14ac:dyDescent="0.25">
      <c r="A1778" t="s">
        <v>1824</v>
      </c>
      <c r="B1778" t="s">
        <v>56</v>
      </c>
      <c r="C1778" t="s">
        <v>40</v>
      </c>
      <c r="D1778" t="s">
        <v>25</v>
      </c>
      <c r="E1778" s="1">
        <v>45220</v>
      </c>
      <c r="F1778" s="1">
        <v>45225</v>
      </c>
      <c r="G1778" s="2">
        <v>6.3</v>
      </c>
      <c r="H1778" s="2">
        <v>282.62</v>
      </c>
      <c r="I1778" t="s">
        <v>15</v>
      </c>
      <c r="J1778" s="2">
        <v>2188</v>
      </c>
      <c r="K1778" s="2">
        <v>5</v>
      </c>
    </row>
    <row r="1779" spans="1:11" x14ac:dyDescent="0.25">
      <c r="A1779" t="s">
        <v>1825</v>
      </c>
      <c r="B1779" t="s">
        <v>35</v>
      </c>
      <c r="C1779" t="s">
        <v>57</v>
      </c>
      <c r="D1779" t="s">
        <v>59</v>
      </c>
      <c r="E1779" s="1">
        <v>45119</v>
      </c>
      <c r="F1779" s="1">
        <v>45122</v>
      </c>
      <c r="G1779" s="2">
        <v>23.1</v>
      </c>
      <c r="H1779" s="2">
        <v>204.7</v>
      </c>
      <c r="I1779" t="s">
        <v>15</v>
      </c>
      <c r="J1779" s="2">
        <v>1547</v>
      </c>
      <c r="K1779" s="2">
        <v>3</v>
      </c>
    </row>
    <row r="1780" spans="1:11" x14ac:dyDescent="0.25">
      <c r="A1780" t="s">
        <v>1826</v>
      </c>
      <c r="B1780" t="s">
        <v>49</v>
      </c>
      <c r="C1780" t="s">
        <v>17</v>
      </c>
      <c r="D1780" t="s">
        <v>32</v>
      </c>
      <c r="E1780" s="1">
        <v>45139</v>
      </c>
      <c r="F1780" s="1">
        <v>45141</v>
      </c>
      <c r="G1780" s="2">
        <v>10.3</v>
      </c>
      <c r="H1780" s="2">
        <v>47.05</v>
      </c>
      <c r="I1780" t="s">
        <v>15</v>
      </c>
      <c r="J1780" s="2">
        <v>224</v>
      </c>
      <c r="K1780" s="2">
        <v>2</v>
      </c>
    </row>
    <row r="1781" spans="1:11" x14ac:dyDescent="0.25">
      <c r="A1781" t="s">
        <v>1827</v>
      </c>
      <c r="B1781" t="s">
        <v>23</v>
      </c>
      <c r="C1781" t="s">
        <v>21</v>
      </c>
      <c r="D1781" t="s">
        <v>18</v>
      </c>
      <c r="E1781" s="1">
        <v>45237</v>
      </c>
      <c r="F1781" s="1">
        <v>45240</v>
      </c>
      <c r="G1781" s="2">
        <v>73.900000000000006</v>
      </c>
      <c r="H1781" s="2">
        <v>268.7</v>
      </c>
      <c r="I1781" t="s">
        <v>15</v>
      </c>
      <c r="J1781" s="2">
        <v>747</v>
      </c>
      <c r="K1781" s="2">
        <v>3</v>
      </c>
    </row>
    <row r="1782" spans="1:11" x14ac:dyDescent="0.25">
      <c r="A1782" t="s">
        <v>1828</v>
      </c>
      <c r="B1782" t="s">
        <v>56</v>
      </c>
      <c r="C1782" t="s">
        <v>54</v>
      </c>
      <c r="D1782" t="s">
        <v>59</v>
      </c>
      <c r="E1782" s="1">
        <v>45147</v>
      </c>
      <c r="F1782" s="1">
        <v>45150</v>
      </c>
      <c r="G1782" s="2">
        <v>47.3</v>
      </c>
      <c r="H1782" s="2">
        <v>215.93</v>
      </c>
      <c r="I1782" t="s">
        <v>60</v>
      </c>
      <c r="J1782" s="2">
        <v>1552</v>
      </c>
      <c r="K1782" s="2">
        <v>3</v>
      </c>
    </row>
    <row r="1783" spans="1:11" x14ac:dyDescent="0.25">
      <c r="A1783" t="s">
        <v>1829</v>
      </c>
      <c r="B1783" t="s">
        <v>39</v>
      </c>
      <c r="C1783" t="s">
        <v>40</v>
      </c>
      <c r="D1783" t="s">
        <v>25</v>
      </c>
      <c r="E1783" s="1">
        <v>45171</v>
      </c>
      <c r="F1783" s="1">
        <v>45177</v>
      </c>
      <c r="G1783" s="2">
        <v>30.5</v>
      </c>
      <c r="H1783" s="2">
        <v>322.75</v>
      </c>
      <c r="I1783" t="s">
        <v>15</v>
      </c>
      <c r="J1783" s="2">
        <v>2410</v>
      </c>
      <c r="K1783" s="2">
        <v>6</v>
      </c>
    </row>
    <row r="1784" spans="1:11" x14ac:dyDescent="0.25">
      <c r="A1784" t="s">
        <v>1830</v>
      </c>
      <c r="B1784" t="s">
        <v>27</v>
      </c>
      <c r="C1784" t="s">
        <v>81</v>
      </c>
      <c r="D1784" t="s">
        <v>14</v>
      </c>
      <c r="E1784" s="1">
        <v>45232</v>
      </c>
      <c r="F1784" s="1">
        <v>45233</v>
      </c>
      <c r="G1784" s="2">
        <v>14.7</v>
      </c>
      <c r="H1784" s="2">
        <v>81.27</v>
      </c>
      <c r="I1784" t="s">
        <v>15</v>
      </c>
      <c r="J1784" s="2">
        <v>395</v>
      </c>
      <c r="K1784" s="2">
        <v>1</v>
      </c>
    </row>
    <row r="1785" spans="1:11" x14ac:dyDescent="0.25">
      <c r="A1785" t="s">
        <v>1831</v>
      </c>
      <c r="B1785" t="s">
        <v>49</v>
      </c>
      <c r="C1785" t="s">
        <v>13</v>
      </c>
      <c r="D1785" t="s">
        <v>18</v>
      </c>
      <c r="E1785" s="1">
        <v>44947</v>
      </c>
      <c r="F1785" s="1">
        <v>44950</v>
      </c>
      <c r="G1785" s="2">
        <v>12.6</v>
      </c>
      <c r="H1785" s="2">
        <v>201.27</v>
      </c>
      <c r="I1785" t="s">
        <v>15</v>
      </c>
      <c r="J1785" s="2">
        <v>1462</v>
      </c>
      <c r="K1785" s="2">
        <v>3</v>
      </c>
    </row>
    <row r="1786" spans="1:11" x14ac:dyDescent="0.25">
      <c r="A1786" t="s">
        <v>1832</v>
      </c>
      <c r="B1786" t="s">
        <v>51</v>
      </c>
      <c r="C1786" t="s">
        <v>36</v>
      </c>
      <c r="D1786" t="s">
        <v>25</v>
      </c>
      <c r="E1786" s="1">
        <v>45007</v>
      </c>
      <c r="F1786" s="1">
        <v>45011</v>
      </c>
      <c r="G1786" s="2">
        <v>28.8</v>
      </c>
      <c r="H1786" s="2">
        <v>183.25</v>
      </c>
      <c r="I1786" t="s">
        <v>15</v>
      </c>
      <c r="J1786" s="2">
        <v>1399</v>
      </c>
      <c r="K1786" s="2">
        <v>4</v>
      </c>
    </row>
    <row r="1787" spans="1:11" x14ac:dyDescent="0.25">
      <c r="A1787" t="s">
        <v>1833</v>
      </c>
      <c r="B1787" t="s">
        <v>51</v>
      </c>
      <c r="C1787" t="s">
        <v>24</v>
      </c>
      <c r="D1787" t="s">
        <v>32</v>
      </c>
      <c r="E1787" s="1">
        <v>45047</v>
      </c>
      <c r="F1787" s="1">
        <v>45052</v>
      </c>
      <c r="G1787" s="2">
        <v>45.7</v>
      </c>
      <c r="H1787" s="2">
        <v>206.4</v>
      </c>
      <c r="I1787" t="s">
        <v>15</v>
      </c>
      <c r="J1787" s="2">
        <v>1025</v>
      </c>
      <c r="K1787" s="2">
        <v>5</v>
      </c>
    </row>
    <row r="1788" spans="1:11" x14ac:dyDescent="0.25">
      <c r="A1788" t="s">
        <v>1834</v>
      </c>
      <c r="B1788" t="s">
        <v>49</v>
      </c>
      <c r="C1788" t="s">
        <v>31</v>
      </c>
      <c r="D1788" t="s">
        <v>25</v>
      </c>
      <c r="E1788" s="1">
        <v>44999</v>
      </c>
      <c r="F1788" s="1">
        <v>45000</v>
      </c>
      <c r="G1788" s="2">
        <v>24.3</v>
      </c>
      <c r="H1788" s="2">
        <v>45.64</v>
      </c>
      <c r="I1788" t="s">
        <v>15</v>
      </c>
      <c r="J1788" s="2">
        <v>118</v>
      </c>
      <c r="K1788" s="2">
        <v>1</v>
      </c>
    </row>
    <row r="1789" spans="1:11" x14ac:dyDescent="0.25">
      <c r="A1789" t="s">
        <v>1835</v>
      </c>
      <c r="B1789" t="s">
        <v>56</v>
      </c>
      <c r="C1789" t="s">
        <v>52</v>
      </c>
      <c r="D1789" t="s">
        <v>37</v>
      </c>
      <c r="E1789" s="1">
        <v>45286</v>
      </c>
      <c r="F1789" s="1">
        <v>45289</v>
      </c>
      <c r="G1789" s="2">
        <v>22.5</v>
      </c>
      <c r="H1789" s="2">
        <v>199.07</v>
      </c>
      <c r="I1789" t="s">
        <v>15</v>
      </c>
      <c r="J1789" s="2">
        <v>1226</v>
      </c>
      <c r="K1789" s="2">
        <v>3</v>
      </c>
    </row>
    <row r="1790" spans="1:11" x14ac:dyDescent="0.25">
      <c r="A1790" t="s">
        <v>1836</v>
      </c>
      <c r="B1790" t="s">
        <v>20</v>
      </c>
      <c r="C1790" t="s">
        <v>36</v>
      </c>
      <c r="D1790" t="s">
        <v>25</v>
      </c>
      <c r="E1790" s="1">
        <v>45267</v>
      </c>
      <c r="F1790" s="1">
        <v>45281</v>
      </c>
      <c r="G1790" s="2">
        <v>48.8</v>
      </c>
      <c r="H1790" s="2">
        <v>347.95</v>
      </c>
      <c r="I1790" t="s">
        <v>47</v>
      </c>
      <c r="J1790" s="2">
        <v>2192</v>
      </c>
      <c r="K1790" s="2">
        <v>6</v>
      </c>
    </row>
    <row r="1791" spans="1:11" x14ac:dyDescent="0.25">
      <c r="A1791" t="s">
        <v>1837</v>
      </c>
      <c r="B1791" t="s">
        <v>51</v>
      </c>
      <c r="C1791" t="s">
        <v>44</v>
      </c>
      <c r="D1791" t="s">
        <v>14</v>
      </c>
      <c r="E1791" s="1">
        <v>45045</v>
      </c>
      <c r="F1791" s="1">
        <v>45047</v>
      </c>
      <c r="G1791" s="2">
        <v>7.9</v>
      </c>
      <c r="H1791" s="2">
        <v>99.83</v>
      </c>
      <c r="I1791" t="s">
        <v>15</v>
      </c>
      <c r="J1791" s="2">
        <v>790</v>
      </c>
      <c r="K1791" s="2">
        <v>2</v>
      </c>
    </row>
    <row r="1792" spans="1:11" x14ac:dyDescent="0.25">
      <c r="A1792" t="s">
        <v>1838</v>
      </c>
      <c r="B1792" t="s">
        <v>27</v>
      </c>
      <c r="C1792" t="s">
        <v>81</v>
      </c>
      <c r="D1792" t="s">
        <v>14</v>
      </c>
      <c r="E1792" s="1">
        <v>45225</v>
      </c>
      <c r="F1792" s="1">
        <v>45235</v>
      </c>
      <c r="G1792" s="2">
        <v>34</v>
      </c>
      <c r="H1792" s="2">
        <v>316.69</v>
      </c>
      <c r="I1792" t="s">
        <v>47</v>
      </c>
      <c r="J1792" s="2">
        <v>2072</v>
      </c>
      <c r="K1792" s="2">
        <v>6</v>
      </c>
    </row>
    <row r="1793" spans="1:11" x14ac:dyDescent="0.25">
      <c r="A1793" t="s">
        <v>1839</v>
      </c>
      <c r="B1793" t="s">
        <v>30</v>
      </c>
      <c r="C1793" t="s">
        <v>31</v>
      </c>
      <c r="D1793" t="s">
        <v>14</v>
      </c>
      <c r="E1793" s="1">
        <v>44987</v>
      </c>
      <c r="F1793" s="1">
        <v>44990</v>
      </c>
      <c r="G1793" s="2">
        <v>21.9</v>
      </c>
      <c r="H1793" s="2">
        <v>174.25</v>
      </c>
      <c r="I1793" t="s">
        <v>15</v>
      </c>
      <c r="J1793" s="2">
        <v>1073</v>
      </c>
      <c r="K1793" s="2">
        <v>3</v>
      </c>
    </row>
    <row r="1794" spans="1:11" x14ac:dyDescent="0.25">
      <c r="A1794" t="s">
        <v>1840</v>
      </c>
      <c r="B1794" t="s">
        <v>56</v>
      </c>
      <c r="C1794" t="s">
        <v>13</v>
      </c>
      <c r="D1794" t="s">
        <v>37</v>
      </c>
      <c r="E1794" s="1">
        <v>44961</v>
      </c>
      <c r="F1794" s="1">
        <v>44964</v>
      </c>
      <c r="G1794" s="2">
        <v>17.899999999999999</v>
      </c>
      <c r="H1794" s="2">
        <v>54.51</v>
      </c>
      <c r="I1794" t="s">
        <v>15</v>
      </c>
      <c r="J1794" s="2">
        <v>255</v>
      </c>
      <c r="K1794" s="2">
        <v>3</v>
      </c>
    </row>
    <row r="1795" spans="1:11" x14ac:dyDescent="0.25">
      <c r="A1795" t="s">
        <v>1841</v>
      </c>
      <c r="B1795" t="s">
        <v>56</v>
      </c>
      <c r="C1795" t="s">
        <v>40</v>
      </c>
      <c r="D1795" t="s">
        <v>14</v>
      </c>
      <c r="E1795" s="1">
        <v>45226</v>
      </c>
      <c r="F1795" s="1">
        <v>45229</v>
      </c>
      <c r="G1795" s="2">
        <v>7.9</v>
      </c>
      <c r="H1795" s="2">
        <v>111.49</v>
      </c>
      <c r="I1795" t="s">
        <v>15</v>
      </c>
      <c r="J1795" s="2">
        <v>865</v>
      </c>
      <c r="K1795" s="2">
        <v>3</v>
      </c>
    </row>
    <row r="1796" spans="1:11" x14ac:dyDescent="0.25">
      <c r="A1796" t="s">
        <v>1842</v>
      </c>
      <c r="B1796" t="s">
        <v>20</v>
      </c>
      <c r="C1796" t="s">
        <v>57</v>
      </c>
      <c r="D1796" t="s">
        <v>25</v>
      </c>
      <c r="E1796" s="1">
        <v>45035</v>
      </c>
      <c r="F1796" s="1">
        <v>45042</v>
      </c>
      <c r="G1796" s="2">
        <v>6.7</v>
      </c>
      <c r="H1796" s="2">
        <v>213.54</v>
      </c>
      <c r="I1796" t="s">
        <v>62</v>
      </c>
      <c r="J1796" s="2">
        <v>1694</v>
      </c>
      <c r="K1796" s="2">
        <v>7</v>
      </c>
    </row>
    <row r="1797" spans="1:11" x14ac:dyDescent="0.25">
      <c r="A1797" t="s">
        <v>1843</v>
      </c>
      <c r="B1797" t="s">
        <v>30</v>
      </c>
      <c r="C1797" t="s">
        <v>70</v>
      </c>
      <c r="D1797" t="s">
        <v>32</v>
      </c>
      <c r="E1797" s="1">
        <v>45033</v>
      </c>
      <c r="F1797" s="1">
        <v>45039</v>
      </c>
      <c r="G1797" s="2">
        <v>5.0999999999999996</v>
      </c>
      <c r="H1797" s="2">
        <v>175.6</v>
      </c>
      <c r="I1797" t="s">
        <v>15</v>
      </c>
      <c r="J1797" s="2">
        <v>1317</v>
      </c>
      <c r="K1797" s="2">
        <v>6</v>
      </c>
    </row>
    <row r="1798" spans="1:11" x14ac:dyDescent="0.25">
      <c r="A1798" t="s">
        <v>1844</v>
      </c>
      <c r="B1798" t="s">
        <v>12</v>
      </c>
      <c r="C1798" t="s">
        <v>36</v>
      </c>
      <c r="D1798" t="s">
        <v>59</v>
      </c>
      <c r="E1798" s="1">
        <v>45076</v>
      </c>
      <c r="F1798" s="1">
        <v>45078</v>
      </c>
      <c r="G1798" s="2">
        <v>13.1</v>
      </c>
      <c r="H1798" s="2">
        <v>82.17</v>
      </c>
      <c r="I1798" t="s">
        <v>15</v>
      </c>
      <c r="J1798" s="2">
        <v>645</v>
      </c>
      <c r="K1798" s="2">
        <v>2</v>
      </c>
    </row>
    <row r="1799" spans="1:11" x14ac:dyDescent="0.25">
      <c r="A1799" t="s">
        <v>1845</v>
      </c>
      <c r="B1799" t="s">
        <v>51</v>
      </c>
      <c r="C1799" t="s">
        <v>44</v>
      </c>
      <c r="D1799" t="s">
        <v>59</v>
      </c>
      <c r="E1799" s="1">
        <v>45074</v>
      </c>
      <c r="F1799" s="1">
        <v>45076</v>
      </c>
      <c r="G1799" s="2">
        <v>19.5</v>
      </c>
      <c r="H1799" s="2">
        <v>122.68</v>
      </c>
      <c r="I1799" t="s">
        <v>15</v>
      </c>
      <c r="J1799" s="2">
        <v>790</v>
      </c>
      <c r="K1799" s="2">
        <v>2</v>
      </c>
    </row>
    <row r="1800" spans="1:11" x14ac:dyDescent="0.25">
      <c r="A1800" t="s">
        <v>1846</v>
      </c>
      <c r="B1800" t="s">
        <v>49</v>
      </c>
      <c r="C1800" t="s">
        <v>31</v>
      </c>
      <c r="D1800" t="s">
        <v>25</v>
      </c>
      <c r="E1800" s="1">
        <v>45039</v>
      </c>
      <c r="F1800" s="1">
        <v>45042</v>
      </c>
      <c r="G1800" s="2">
        <v>12.1</v>
      </c>
      <c r="H1800" s="2">
        <v>147.53</v>
      </c>
      <c r="I1800" t="s">
        <v>15</v>
      </c>
      <c r="J1800" s="2">
        <v>1172</v>
      </c>
      <c r="K1800" s="2">
        <v>3</v>
      </c>
    </row>
    <row r="1801" spans="1:11" x14ac:dyDescent="0.25">
      <c r="A1801" t="s">
        <v>1847</v>
      </c>
      <c r="B1801" t="s">
        <v>35</v>
      </c>
      <c r="C1801" t="s">
        <v>17</v>
      </c>
      <c r="D1801" t="s">
        <v>25</v>
      </c>
      <c r="E1801" s="1">
        <v>45138</v>
      </c>
      <c r="F1801" s="1">
        <v>45142</v>
      </c>
      <c r="G1801" s="2">
        <v>24.6</v>
      </c>
      <c r="H1801" s="2">
        <v>231.44</v>
      </c>
      <c r="I1801" t="s">
        <v>15</v>
      </c>
      <c r="J1801" s="2">
        <v>1711</v>
      </c>
      <c r="K1801" s="2">
        <v>4</v>
      </c>
    </row>
    <row r="1802" spans="1:11" x14ac:dyDescent="0.25">
      <c r="A1802" t="s">
        <v>1848</v>
      </c>
      <c r="B1802" t="s">
        <v>39</v>
      </c>
      <c r="C1802" t="s">
        <v>28</v>
      </c>
      <c r="D1802" t="s">
        <v>25</v>
      </c>
      <c r="E1802" s="1">
        <v>44998</v>
      </c>
      <c r="F1802" s="1">
        <v>45003</v>
      </c>
      <c r="G1802" s="2">
        <v>17.7</v>
      </c>
      <c r="H1802" s="2">
        <v>325.61</v>
      </c>
      <c r="I1802" t="s">
        <v>15</v>
      </c>
      <c r="J1802" s="2">
        <v>2345</v>
      </c>
      <c r="K1802" s="2">
        <v>5</v>
      </c>
    </row>
    <row r="1803" spans="1:11" x14ac:dyDescent="0.25">
      <c r="A1803" t="s">
        <v>1849</v>
      </c>
      <c r="B1803" t="s">
        <v>20</v>
      </c>
      <c r="C1803" t="s">
        <v>70</v>
      </c>
      <c r="D1803" t="s">
        <v>18</v>
      </c>
      <c r="E1803" s="1">
        <v>45115</v>
      </c>
      <c r="F1803" s="1">
        <v>45117</v>
      </c>
      <c r="G1803" s="2">
        <v>61.4</v>
      </c>
      <c r="H1803" s="2">
        <v>111.25</v>
      </c>
      <c r="I1803" t="s">
        <v>15</v>
      </c>
      <c r="J1803" s="2">
        <v>128</v>
      </c>
      <c r="K1803" s="2">
        <v>2</v>
      </c>
    </row>
    <row r="1804" spans="1:11" x14ac:dyDescent="0.25">
      <c r="A1804" t="s">
        <v>1850</v>
      </c>
      <c r="B1804" t="s">
        <v>27</v>
      </c>
      <c r="C1804" t="s">
        <v>13</v>
      </c>
      <c r="D1804" t="s">
        <v>32</v>
      </c>
      <c r="E1804" s="1">
        <v>44944</v>
      </c>
      <c r="F1804" s="1">
        <v>44950</v>
      </c>
      <c r="G1804" s="2">
        <v>13.6</v>
      </c>
      <c r="H1804" s="2">
        <v>260.64999999999998</v>
      </c>
      <c r="I1804" t="s">
        <v>15</v>
      </c>
      <c r="J1804" s="2">
        <v>2044</v>
      </c>
      <c r="K1804" s="2">
        <v>6</v>
      </c>
    </row>
    <row r="1805" spans="1:11" x14ac:dyDescent="0.25">
      <c r="A1805" t="s">
        <v>1851</v>
      </c>
      <c r="B1805" t="s">
        <v>20</v>
      </c>
      <c r="C1805" t="s">
        <v>28</v>
      </c>
      <c r="D1805" t="s">
        <v>59</v>
      </c>
      <c r="E1805" s="1">
        <v>45141</v>
      </c>
      <c r="F1805" s="1">
        <v>45147</v>
      </c>
      <c r="G1805" s="2">
        <v>29.4</v>
      </c>
      <c r="H1805" s="2">
        <v>212.9</v>
      </c>
      <c r="I1805" t="s">
        <v>62</v>
      </c>
      <c r="J1805" s="2">
        <v>1435</v>
      </c>
      <c r="K1805" s="2">
        <v>6</v>
      </c>
    </row>
    <row r="1806" spans="1:11" x14ac:dyDescent="0.25">
      <c r="A1806" t="s">
        <v>1852</v>
      </c>
      <c r="B1806" t="s">
        <v>39</v>
      </c>
      <c r="C1806" t="s">
        <v>54</v>
      </c>
      <c r="D1806" t="s">
        <v>32</v>
      </c>
      <c r="E1806" s="1">
        <v>45227</v>
      </c>
      <c r="F1806" s="1">
        <v>45243</v>
      </c>
      <c r="G1806" s="2">
        <v>14.7</v>
      </c>
      <c r="H1806" s="2">
        <v>224.05</v>
      </c>
      <c r="I1806" t="s">
        <v>47</v>
      </c>
      <c r="J1806" s="2">
        <v>1715</v>
      </c>
      <c r="K1806" s="2">
        <v>5</v>
      </c>
    </row>
    <row r="1807" spans="1:11" x14ac:dyDescent="0.25">
      <c r="A1807" t="s">
        <v>1853</v>
      </c>
      <c r="B1807" t="s">
        <v>30</v>
      </c>
      <c r="C1807" t="s">
        <v>52</v>
      </c>
      <c r="D1807" t="s">
        <v>18</v>
      </c>
      <c r="E1807" s="1">
        <v>45279</v>
      </c>
      <c r="F1807" s="1">
        <v>45283</v>
      </c>
      <c r="G1807" s="2">
        <v>7.4</v>
      </c>
      <c r="H1807" s="2">
        <v>323.36</v>
      </c>
      <c r="I1807" t="s">
        <v>15</v>
      </c>
      <c r="J1807" s="2">
        <v>1880</v>
      </c>
      <c r="K1807" s="2">
        <v>4</v>
      </c>
    </row>
    <row r="1808" spans="1:11" x14ac:dyDescent="0.25">
      <c r="A1808" t="s">
        <v>1854</v>
      </c>
      <c r="B1808" t="s">
        <v>51</v>
      </c>
      <c r="C1808" t="s">
        <v>21</v>
      </c>
      <c r="D1808" t="s">
        <v>25</v>
      </c>
      <c r="E1808" s="1">
        <v>45111</v>
      </c>
      <c r="F1808" s="1">
        <v>45117</v>
      </c>
      <c r="G1808" s="2">
        <v>16.2</v>
      </c>
      <c r="H1808" s="2">
        <v>245.98</v>
      </c>
      <c r="I1808" t="s">
        <v>15</v>
      </c>
      <c r="J1808" s="2">
        <v>1870</v>
      </c>
      <c r="K1808" s="2">
        <v>6</v>
      </c>
    </row>
    <row r="1809" spans="1:11" x14ac:dyDescent="0.25">
      <c r="A1809" t="s">
        <v>1855</v>
      </c>
      <c r="B1809" t="s">
        <v>51</v>
      </c>
      <c r="C1809" t="s">
        <v>36</v>
      </c>
      <c r="D1809" t="s">
        <v>42</v>
      </c>
      <c r="E1809" s="1">
        <v>45113</v>
      </c>
      <c r="F1809" s="1">
        <v>45117</v>
      </c>
      <c r="G1809" s="2">
        <v>6.2</v>
      </c>
      <c r="H1809" s="2">
        <v>139.44</v>
      </c>
      <c r="I1809" t="s">
        <v>15</v>
      </c>
      <c r="J1809" s="2">
        <v>1227</v>
      </c>
      <c r="K1809" s="2">
        <v>4</v>
      </c>
    </row>
    <row r="1810" spans="1:11" x14ac:dyDescent="0.25">
      <c r="A1810" t="s">
        <v>1856</v>
      </c>
      <c r="B1810" t="s">
        <v>39</v>
      </c>
      <c r="C1810" t="s">
        <v>13</v>
      </c>
      <c r="D1810" t="s">
        <v>25</v>
      </c>
      <c r="E1810" s="1">
        <v>45062</v>
      </c>
      <c r="F1810" s="1">
        <v>45069</v>
      </c>
      <c r="G1810" s="2">
        <v>15.7</v>
      </c>
      <c r="H1810" s="2">
        <v>318.83999999999997</v>
      </c>
      <c r="I1810" t="s">
        <v>15</v>
      </c>
      <c r="J1810" s="2">
        <v>2321</v>
      </c>
      <c r="K1810" s="2">
        <v>7</v>
      </c>
    </row>
    <row r="1811" spans="1:11" x14ac:dyDescent="0.25">
      <c r="A1811" t="s">
        <v>1857</v>
      </c>
      <c r="B1811" t="s">
        <v>56</v>
      </c>
      <c r="C1811" t="s">
        <v>17</v>
      </c>
      <c r="D1811" t="s">
        <v>59</v>
      </c>
      <c r="E1811" s="1">
        <v>45119</v>
      </c>
      <c r="F1811" s="1">
        <v>45123</v>
      </c>
      <c r="G1811" s="2">
        <v>30.2</v>
      </c>
      <c r="I1811" t="s">
        <v>15</v>
      </c>
      <c r="J1811" s="2">
        <v>1393</v>
      </c>
      <c r="K1811" s="2">
        <v>4</v>
      </c>
    </row>
    <row r="1812" spans="1:11" x14ac:dyDescent="0.25">
      <c r="A1812" t="s">
        <v>1858</v>
      </c>
      <c r="B1812" t="s">
        <v>30</v>
      </c>
      <c r="C1812" t="s">
        <v>17</v>
      </c>
      <c r="D1812" t="s">
        <v>32</v>
      </c>
      <c r="E1812" s="1">
        <v>45128</v>
      </c>
      <c r="F1812" s="1">
        <v>45136</v>
      </c>
      <c r="G1812" s="2">
        <v>32.799999999999997</v>
      </c>
      <c r="H1812" s="2">
        <v>360.03</v>
      </c>
      <c r="I1812" t="s">
        <v>15</v>
      </c>
      <c r="J1812" s="2">
        <v>2464</v>
      </c>
      <c r="K1812" s="2">
        <v>8</v>
      </c>
    </row>
    <row r="1813" spans="1:11" x14ac:dyDescent="0.25">
      <c r="A1813" t="s">
        <v>1859</v>
      </c>
      <c r="B1813" t="s">
        <v>12</v>
      </c>
      <c r="C1813" t="s">
        <v>40</v>
      </c>
      <c r="D1813" t="s">
        <v>18</v>
      </c>
      <c r="E1813" s="1">
        <v>45032</v>
      </c>
      <c r="F1813" s="1">
        <v>45034</v>
      </c>
      <c r="G1813" s="2">
        <v>29.5</v>
      </c>
      <c r="H1813" s="2">
        <v>110.42</v>
      </c>
      <c r="I1813" t="s">
        <v>15</v>
      </c>
      <c r="J1813" s="2">
        <v>476</v>
      </c>
      <c r="K1813" s="2">
        <v>2</v>
      </c>
    </row>
    <row r="1814" spans="1:11" x14ac:dyDescent="0.25">
      <c r="A1814" t="s">
        <v>1860</v>
      </c>
      <c r="B1814" t="s">
        <v>51</v>
      </c>
      <c r="C1814" t="s">
        <v>52</v>
      </c>
      <c r="D1814" t="s">
        <v>25</v>
      </c>
      <c r="E1814" s="1">
        <v>45170</v>
      </c>
      <c r="F1814" s="1">
        <v>45174</v>
      </c>
      <c r="G1814" s="2">
        <v>16.7</v>
      </c>
      <c r="H1814" s="2">
        <v>203.66</v>
      </c>
      <c r="I1814" t="s">
        <v>15</v>
      </c>
      <c r="J1814" s="2">
        <v>1423</v>
      </c>
      <c r="K1814" s="2">
        <v>4</v>
      </c>
    </row>
    <row r="1815" spans="1:11" x14ac:dyDescent="0.25">
      <c r="A1815" t="s">
        <v>1861</v>
      </c>
      <c r="B1815" t="s">
        <v>49</v>
      </c>
      <c r="C1815" t="s">
        <v>13</v>
      </c>
      <c r="D1815" t="s">
        <v>32</v>
      </c>
      <c r="E1815" s="1">
        <v>45055</v>
      </c>
      <c r="F1815" s="1">
        <v>45070</v>
      </c>
      <c r="G1815" s="2">
        <v>16.600000000000001</v>
      </c>
      <c r="H1815" s="2">
        <v>285.36</v>
      </c>
      <c r="I1815" t="s">
        <v>47</v>
      </c>
      <c r="J1815" s="2">
        <v>2126</v>
      </c>
      <c r="K1815" s="2">
        <v>7</v>
      </c>
    </row>
    <row r="1816" spans="1:11" x14ac:dyDescent="0.25">
      <c r="A1816" t="s">
        <v>1862</v>
      </c>
      <c r="B1816" t="s">
        <v>56</v>
      </c>
      <c r="C1816" t="s">
        <v>13</v>
      </c>
      <c r="D1816" t="s">
        <v>42</v>
      </c>
      <c r="E1816" s="1">
        <v>45212</v>
      </c>
      <c r="F1816" s="1">
        <v>45216</v>
      </c>
      <c r="G1816" s="2">
        <v>17</v>
      </c>
      <c r="H1816" s="2">
        <v>245.26</v>
      </c>
      <c r="I1816" t="s">
        <v>15</v>
      </c>
      <c r="J1816" s="2">
        <v>1731</v>
      </c>
      <c r="K1816" s="2">
        <v>4</v>
      </c>
    </row>
    <row r="1817" spans="1:11" x14ac:dyDescent="0.25">
      <c r="A1817" t="s">
        <v>1863</v>
      </c>
      <c r="B1817" t="s">
        <v>20</v>
      </c>
      <c r="C1817" t="s">
        <v>81</v>
      </c>
      <c r="D1817" t="s">
        <v>37</v>
      </c>
      <c r="E1817" s="1">
        <v>45189</v>
      </c>
      <c r="F1817" s="1">
        <v>45191</v>
      </c>
      <c r="G1817" s="2">
        <v>30.5</v>
      </c>
      <c r="H1817" s="2">
        <v>115.38</v>
      </c>
      <c r="I1817" t="s">
        <v>15</v>
      </c>
      <c r="J1817" s="2">
        <v>619</v>
      </c>
      <c r="K1817" s="2">
        <v>2</v>
      </c>
    </row>
    <row r="1818" spans="1:11" x14ac:dyDescent="0.25">
      <c r="A1818" t="s">
        <v>1864</v>
      </c>
      <c r="B1818" t="s">
        <v>12</v>
      </c>
      <c r="C1818" t="s">
        <v>57</v>
      </c>
      <c r="D1818" t="s">
        <v>18</v>
      </c>
      <c r="E1818" s="1">
        <v>45071</v>
      </c>
      <c r="F1818" s="1">
        <v>45076</v>
      </c>
      <c r="G1818" s="2">
        <v>17.7</v>
      </c>
      <c r="H1818" s="2">
        <v>326.89999999999998</v>
      </c>
      <c r="I1818" t="s">
        <v>15</v>
      </c>
      <c r="J1818" s="2">
        <v>2208</v>
      </c>
      <c r="K1818" s="2">
        <v>5</v>
      </c>
    </row>
    <row r="1819" spans="1:11" x14ac:dyDescent="0.25">
      <c r="A1819" t="s">
        <v>1865</v>
      </c>
      <c r="B1819" t="s">
        <v>35</v>
      </c>
      <c r="C1819" t="s">
        <v>28</v>
      </c>
      <c r="D1819" t="s">
        <v>59</v>
      </c>
      <c r="E1819" s="1">
        <v>45039</v>
      </c>
      <c r="F1819" s="1">
        <v>45043</v>
      </c>
      <c r="G1819" s="2">
        <v>11.6</v>
      </c>
      <c r="H1819" s="2">
        <v>135.55000000000001</v>
      </c>
      <c r="I1819" t="s">
        <v>15</v>
      </c>
      <c r="J1819" s="2">
        <v>1021</v>
      </c>
      <c r="K1819" s="2">
        <v>4</v>
      </c>
    </row>
    <row r="1820" spans="1:11" x14ac:dyDescent="0.25">
      <c r="A1820" t="s">
        <v>1866</v>
      </c>
      <c r="B1820" t="s">
        <v>23</v>
      </c>
      <c r="C1820" t="s">
        <v>40</v>
      </c>
      <c r="D1820" t="s">
        <v>25</v>
      </c>
      <c r="E1820" s="1">
        <v>45057</v>
      </c>
      <c r="F1820" s="1">
        <v>45065</v>
      </c>
      <c r="G1820" s="2">
        <v>34.6</v>
      </c>
      <c r="H1820" s="2">
        <v>319.66000000000003</v>
      </c>
      <c r="I1820" t="s">
        <v>15</v>
      </c>
      <c r="J1820" s="2">
        <v>2216</v>
      </c>
      <c r="K1820" s="2">
        <v>8</v>
      </c>
    </row>
    <row r="1821" spans="1:11" x14ac:dyDescent="0.25">
      <c r="A1821" t="s">
        <v>1867</v>
      </c>
      <c r="B1821" t="s">
        <v>23</v>
      </c>
      <c r="C1821" t="s">
        <v>81</v>
      </c>
      <c r="D1821" t="s">
        <v>18</v>
      </c>
      <c r="E1821" s="1">
        <v>44980</v>
      </c>
      <c r="F1821" s="1">
        <v>44986</v>
      </c>
      <c r="G1821" s="2">
        <v>35.299999999999997</v>
      </c>
      <c r="H1821" s="2">
        <v>314.52</v>
      </c>
      <c r="I1821" t="s">
        <v>15</v>
      </c>
      <c r="J1821" s="2">
        <v>1724</v>
      </c>
      <c r="K1821" s="2">
        <v>6</v>
      </c>
    </row>
    <row r="1822" spans="1:11" x14ac:dyDescent="0.25">
      <c r="A1822" t="s">
        <v>1868</v>
      </c>
      <c r="B1822" t="s">
        <v>27</v>
      </c>
      <c r="C1822" t="s">
        <v>70</v>
      </c>
      <c r="D1822" t="s">
        <v>59</v>
      </c>
      <c r="E1822" s="1">
        <v>45037</v>
      </c>
      <c r="F1822" s="1">
        <v>45043</v>
      </c>
      <c r="G1822" s="2">
        <v>5.3</v>
      </c>
      <c r="H1822" s="2">
        <v>263.08</v>
      </c>
      <c r="I1822" t="s">
        <v>15</v>
      </c>
      <c r="J1822" s="2">
        <v>2362</v>
      </c>
      <c r="K1822" s="2">
        <v>6</v>
      </c>
    </row>
    <row r="1823" spans="1:11" x14ac:dyDescent="0.25">
      <c r="A1823" t="s">
        <v>1869</v>
      </c>
      <c r="B1823" t="s">
        <v>12</v>
      </c>
      <c r="C1823" t="s">
        <v>40</v>
      </c>
      <c r="D1823" t="s">
        <v>25</v>
      </c>
      <c r="E1823" s="1">
        <v>45012</v>
      </c>
      <c r="F1823" s="1">
        <v>45017</v>
      </c>
      <c r="G1823" s="2">
        <v>32.1</v>
      </c>
      <c r="H1823" s="2">
        <v>323.02999999999997</v>
      </c>
      <c r="I1823" t="s">
        <v>15</v>
      </c>
      <c r="J1823" s="2">
        <v>2360</v>
      </c>
      <c r="K1823" s="2">
        <v>5</v>
      </c>
    </row>
    <row r="1824" spans="1:11" x14ac:dyDescent="0.25">
      <c r="A1824" t="s">
        <v>1870</v>
      </c>
      <c r="B1824" t="s">
        <v>30</v>
      </c>
      <c r="C1824" t="s">
        <v>46</v>
      </c>
      <c r="D1824" t="s">
        <v>25</v>
      </c>
      <c r="E1824" s="1">
        <v>44989</v>
      </c>
      <c r="F1824" s="1">
        <v>44995</v>
      </c>
      <c r="G1824" s="2">
        <v>17.100000000000001</v>
      </c>
      <c r="H1824" s="2">
        <v>302.85000000000002</v>
      </c>
      <c r="I1824" t="s">
        <v>15</v>
      </c>
      <c r="J1824" s="2">
        <v>2450</v>
      </c>
      <c r="K1824" s="2">
        <v>6</v>
      </c>
    </row>
    <row r="1825" spans="1:11" x14ac:dyDescent="0.25">
      <c r="A1825" t="s">
        <v>1871</v>
      </c>
      <c r="B1825" t="s">
        <v>39</v>
      </c>
      <c r="C1825" t="s">
        <v>46</v>
      </c>
      <c r="D1825" t="s">
        <v>37</v>
      </c>
      <c r="E1825" s="1">
        <v>45047</v>
      </c>
      <c r="F1825" s="1">
        <v>45051</v>
      </c>
      <c r="G1825" s="2">
        <v>7.5</v>
      </c>
      <c r="H1825" s="2">
        <v>208.84</v>
      </c>
      <c r="I1825" t="s">
        <v>15</v>
      </c>
      <c r="J1825" s="2">
        <v>1642</v>
      </c>
      <c r="K1825" s="2">
        <v>4</v>
      </c>
    </row>
    <row r="1826" spans="1:11" x14ac:dyDescent="0.25">
      <c r="A1826" t="s">
        <v>1872</v>
      </c>
      <c r="B1826" t="s">
        <v>39</v>
      </c>
      <c r="C1826" t="s">
        <v>31</v>
      </c>
      <c r="D1826" t="s">
        <v>59</v>
      </c>
      <c r="E1826" s="1">
        <v>44977</v>
      </c>
      <c r="F1826" s="1">
        <v>44984</v>
      </c>
      <c r="G1826" s="2">
        <v>89.4</v>
      </c>
      <c r="H1826" s="2">
        <v>267.14</v>
      </c>
      <c r="I1826" t="s">
        <v>15</v>
      </c>
      <c r="J1826" s="2">
        <v>1548</v>
      </c>
      <c r="K1826" s="2">
        <v>7</v>
      </c>
    </row>
    <row r="1827" spans="1:11" x14ac:dyDescent="0.25">
      <c r="A1827" t="s">
        <v>1873</v>
      </c>
      <c r="B1827" t="s">
        <v>39</v>
      </c>
      <c r="C1827" t="s">
        <v>24</v>
      </c>
      <c r="D1827" t="s">
        <v>37</v>
      </c>
      <c r="E1827" s="1">
        <v>45287</v>
      </c>
      <c r="F1827" s="1">
        <v>45299</v>
      </c>
      <c r="G1827" s="2">
        <v>16.7</v>
      </c>
      <c r="H1827" s="2">
        <v>336.83</v>
      </c>
      <c r="I1827" t="s">
        <v>47</v>
      </c>
      <c r="J1827" s="2">
        <v>2305</v>
      </c>
      <c r="K1827" s="2">
        <v>8</v>
      </c>
    </row>
    <row r="1828" spans="1:11" x14ac:dyDescent="0.25">
      <c r="A1828" t="s">
        <v>1874</v>
      </c>
      <c r="B1828" t="s">
        <v>12</v>
      </c>
      <c r="C1828" t="s">
        <v>44</v>
      </c>
      <c r="D1828" t="s">
        <v>32</v>
      </c>
      <c r="E1828" s="1">
        <v>45057</v>
      </c>
      <c r="F1828" s="1">
        <v>45061</v>
      </c>
      <c r="G1828" s="2">
        <v>17.8</v>
      </c>
      <c r="H1828" s="2">
        <v>263.77</v>
      </c>
      <c r="I1828" t="s">
        <v>15</v>
      </c>
      <c r="J1828" s="2">
        <v>1657</v>
      </c>
      <c r="K1828" s="2">
        <v>4</v>
      </c>
    </row>
    <row r="1829" spans="1:11" x14ac:dyDescent="0.25">
      <c r="A1829" t="s">
        <v>1875</v>
      </c>
      <c r="B1829" t="s">
        <v>51</v>
      </c>
      <c r="C1829" t="s">
        <v>57</v>
      </c>
      <c r="D1829" t="s">
        <v>14</v>
      </c>
      <c r="E1829" s="1">
        <v>45197</v>
      </c>
      <c r="F1829" s="1">
        <v>45202</v>
      </c>
      <c r="G1829" s="2">
        <v>19.8</v>
      </c>
      <c r="H1829" s="2">
        <v>253.63</v>
      </c>
      <c r="I1829" t="s">
        <v>15</v>
      </c>
      <c r="J1829" s="2">
        <v>1855</v>
      </c>
      <c r="K1829" s="2">
        <v>5</v>
      </c>
    </row>
    <row r="1830" spans="1:11" x14ac:dyDescent="0.25">
      <c r="A1830" t="s">
        <v>1876</v>
      </c>
      <c r="B1830" t="s">
        <v>51</v>
      </c>
      <c r="C1830" t="s">
        <v>24</v>
      </c>
      <c r="D1830" t="s">
        <v>59</v>
      </c>
      <c r="E1830" s="1">
        <v>45248</v>
      </c>
      <c r="F1830" s="1">
        <v>45252</v>
      </c>
      <c r="G1830" s="2">
        <v>35.9</v>
      </c>
      <c r="H1830" s="2">
        <v>220.77</v>
      </c>
      <c r="I1830" t="s">
        <v>15</v>
      </c>
      <c r="J1830" s="2">
        <v>1360</v>
      </c>
      <c r="K1830" s="2">
        <v>4</v>
      </c>
    </row>
    <row r="1831" spans="1:11" x14ac:dyDescent="0.25">
      <c r="A1831" t="s">
        <v>1877</v>
      </c>
      <c r="B1831" t="s">
        <v>27</v>
      </c>
      <c r="C1831" t="s">
        <v>36</v>
      </c>
      <c r="D1831" t="s">
        <v>32</v>
      </c>
      <c r="E1831" s="1">
        <v>45147</v>
      </c>
      <c r="F1831" s="1">
        <v>45148</v>
      </c>
      <c r="G1831" s="2">
        <v>27.9</v>
      </c>
      <c r="H1831" s="2">
        <v>59.52</v>
      </c>
      <c r="I1831" t="s">
        <v>15</v>
      </c>
      <c r="J1831" s="2">
        <v>139</v>
      </c>
      <c r="K1831" s="2">
        <v>1</v>
      </c>
    </row>
    <row r="1832" spans="1:11" x14ac:dyDescent="0.25">
      <c r="A1832" t="s">
        <v>1878</v>
      </c>
      <c r="B1832" t="s">
        <v>20</v>
      </c>
      <c r="C1832" t="s">
        <v>36</v>
      </c>
      <c r="D1832" t="s">
        <v>59</v>
      </c>
      <c r="E1832" s="1">
        <v>45251</v>
      </c>
      <c r="F1832" s="1">
        <v>45254</v>
      </c>
      <c r="G1832" s="2">
        <v>82.7</v>
      </c>
      <c r="H1832" s="2">
        <v>243.19</v>
      </c>
      <c r="I1832" t="s">
        <v>15</v>
      </c>
      <c r="J1832" s="2">
        <v>1023</v>
      </c>
      <c r="K1832" s="2">
        <v>3</v>
      </c>
    </row>
    <row r="1833" spans="1:11" x14ac:dyDescent="0.25">
      <c r="A1833" t="s">
        <v>1879</v>
      </c>
      <c r="B1833" t="s">
        <v>49</v>
      </c>
      <c r="C1833" t="s">
        <v>54</v>
      </c>
      <c r="D1833" t="s">
        <v>37</v>
      </c>
      <c r="E1833" s="1">
        <v>45102</v>
      </c>
      <c r="F1833" s="1">
        <v>45108</v>
      </c>
      <c r="G1833" s="2">
        <v>39.1</v>
      </c>
      <c r="H1833" s="2">
        <v>273.41000000000003</v>
      </c>
      <c r="I1833" t="s">
        <v>15</v>
      </c>
      <c r="J1833" s="2">
        <v>2104</v>
      </c>
      <c r="K1833" s="2">
        <v>6</v>
      </c>
    </row>
    <row r="1834" spans="1:11" x14ac:dyDescent="0.25">
      <c r="A1834" t="s">
        <v>1880</v>
      </c>
      <c r="B1834" t="s">
        <v>27</v>
      </c>
      <c r="C1834" t="s">
        <v>28</v>
      </c>
      <c r="D1834" t="s">
        <v>37</v>
      </c>
      <c r="E1834" s="1">
        <v>44932</v>
      </c>
      <c r="F1834" s="1">
        <v>44934</v>
      </c>
      <c r="G1834" s="2">
        <v>26.2</v>
      </c>
      <c r="H1834" s="2">
        <v>48.64</v>
      </c>
      <c r="I1834" t="s">
        <v>60</v>
      </c>
      <c r="J1834" s="2">
        <v>116</v>
      </c>
      <c r="K1834" s="2">
        <v>2</v>
      </c>
    </row>
    <row r="1835" spans="1:11" x14ac:dyDescent="0.25">
      <c r="A1835" t="s">
        <v>1881</v>
      </c>
      <c r="B1835" t="s">
        <v>12</v>
      </c>
      <c r="C1835" t="s">
        <v>81</v>
      </c>
      <c r="D1835" t="s">
        <v>42</v>
      </c>
      <c r="E1835" s="1">
        <v>45285</v>
      </c>
      <c r="F1835" s="1">
        <v>45290</v>
      </c>
      <c r="G1835" s="2">
        <v>20.399999999999999</v>
      </c>
      <c r="H1835" s="2">
        <v>281.08</v>
      </c>
      <c r="I1835" t="s">
        <v>15</v>
      </c>
      <c r="J1835" s="2">
        <v>1809</v>
      </c>
      <c r="K1835" s="2">
        <v>5</v>
      </c>
    </row>
    <row r="1836" spans="1:11" x14ac:dyDescent="0.25">
      <c r="A1836" t="s">
        <v>1882</v>
      </c>
      <c r="B1836" t="s">
        <v>23</v>
      </c>
      <c r="C1836" t="s">
        <v>40</v>
      </c>
      <c r="D1836" t="s">
        <v>59</v>
      </c>
      <c r="E1836" s="1">
        <v>45214</v>
      </c>
      <c r="F1836" s="1">
        <v>45217</v>
      </c>
      <c r="G1836" s="2">
        <v>4.8</v>
      </c>
      <c r="H1836" s="2">
        <v>173.28</v>
      </c>
      <c r="I1836" t="s">
        <v>15</v>
      </c>
      <c r="J1836" s="2">
        <v>1478</v>
      </c>
      <c r="K1836" s="2">
        <v>3</v>
      </c>
    </row>
    <row r="1837" spans="1:11" x14ac:dyDescent="0.25">
      <c r="A1837" t="s">
        <v>1883</v>
      </c>
      <c r="B1837" t="s">
        <v>23</v>
      </c>
      <c r="C1837" t="s">
        <v>36</v>
      </c>
      <c r="D1837" t="s">
        <v>59</v>
      </c>
      <c r="E1837" s="1">
        <v>45036</v>
      </c>
      <c r="F1837" s="1">
        <v>45042</v>
      </c>
      <c r="G1837" s="2">
        <v>6.4</v>
      </c>
      <c r="H1837" s="2">
        <v>219.55</v>
      </c>
      <c r="I1837" t="s">
        <v>15</v>
      </c>
      <c r="J1837" s="2">
        <v>1811</v>
      </c>
      <c r="K1837" s="2">
        <v>6</v>
      </c>
    </row>
    <row r="1838" spans="1:11" x14ac:dyDescent="0.25">
      <c r="A1838" t="s">
        <v>1884</v>
      </c>
      <c r="B1838" t="s">
        <v>39</v>
      </c>
      <c r="C1838" t="s">
        <v>54</v>
      </c>
      <c r="D1838" t="s">
        <v>42</v>
      </c>
      <c r="E1838" s="1">
        <v>45105</v>
      </c>
      <c r="F1838" s="1">
        <v>45109</v>
      </c>
      <c r="G1838" s="2">
        <v>25.4</v>
      </c>
      <c r="H1838" s="2">
        <v>171.77</v>
      </c>
      <c r="I1838" t="s">
        <v>15</v>
      </c>
      <c r="J1838" s="2">
        <v>1145</v>
      </c>
      <c r="K1838" s="2">
        <v>4</v>
      </c>
    </row>
    <row r="1839" spans="1:11" x14ac:dyDescent="0.25">
      <c r="A1839" t="s">
        <v>1885</v>
      </c>
      <c r="B1839" t="s">
        <v>27</v>
      </c>
      <c r="C1839" t="s">
        <v>70</v>
      </c>
      <c r="D1839" t="s">
        <v>42</v>
      </c>
      <c r="E1839" s="1">
        <v>45232</v>
      </c>
      <c r="F1839" s="1">
        <v>45237</v>
      </c>
      <c r="G1839" s="2">
        <v>15.2</v>
      </c>
      <c r="H1839" s="2">
        <v>322.73</v>
      </c>
      <c r="I1839" t="s">
        <v>15</v>
      </c>
      <c r="J1839" s="2">
        <v>2106</v>
      </c>
      <c r="K1839" s="2">
        <v>5</v>
      </c>
    </row>
    <row r="1840" spans="1:11" x14ac:dyDescent="0.25">
      <c r="A1840" t="s">
        <v>1886</v>
      </c>
      <c r="B1840" t="s">
        <v>27</v>
      </c>
      <c r="C1840" t="s">
        <v>21</v>
      </c>
      <c r="D1840" t="s">
        <v>14</v>
      </c>
      <c r="E1840" s="1">
        <v>45234</v>
      </c>
      <c r="F1840" s="1">
        <v>45236</v>
      </c>
      <c r="G1840" s="2">
        <v>19.5</v>
      </c>
      <c r="H1840" s="2">
        <v>123.49</v>
      </c>
      <c r="I1840" t="s">
        <v>15</v>
      </c>
      <c r="J1840" s="2">
        <v>629</v>
      </c>
      <c r="K1840" s="2">
        <v>2</v>
      </c>
    </row>
    <row r="1841" spans="1:11" x14ac:dyDescent="0.25">
      <c r="A1841" t="s">
        <v>1887</v>
      </c>
      <c r="B1841" t="s">
        <v>30</v>
      </c>
      <c r="C1841" t="s">
        <v>36</v>
      </c>
      <c r="D1841" t="s">
        <v>32</v>
      </c>
      <c r="E1841" s="1">
        <v>45146</v>
      </c>
      <c r="F1841" s="1">
        <v>45150</v>
      </c>
      <c r="G1841" s="2">
        <v>25.1</v>
      </c>
      <c r="H1841" s="2">
        <v>296.48</v>
      </c>
      <c r="I1841" t="s">
        <v>15</v>
      </c>
      <c r="J1841" s="2">
        <v>1809</v>
      </c>
      <c r="K1841" s="2">
        <v>4</v>
      </c>
    </row>
    <row r="1842" spans="1:11" x14ac:dyDescent="0.25">
      <c r="A1842" t="s">
        <v>1888</v>
      </c>
      <c r="B1842" t="s">
        <v>23</v>
      </c>
      <c r="C1842" t="s">
        <v>70</v>
      </c>
      <c r="D1842" t="s">
        <v>37</v>
      </c>
      <c r="E1842" s="1">
        <v>45254</v>
      </c>
      <c r="F1842" s="1">
        <v>45258</v>
      </c>
      <c r="G1842" s="2">
        <v>34</v>
      </c>
      <c r="H1842" s="2">
        <v>63.15</v>
      </c>
      <c r="I1842" t="s">
        <v>62</v>
      </c>
      <c r="J1842" s="2">
        <v>113</v>
      </c>
      <c r="K1842" s="2">
        <v>4</v>
      </c>
    </row>
    <row r="1843" spans="1:11" x14ac:dyDescent="0.25">
      <c r="A1843" t="s">
        <v>1889</v>
      </c>
      <c r="B1843" t="s">
        <v>30</v>
      </c>
      <c r="C1843" t="s">
        <v>28</v>
      </c>
      <c r="D1843" t="s">
        <v>18</v>
      </c>
      <c r="E1843" s="1">
        <v>44984</v>
      </c>
      <c r="F1843" s="1">
        <v>45002</v>
      </c>
      <c r="G1843" s="2">
        <v>25</v>
      </c>
      <c r="H1843" s="2">
        <v>381.58</v>
      </c>
      <c r="I1843" t="s">
        <v>47</v>
      </c>
      <c r="J1843" s="2">
        <v>2462</v>
      </c>
      <c r="K1843" s="2">
        <v>5</v>
      </c>
    </row>
    <row r="1844" spans="1:11" x14ac:dyDescent="0.25">
      <c r="A1844" t="s">
        <v>1890</v>
      </c>
      <c r="B1844" t="s">
        <v>39</v>
      </c>
      <c r="C1844" t="s">
        <v>40</v>
      </c>
      <c r="D1844" t="s">
        <v>25</v>
      </c>
      <c r="E1844" s="1">
        <v>45165</v>
      </c>
      <c r="F1844" s="1">
        <v>45168</v>
      </c>
      <c r="G1844" s="2">
        <v>5.3</v>
      </c>
      <c r="H1844" s="2">
        <v>73</v>
      </c>
      <c r="I1844" t="s">
        <v>15</v>
      </c>
      <c r="J1844" s="2">
        <v>503</v>
      </c>
      <c r="K1844" s="2">
        <v>3</v>
      </c>
    </row>
    <row r="1845" spans="1:11" x14ac:dyDescent="0.25">
      <c r="A1845" t="s">
        <v>1891</v>
      </c>
      <c r="B1845" t="s">
        <v>39</v>
      </c>
      <c r="C1845" t="s">
        <v>21</v>
      </c>
      <c r="D1845" t="s">
        <v>59</v>
      </c>
      <c r="E1845" s="1">
        <v>45001</v>
      </c>
      <c r="F1845" s="1">
        <v>45005</v>
      </c>
      <c r="G1845" s="2">
        <v>52</v>
      </c>
      <c r="H1845" s="2">
        <v>229.42</v>
      </c>
      <c r="I1845" t="s">
        <v>15</v>
      </c>
      <c r="J1845" s="2">
        <v>1460</v>
      </c>
      <c r="K1845" s="2">
        <v>4</v>
      </c>
    </row>
    <row r="1846" spans="1:11" x14ac:dyDescent="0.25">
      <c r="A1846" t="s">
        <v>1892</v>
      </c>
      <c r="B1846" t="s">
        <v>51</v>
      </c>
      <c r="C1846" t="s">
        <v>28</v>
      </c>
      <c r="D1846" t="s">
        <v>37</v>
      </c>
      <c r="E1846" s="1">
        <v>44941</v>
      </c>
      <c r="F1846" s="1">
        <v>44947</v>
      </c>
      <c r="G1846" s="2">
        <v>27.4</v>
      </c>
      <c r="I1846" t="s">
        <v>15</v>
      </c>
      <c r="J1846" s="2">
        <v>1518</v>
      </c>
      <c r="K1846" s="2">
        <v>6</v>
      </c>
    </row>
    <row r="1847" spans="1:11" x14ac:dyDescent="0.25">
      <c r="A1847" t="s">
        <v>1893</v>
      </c>
      <c r="B1847" t="s">
        <v>51</v>
      </c>
      <c r="C1847" t="s">
        <v>13</v>
      </c>
      <c r="D1847" t="s">
        <v>37</v>
      </c>
      <c r="E1847" s="1">
        <v>44941</v>
      </c>
      <c r="F1847" s="1">
        <v>44945</v>
      </c>
      <c r="G1847" s="2">
        <v>17.3</v>
      </c>
      <c r="H1847" s="2">
        <v>73.25</v>
      </c>
      <c r="I1847" t="s">
        <v>62</v>
      </c>
      <c r="J1847" s="2">
        <v>489</v>
      </c>
      <c r="K1847" s="2">
        <v>4</v>
      </c>
    </row>
    <row r="1848" spans="1:11" x14ac:dyDescent="0.25">
      <c r="A1848" t="s">
        <v>1894</v>
      </c>
      <c r="B1848" t="s">
        <v>56</v>
      </c>
      <c r="C1848" t="s">
        <v>81</v>
      </c>
      <c r="D1848" t="s">
        <v>37</v>
      </c>
      <c r="E1848" s="1">
        <v>45176</v>
      </c>
      <c r="F1848" s="1">
        <v>45178</v>
      </c>
      <c r="G1848" s="2">
        <v>38.9</v>
      </c>
      <c r="H1848" s="2">
        <v>101.69</v>
      </c>
      <c r="I1848" t="s">
        <v>15</v>
      </c>
      <c r="J1848" s="2">
        <v>491</v>
      </c>
      <c r="K1848" s="2">
        <v>2</v>
      </c>
    </row>
    <row r="1849" spans="1:11" x14ac:dyDescent="0.25">
      <c r="A1849" t="s">
        <v>1895</v>
      </c>
      <c r="B1849" t="s">
        <v>12</v>
      </c>
      <c r="C1849" t="s">
        <v>40</v>
      </c>
      <c r="D1849" t="s">
        <v>25</v>
      </c>
      <c r="E1849" s="1">
        <v>44975</v>
      </c>
      <c r="F1849" s="1">
        <v>44985</v>
      </c>
      <c r="G1849" s="2">
        <v>12.6</v>
      </c>
      <c r="H1849" s="2">
        <v>77.290000000000006</v>
      </c>
      <c r="I1849" t="s">
        <v>47</v>
      </c>
      <c r="J1849" s="2">
        <v>464</v>
      </c>
      <c r="K1849" s="2">
        <v>3</v>
      </c>
    </row>
    <row r="1850" spans="1:11" x14ac:dyDescent="0.25">
      <c r="A1850" t="s">
        <v>1896</v>
      </c>
      <c r="B1850" t="s">
        <v>30</v>
      </c>
      <c r="C1850" t="s">
        <v>57</v>
      </c>
      <c r="D1850" t="s">
        <v>37</v>
      </c>
      <c r="E1850" s="1">
        <v>45139</v>
      </c>
      <c r="F1850" s="1">
        <v>45153</v>
      </c>
      <c r="G1850" s="2">
        <v>79.599999999999994</v>
      </c>
      <c r="I1850" t="s">
        <v>47</v>
      </c>
      <c r="J1850" s="2">
        <v>1521</v>
      </c>
      <c r="K1850" s="2">
        <v>6</v>
      </c>
    </row>
    <row r="1851" spans="1:11" x14ac:dyDescent="0.25">
      <c r="A1851" t="s">
        <v>1897</v>
      </c>
      <c r="B1851" t="s">
        <v>35</v>
      </c>
      <c r="C1851" t="s">
        <v>17</v>
      </c>
      <c r="D1851" t="s">
        <v>18</v>
      </c>
      <c r="E1851" s="1">
        <v>45126</v>
      </c>
      <c r="F1851" s="1">
        <v>45131</v>
      </c>
      <c r="G1851" s="2">
        <v>7.7</v>
      </c>
      <c r="H1851" s="2">
        <v>272.22000000000003</v>
      </c>
      <c r="I1851" t="s">
        <v>15</v>
      </c>
      <c r="J1851" s="2">
        <v>1814</v>
      </c>
      <c r="K1851" s="2">
        <v>5</v>
      </c>
    </row>
    <row r="1852" spans="1:11" x14ac:dyDescent="0.25">
      <c r="A1852" t="s">
        <v>1898</v>
      </c>
      <c r="B1852" t="s">
        <v>49</v>
      </c>
      <c r="C1852" t="s">
        <v>36</v>
      </c>
      <c r="D1852" t="s">
        <v>42</v>
      </c>
      <c r="E1852" s="1">
        <v>45063</v>
      </c>
      <c r="F1852" s="1">
        <v>45069</v>
      </c>
      <c r="G1852" s="2">
        <v>16.600000000000001</v>
      </c>
      <c r="H1852" s="2">
        <v>261.31</v>
      </c>
      <c r="I1852" t="s">
        <v>15</v>
      </c>
      <c r="J1852" s="2">
        <v>2220</v>
      </c>
      <c r="K1852" s="2">
        <v>6</v>
      </c>
    </row>
    <row r="1853" spans="1:11" x14ac:dyDescent="0.25">
      <c r="A1853" t="s">
        <v>1899</v>
      </c>
      <c r="B1853" t="s">
        <v>51</v>
      </c>
      <c r="C1853" t="s">
        <v>36</v>
      </c>
      <c r="D1853" t="s">
        <v>59</v>
      </c>
      <c r="E1853" s="1">
        <v>45023</v>
      </c>
      <c r="F1853" s="1">
        <v>45029</v>
      </c>
      <c r="G1853" s="2">
        <v>20.8</v>
      </c>
      <c r="H1853" s="2">
        <v>289.2</v>
      </c>
      <c r="I1853" t="s">
        <v>15</v>
      </c>
      <c r="J1853" s="2">
        <v>2420</v>
      </c>
      <c r="K1853" s="2">
        <v>6</v>
      </c>
    </row>
    <row r="1854" spans="1:11" x14ac:dyDescent="0.25">
      <c r="A1854" t="s">
        <v>1900</v>
      </c>
      <c r="B1854" t="s">
        <v>27</v>
      </c>
      <c r="C1854" t="s">
        <v>17</v>
      </c>
      <c r="D1854" t="s">
        <v>37</v>
      </c>
      <c r="E1854" s="1">
        <v>44980</v>
      </c>
      <c r="F1854" s="1">
        <v>44987</v>
      </c>
      <c r="G1854" s="2">
        <v>6.6</v>
      </c>
      <c r="H1854" s="2">
        <v>81.819999999999993</v>
      </c>
      <c r="I1854" t="s">
        <v>47</v>
      </c>
      <c r="J1854" s="2">
        <v>613</v>
      </c>
      <c r="K1854" s="2">
        <v>5</v>
      </c>
    </row>
    <row r="1855" spans="1:11" x14ac:dyDescent="0.25">
      <c r="A1855" t="s">
        <v>1901</v>
      </c>
      <c r="B1855" t="s">
        <v>23</v>
      </c>
      <c r="C1855" t="s">
        <v>13</v>
      </c>
      <c r="D1855" t="s">
        <v>42</v>
      </c>
      <c r="E1855" s="1">
        <v>45145</v>
      </c>
      <c r="F1855" s="1">
        <v>45151</v>
      </c>
      <c r="G1855" s="2">
        <v>21.5</v>
      </c>
      <c r="H1855" s="2">
        <v>293.41000000000003</v>
      </c>
      <c r="I1855" t="s">
        <v>15</v>
      </c>
      <c r="J1855" s="2">
        <v>2170</v>
      </c>
      <c r="K1855" s="2">
        <v>6</v>
      </c>
    </row>
    <row r="1856" spans="1:11" x14ac:dyDescent="0.25">
      <c r="A1856" t="s">
        <v>1902</v>
      </c>
      <c r="B1856" t="s">
        <v>12</v>
      </c>
      <c r="C1856" t="s">
        <v>70</v>
      </c>
      <c r="D1856" t="s">
        <v>18</v>
      </c>
      <c r="E1856" s="1">
        <v>45134</v>
      </c>
      <c r="F1856" s="1">
        <v>45136</v>
      </c>
      <c r="G1856" s="2">
        <v>13.7</v>
      </c>
      <c r="H1856" s="2">
        <v>87.28</v>
      </c>
      <c r="I1856" t="s">
        <v>15</v>
      </c>
      <c r="J1856" s="2">
        <v>451</v>
      </c>
      <c r="K1856" s="2">
        <v>2</v>
      </c>
    </row>
    <row r="1857" spans="1:11" x14ac:dyDescent="0.25">
      <c r="A1857" t="s">
        <v>1903</v>
      </c>
      <c r="B1857" t="s">
        <v>51</v>
      </c>
      <c r="C1857" t="s">
        <v>28</v>
      </c>
      <c r="D1857" t="s">
        <v>37</v>
      </c>
      <c r="E1857" s="1">
        <v>45281</v>
      </c>
      <c r="F1857" s="1">
        <v>45299</v>
      </c>
      <c r="G1857" s="2">
        <v>16</v>
      </c>
      <c r="H1857" s="2">
        <v>158.75</v>
      </c>
      <c r="I1857" t="s">
        <v>47</v>
      </c>
      <c r="J1857" s="2">
        <v>1052</v>
      </c>
      <c r="K1857" s="2">
        <v>7</v>
      </c>
    </row>
    <row r="1858" spans="1:11" x14ac:dyDescent="0.25">
      <c r="A1858" t="s">
        <v>1904</v>
      </c>
      <c r="B1858" t="s">
        <v>49</v>
      </c>
      <c r="C1858" t="s">
        <v>36</v>
      </c>
      <c r="D1858" t="s">
        <v>59</v>
      </c>
      <c r="E1858" s="1">
        <v>44953</v>
      </c>
      <c r="F1858" s="1">
        <v>44965</v>
      </c>
      <c r="G1858" s="2">
        <v>20</v>
      </c>
      <c r="H1858" s="2">
        <v>63.36</v>
      </c>
      <c r="I1858" t="s">
        <v>47</v>
      </c>
      <c r="J1858" s="2">
        <v>379</v>
      </c>
      <c r="K1858" s="2">
        <v>2</v>
      </c>
    </row>
    <row r="1859" spans="1:11" x14ac:dyDescent="0.25">
      <c r="A1859" t="s">
        <v>1905</v>
      </c>
      <c r="B1859" t="s">
        <v>30</v>
      </c>
      <c r="C1859" t="s">
        <v>52</v>
      </c>
      <c r="D1859" t="s">
        <v>18</v>
      </c>
      <c r="E1859" s="1">
        <v>44997</v>
      </c>
      <c r="F1859" s="1">
        <v>45002</v>
      </c>
      <c r="G1859" s="2">
        <v>4.2</v>
      </c>
      <c r="H1859" s="2">
        <v>266.62</v>
      </c>
      <c r="I1859" t="s">
        <v>15</v>
      </c>
      <c r="J1859" s="2">
        <v>1931</v>
      </c>
      <c r="K1859" s="2">
        <v>5</v>
      </c>
    </row>
    <row r="1860" spans="1:11" x14ac:dyDescent="0.25">
      <c r="A1860" t="s">
        <v>1906</v>
      </c>
      <c r="B1860" t="s">
        <v>30</v>
      </c>
      <c r="C1860" t="s">
        <v>57</v>
      </c>
      <c r="D1860" t="s">
        <v>14</v>
      </c>
      <c r="E1860" s="1">
        <v>45068</v>
      </c>
      <c r="F1860" s="1">
        <v>45076</v>
      </c>
      <c r="G1860" s="2">
        <v>12.4</v>
      </c>
      <c r="H1860" s="2">
        <v>345.97</v>
      </c>
      <c r="I1860" t="s">
        <v>15</v>
      </c>
      <c r="J1860" s="2">
        <v>2449</v>
      </c>
      <c r="K1860" s="2">
        <v>8</v>
      </c>
    </row>
    <row r="1861" spans="1:11" x14ac:dyDescent="0.25">
      <c r="A1861" t="s">
        <v>1907</v>
      </c>
      <c r="B1861" t="s">
        <v>39</v>
      </c>
      <c r="C1861" t="s">
        <v>17</v>
      </c>
      <c r="D1861" t="s">
        <v>59</v>
      </c>
      <c r="E1861" s="1">
        <v>44964</v>
      </c>
      <c r="F1861" s="1">
        <v>44968</v>
      </c>
      <c r="G1861" s="2">
        <v>15.6</v>
      </c>
      <c r="H1861" s="2">
        <v>116.02</v>
      </c>
      <c r="I1861" t="s">
        <v>15</v>
      </c>
      <c r="J1861" s="2">
        <v>800</v>
      </c>
      <c r="K1861" s="2">
        <v>4</v>
      </c>
    </row>
    <row r="1862" spans="1:11" x14ac:dyDescent="0.25">
      <c r="A1862" t="s">
        <v>1908</v>
      </c>
      <c r="B1862" t="s">
        <v>27</v>
      </c>
      <c r="C1862" t="s">
        <v>28</v>
      </c>
      <c r="D1862" t="s">
        <v>59</v>
      </c>
      <c r="E1862" s="1">
        <v>45130</v>
      </c>
      <c r="F1862" s="1">
        <v>45133</v>
      </c>
      <c r="G1862" s="2">
        <v>43.4</v>
      </c>
      <c r="H1862" s="2">
        <v>196.44</v>
      </c>
      <c r="I1862" t="s">
        <v>15</v>
      </c>
      <c r="J1862" s="2">
        <v>1323</v>
      </c>
      <c r="K1862" s="2">
        <v>3</v>
      </c>
    </row>
    <row r="1863" spans="1:11" x14ac:dyDescent="0.25">
      <c r="A1863" t="s">
        <v>1909</v>
      </c>
      <c r="B1863" t="s">
        <v>49</v>
      </c>
      <c r="C1863" t="s">
        <v>40</v>
      </c>
      <c r="D1863" t="s">
        <v>25</v>
      </c>
      <c r="E1863" s="1">
        <v>45077</v>
      </c>
      <c r="F1863" s="1">
        <v>45082</v>
      </c>
      <c r="G1863" s="2">
        <v>46.6</v>
      </c>
      <c r="H1863" s="2">
        <v>122.94</v>
      </c>
      <c r="I1863" t="s">
        <v>15</v>
      </c>
      <c r="J1863" s="2">
        <v>510</v>
      </c>
      <c r="K1863" s="2">
        <v>5</v>
      </c>
    </row>
    <row r="1864" spans="1:11" x14ac:dyDescent="0.25">
      <c r="A1864" t="s">
        <v>1910</v>
      </c>
      <c r="B1864" t="s">
        <v>51</v>
      </c>
      <c r="C1864" t="s">
        <v>13</v>
      </c>
      <c r="D1864" t="s">
        <v>59</v>
      </c>
      <c r="E1864" s="1">
        <v>45254</v>
      </c>
      <c r="F1864" s="1">
        <v>45257</v>
      </c>
      <c r="G1864" s="2">
        <v>9.5</v>
      </c>
      <c r="H1864" s="2">
        <v>76.52</v>
      </c>
      <c r="I1864" t="s">
        <v>15</v>
      </c>
      <c r="J1864" s="2">
        <v>465</v>
      </c>
      <c r="K1864" s="2">
        <v>3</v>
      </c>
    </row>
    <row r="1865" spans="1:11" x14ac:dyDescent="0.25">
      <c r="A1865" t="s">
        <v>1911</v>
      </c>
      <c r="B1865" t="s">
        <v>20</v>
      </c>
      <c r="C1865" t="s">
        <v>44</v>
      </c>
      <c r="D1865" t="s">
        <v>25</v>
      </c>
      <c r="E1865" s="1">
        <v>44940</v>
      </c>
      <c r="F1865" s="1">
        <v>44944</v>
      </c>
      <c r="G1865" s="2">
        <v>16.100000000000001</v>
      </c>
      <c r="H1865" s="2">
        <v>105.58</v>
      </c>
      <c r="I1865" t="s">
        <v>15</v>
      </c>
      <c r="J1865" s="2">
        <v>664</v>
      </c>
      <c r="K1865" s="2">
        <v>4</v>
      </c>
    </row>
    <row r="1866" spans="1:11" x14ac:dyDescent="0.25">
      <c r="A1866" t="s">
        <v>1912</v>
      </c>
      <c r="B1866" t="s">
        <v>27</v>
      </c>
      <c r="C1866" t="s">
        <v>31</v>
      </c>
      <c r="D1866" t="s">
        <v>32</v>
      </c>
      <c r="E1866" s="1">
        <v>45118</v>
      </c>
      <c r="F1866" s="1">
        <v>45124</v>
      </c>
      <c r="G1866" s="2">
        <v>88.9</v>
      </c>
      <c r="H1866" s="2">
        <v>424.24</v>
      </c>
      <c r="I1866" t="s">
        <v>15</v>
      </c>
      <c r="J1866" s="2">
        <v>2356</v>
      </c>
      <c r="K1866" s="2">
        <v>6</v>
      </c>
    </row>
    <row r="1867" spans="1:11" x14ac:dyDescent="0.25">
      <c r="A1867" t="s">
        <v>1913</v>
      </c>
      <c r="B1867" t="s">
        <v>12</v>
      </c>
      <c r="C1867" t="s">
        <v>31</v>
      </c>
      <c r="D1867" t="s">
        <v>59</v>
      </c>
      <c r="E1867" s="1">
        <v>45081</v>
      </c>
      <c r="F1867" s="1">
        <v>45084</v>
      </c>
      <c r="G1867" s="2">
        <v>24.8</v>
      </c>
      <c r="H1867" s="2">
        <v>140.88</v>
      </c>
      <c r="I1867" t="s">
        <v>60</v>
      </c>
      <c r="J1867" s="2">
        <v>944</v>
      </c>
      <c r="K1867" s="2">
        <v>3</v>
      </c>
    </row>
    <row r="1868" spans="1:11" x14ac:dyDescent="0.25">
      <c r="A1868" t="s">
        <v>1914</v>
      </c>
      <c r="B1868" t="s">
        <v>20</v>
      </c>
      <c r="C1868" t="s">
        <v>81</v>
      </c>
      <c r="D1868" t="s">
        <v>37</v>
      </c>
      <c r="E1868" s="1">
        <v>45227</v>
      </c>
      <c r="F1868" s="1">
        <v>45235</v>
      </c>
      <c r="G1868" s="2">
        <v>18.100000000000001</v>
      </c>
      <c r="H1868" s="2">
        <v>242.86</v>
      </c>
      <c r="I1868" t="s">
        <v>15</v>
      </c>
      <c r="J1868" s="2">
        <v>1746</v>
      </c>
      <c r="K1868" s="2">
        <v>8</v>
      </c>
    </row>
    <row r="1869" spans="1:11" x14ac:dyDescent="0.25">
      <c r="A1869" t="s">
        <v>1915</v>
      </c>
      <c r="B1869" t="s">
        <v>39</v>
      </c>
      <c r="C1869" t="s">
        <v>36</v>
      </c>
      <c r="D1869" t="s">
        <v>42</v>
      </c>
      <c r="E1869" s="1">
        <v>44992</v>
      </c>
      <c r="F1869" s="1">
        <v>44996</v>
      </c>
      <c r="G1869" s="2">
        <v>29.7</v>
      </c>
      <c r="H1869" s="2">
        <v>271.76</v>
      </c>
      <c r="I1869" t="s">
        <v>15</v>
      </c>
      <c r="J1869" s="2">
        <v>2067</v>
      </c>
      <c r="K1869" s="2">
        <v>4</v>
      </c>
    </row>
    <row r="1870" spans="1:11" x14ac:dyDescent="0.25">
      <c r="A1870" t="s">
        <v>1916</v>
      </c>
      <c r="B1870" t="s">
        <v>23</v>
      </c>
      <c r="C1870" t="s">
        <v>46</v>
      </c>
      <c r="D1870" t="s">
        <v>32</v>
      </c>
      <c r="E1870" s="1">
        <v>45047</v>
      </c>
      <c r="F1870" s="1">
        <v>45051</v>
      </c>
      <c r="G1870" s="2">
        <v>5404.2</v>
      </c>
      <c r="H1870" s="2">
        <v>226.51</v>
      </c>
      <c r="I1870" t="s">
        <v>15</v>
      </c>
      <c r="J1870" s="2">
        <v>1053</v>
      </c>
      <c r="K1870" s="2">
        <v>4</v>
      </c>
    </row>
    <row r="1871" spans="1:11" x14ac:dyDescent="0.25">
      <c r="A1871" t="s">
        <v>1917</v>
      </c>
      <c r="B1871" t="s">
        <v>35</v>
      </c>
      <c r="C1871" t="s">
        <v>70</v>
      </c>
      <c r="D1871" t="s">
        <v>25</v>
      </c>
      <c r="E1871" s="1">
        <v>45202</v>
      </c>
      <c r="F1871" s="1">
        <v>45204</v>
      </c>
      <c r="G1871" s="2">
        <v>32.200000000000003</v>
      </c>
      <c r="H1871" s="2">
        <v>96.92</v>
      </c>
      <c r="I1871" t="s">
        <v>15</v>
      </c>
      <c r="J1871" s="2">
        <v>447</v>
      </c>
      <c r="K1871" s="2">
        <v>2</v>
      </c>
    </row>
    <row r="1872" spans="1:11" x14ac:dyDescent="0.25">
      <c r="A1872" t="s">
        <v>1918</v>
      </c>
      <c r="B1872" t="s">
        <v>56</v>
      </c>
      <c r="C1872" t="s">
        <v>21</v>
      </c>
      <c r="D1872" t="s">
        <v>25</v>
      </c>
      <c r="E1872" s="1">
        <v>44932</v>
      </c>
      <c r="F1872" s="1">
        <v>44936</v>
      </c>
      <c r="G1872" s="2">
        <v>119.7</v>
      </c>
      <c r="H1872" s="2">
        <v>390.46</v>
      </c>
      <c r="I1872" t="s">
        <v>15</v>
      </c>
      <c r="J1872" s="2">
        <v>1834</v>
      </c>
      <c r="K1872" s="2">
        <v>4</v>
      </c>
    </row>
    <row r="1873" spans="1:11" x14ac:dyDescent="0.25">
      <c r="A1873" t="s">
        <v>1919</v>
      </c>
      <c r="B1873" t="s">
        <v>23</v>
      </c>
      <c r="C1873" t="s">
        <v>44</v>
      </c>
      <c r="D1873" t="s">
        <v>25</v>
      </c>
      <c r="E1873" s="1">
        <v>45159</v>
      </c>
      <c r="F1873" s="1">
        <v>45162</v>
      </c>
      <c r="G1873" s="2">
        <v>28.4</v>
      </c>
      <c r="H1873" s="2">
        <v>117.74</v>
      </c>
      <c r="I1873" t="s">
        <v>62</v>
      </c>
      <c r="J1873" s="2">
        <v>677</v>
      </c>
      <c r="K1873" s="2">
        <v>3</v>
      </c>
    </row>
    <row r="1874" spans="1:11" x14ac:dyDescent="0.25">
      <c r="A1874" t="s">
        <v>1920</v>
      </c>
      <c r="B1874" t="s">
        <v>20</v>
      </c>
      <c r="C1874" t="s">
        <v>31</v>
      </c>
      <c r="D1874" t="s">
        <v>42</v>
      </c>
      <c r="E1874" s="1">
        <v>45235</v>
      </c>
      <c r="F1874" s="1">
        <v>45241</v>
      </c>
      <c r="G1874" s="2">
        <v>17.3</v>
      </c>
      <c r="H1874" s="2">
        <v>309.39</v>
      </c>
      <c r="I1874" t="s">
        <v>15</v>
      </c>
      <c r="J1874" s="2">
        <v>1780</v>
      </c>
      <c r="K1874" s="2">
        <v>6</v>
      </c>
    </row>
    <row r="1875" spans="1:11" x14ac:dyDescent="0.25">
      <c r="A1875" t="s">
        <v>1921</v>
      </c>
      <c r="B1875" t="s">
        <v>35</v>
      </c>
      <c r="C1875" t="s">
        <v>40</v>
      </c>
      <c r="D1875" t="s">
        <v>14</v>
      </c>
      <c r="E1875" s="1">
        <v>45261</v>
      </c>
      <c r="F1875" s="1">
        <v>45263</v>
      </c>
      <c r="G1875" s="2">
        <v>13.8</v>
      </c>
      <c r="H1875" s="2">
        <v>63.06</v>
      </c>
      <c r="I1875" t="s">
        <v>15</v>
      </c>
      <c r="J1875" s="2">
        <v>283</v>
      </c>
      <c r="K1875" s="2">
        <v>2</v>
      </c>
    </row>
    <row r="1876" spans="1:11" x14ac:dyDescent="0.25">
      <c r="A1876" t="s">
        <v>1922</v>
      </c>
      <c r="B1876" t="s">
        <v>30</v>
      </c>
      <c r="C1876" t="s">
        <v>21</v>
      </c>
      <c r="D1876" t="s">
        <v>25</v>
      </c>
      <c r="E1876" s="1">
        <v>45126</v>
      </c>
      <c r="F1876" s="1">
        <v>45131</v>
      </c>
      <c r="G1876" s="2">
        <v>79.3</v>
      </c>
      <c r="H1876" s="2">
        <v>348.67</v>
      </c>
      <c r="I1876" t="s">
        <v>15</v>
      </c>
      <c r="J1876" s="2">
        <v>2393</v>
      </c>
      <c r="K1876" s="2">
        <v>5</v>
      </c>
    </row>
    <row r="1877" spans="1:11" x14ac:dyDescent="0.25">
      <c r="A1877" t="s">
        <v>1923</v>
      </c>
      <c r="B1877" t="s">
        <v>35</v>
      </c>
      <c r="C1877" t="s">
        <v>81</v>
      </c>
      <c r="D1877" t="s">
        <v>14</v>
      </c>
      <c r="E1877" s="1">
        <v>45224</v>
      </c>
      <c r="F1877" s="1">
        <v>45229</v>
      </c>
      <c r="G1877" s="2">
        <v>5.9</v>
      </c>
      <c r="H1877" s="2">
        <v>145.47</v>
      </c>
      <c r="I1877" t="s">
        <v>15</v>
      </c>
      <c r="J1877" s="2">
        <v>1000</v>
      </c>
      <c r="K1877" s="2">
        <v>5</v>
      </c>
    </row>
    <row r="1878" spans="1:11" x14ac:dyDescent="0.25">
      <c r="A1878" t="s">
        <v>1924</v>
      </c>
      <c r="B1878" t="s">
        <v>51</v>
      </c>
      <c r="C1878" t="s">
        <v>28</v>
      </c>
      <c r="D1878" t="s">
        <v>18</v>
      </c>
      <c r="E1878" s="1">
        <v>45033</v>
      </c>
      <c r="F1878" s="1">
        <v>45034</v>
      </c>
      <c r="G1878" s="2">
        <v>26.2</v>
      </c>
      <c r="H1878" s="2">
        <v>86.35</v>
      </c>
      <c r="I1878" t="s">
        <v>15</v>
      </c>
      <c r="J1878" s="2">
        <v>351</v>
      </c>
      <c r="K1878" s="2">
        <v>1</v>
      </c>
    </row>
    <row r="1879" spans="1:11" x14ac:dyDescent="0.25">
      <c r="A1879" t="s">
        <v>1925</v>
      </c>
      <c r="B1879" t="s">
        <v>20</v>
      </c>
      <c r="C1879" t="s">
        <v>24</v>
      </c>
      <c r="D1879" t="s">
        <v>14</v>
      </c>
      <c r="E1879" s="1">
        <v>44929</v>
      </c>
      <c r="F1879" s="1">
        <v>44934</v>
      </c>
      <c r="G1879" s="2">
        <v>16.8</v>
      </c>
      <c r="H1879" s="2">
        <v>174.76</v>
      </c>
      <c r="I1879" t="s">
        <v>15</v>
      </c>
      <c r="J1879" s="2">
        <v>1135</v>
      </c>
      <c r="K1879" s="2">
        <v>5</v>
      </c>
    </row>
    <row r="1880" spans="1:11" x14ac:dyDescent="0.25">
      <c r="A1880" t="s">
        <v>1926</v>
      </c>
      <c r="B1880" t="s">
        <v>23</v>
      </c>
      <c r="C1880" t="s">
        <v>24</v>
      </c>
      <c r="D1880" t="s">
        <v>59</v>
      </c>
      <c r="E1880" s="1">
        <v>44989</v>
      </c>
      <c r="F1880" s="1">
        <v>44993</v>
      </c>
      <c r="G1880" s="2">
        <v>24.1</v>
      </c>
      <c r="H1880" s="2">
        <v>213.6</v>
      </c>
      <c r="I1880" t="s">
        <v>15</v>
      </c>
      <c r="J1880" s="2">
        <v>1794</v>
      </c>
      <c r="K1880" s="2">
        <v>4</v>
      </c>
    </row>
    <row r="1881" spans="1:11" x14ac:dyDescent="0.25">
      <c r="A1881" t="s">
        <v>1927</v>
      </c>
      <c r="B1881" t="s">
        <v>51</v>
      </c>
      <c r="C1881" t="s">
        <v>24</v>
      </c>
      <c r="D1881" t="s">
        <v>18</v>
      </c>
      <c r="E1881" s="1">
        <v>45155</v>
      </c>
      <c r="F1881" s="1">
        <v>45159</v>
      </c>
      <c r="G1881" s="2">
        <v>10.199999999999999</v>
      </c>
      <c r="H1881" s="2">
        <v>286.07</v>
      </c>
      <c r="I1881" t="s">
        <v>15</v>
      </c>
      <c r="J1881" s="2">
        <v>1919</v>
      </c>
      <c r="K1881" s="2">
        <v>4</v>
      </c>
    </row>
    <row r="1882" spans="1:11" x14ac:dyDescent="0.25">
      <c r="A1882" t="s">
        <v>1928</v>
      </c>
      <c r="B1882" t="s">
        <v>51</v>
      </c>
      <c r="C1882" t="s">
        <v>57</v>
      </c>
      <c r="D1882" t="s">
        <v>25</v>
      </c>
      <c r="E1882" s="1">
        <v>45141</v>
      </c>
      <c r="F1882" s="1">
        <v>45144</v>
      </c>
      <c r="G1882" s="2">
        <v>25.6</v>
      </c>
      <c r="H1882" s="2">
        <v>114.68</v>
      </c>
      <c r="I1882" t="s">
        <v>15</v>
      </c>
      <c r="J1882" s="2">
        <v>801</v>
      </c>
      <c r="K1882" s="2">
        <v>3</v>
      </c>
    </row>
    <row r="1883" spans="1:11" x14ac:dyDescent="0.25">
      <c r="A1883" t="s">
        <v>1929</v>
      </c>
      <c r="B1883" t="s">
        <v>12</v>
      </c>
      <c r="C1883" t="s">
        <v>54</v>
      </c>
      <c r="D1883" t="s">
        <v>32</v>
      </c>
      <c r="E1883" s="1">
        <v>45242</v>
      </c>
      <c r="F1883" s="1">
        <v>45244</v>
      </c>
      <c r="G1883" s="2">
        <v>6.1</v>
      </c>
      <c r="H1883" s="2">
        <v>39.840000000000003</v>
      </c>
      <c r="I1883" t="s">
        <v>15</v>
      </c>
      <c r="J1883" s="2">
        <v>218</v>
      </c>
      <c r="K1883" s="2">
        <v>2</v>
      </c>
    </row>
    <row r="1884" spans="1:11" x14ac:dyDescent="0.25">
      <c r="A1884" t="s">
        <v>1930</v>
      </c>
      <c r="B1884" t="s">
        <v>20</v>
      </c>
      <c r="C1884" t="s">
        <v>52</v>
      </c>
      <c r="D1884" t="s">
        <v>14</v>
      </c>
      <c r="E1884" s="1">
        <v>45138</v>
      </c>
      <c r="F1884" s="1">
        <v>45142</v>
      </c>
      <c r="G1884" s="2">
        <v>29.9</v>
      </c>
      <c r="H1884" s="2">
        <v>84.58</v>
      </c>
      <c r="I1884" t="s">
        <v>15</v>
      </c>
      <c r="J1884" s="2">
        <v>373</v>
      </c>
      <c r="K1884" s="2">
        <v>4</v>
      </c>
    </row>
    <row r="1885" spans="1:11" x14ac:dyDescent="0.25">
      <c r="A1885" t="s">
        <v>1931</v>
      </c>
      <c r="B1885" t="s">
        <v>30</v>
      </c>
      <c r="C1885" t="s">
        <v>46</v>
      </c>
      <c r="D1885" t="s">
        <v>25</v>
      </c>
      <c r="E1885" s="1">
        <v>45255</v>
      </c>
      <c r="F1885" s="1">
        <v>45259</v>
      </c>
      <c r="G1885" s="2">
        <v>7.2</v>
      </c>
      <c r="H1885" s="2">
        <v>212.11</v>
      </c>
      <c r="I1885" t="s">
        <v>15</v>
      </c>
      <c r="J1885" s="2">
        <v>1306</v>
      </c>
      <c r="K1885" s="2">
        <v>4</v>
      </c>
    </row>
    <row r="1886" spans="1:11" x14ac:dyDescent="0.25">
      <c r="A1886" t="s">
        <v>1932</v>
      </c>
      <c r="B1886" t="s">
        <v>35</v>
      </c>
      <c r="C1886" t="s">
        <v>57</v>
      </c>
      <c r="D1886" t="s">
        <v>37</v>
      </c>
      <c r="E1886" s="1">
        <v>45131</v>
      </c>
      <c r="F1886" s="1">
        <v>45138</v>
      </c>
      <c r="G1886" s="2">
        <v>40.700000000000003</v>
      </c>
      <c r="H1886" s="2">
        <v>292.44</v>
      </c>
      <c r="I1886" t="s">
        <v>15</v>
      </c>
      <c r="J1886" s="2">
        <v>2247</v>
      </c>
      <c r="K1886" s="2">
        <v>7</v>
      </c>
    </row>
    <row r="1887" spans="1:11" x14ac:dyDescent="0.25">
      <c r="A1887" t="s">
        <v>1933</v>
      </c>
      <c r="B1887" t="s">
        <v>35</v>
      </c>
      <c r="C1887" t="s">
        <v>70</v>
      </c>
      <c r="D1887" t="s">
        <v>37</v>
      </c>
      <c r="E1887" s="1">
        <v>45179</v>
      </c>
      <c r="F1887" s="1">
        <v>45183</v>
      </c>
      <c r="G1887" s="2">
        <v>34.700000000000003</v>
      </c>
      <c r="H1887" s="2">
        <v>252.26</v>
      </c>
      <c r="I1887" t="s">
        <v>15</v>
      </c>
      <c r="J1887" s="2">
        <v>1603</v>
      </c>
      <c r="K1887" s="2">
        <v>4</v>
      </c>
    </row>
    <row r="1888" spans="1:11" x14ac:dyDescent="0.25">
      <c r="A1888" t="s">
        <v>1934</v>
      </c>
      <c r="B1888" t="s">
        <v>27</v>
      </c>
      <c r="C1888" t="s">
        <v>40</v>
      </c>
      <c r="D1888" t="s">
        <v>42</v>
      </c>
      <c r="E1888" s="1">
        <v>45242</v>
      </c>
      <c r="F1888" s="1">
        <v>45245</v>
      </c>
      <c r="G1888" s="2">
        <v>24.8</v>
      </c>
      <c r="H1888" s="2">
        <v>206.07</v>
      </c>
      <c r="I1888" t="s">
        <v>15</v>
      </c>
      <c r="J1888" s="2">
        <v>1099</v>
      </c>
      <c r="K1888" s="2">
        <v>3</v>
      </c>
    </row>
    <row r="1889" spans="1:11" x14ac:dyDescent="0.25">
      <c r="A1889" t="s">
        <v>1935</v>
      </c>
      <c r="B1889" t="s">
        <v>39</v>
      </c>
      <c r="C1889" t="s">
        <v>54</v>
      </c>
      <c r="D1889" t="s">
        <v>25</v>
      </c>
      <c r="E1889" s="1">
        <v>45257</v>
      </c>
      <c r="F1889" s="1">
        <v>45262</v>
      </c>
      <c r="G1889" s="2">
        <v>28.1</v>
      </c>
      <c r="H1889" s="2">
        <v>195.61</v>
      </c>
      <c r="I1889" t="s">
        <v>67</v>
      </c>
      <c r="J1889" s="2">
        <v>1012</v>
      </c>
      <c r="K1889" s="2">
        <v>5</v>
      </c>
    </row>
    <row r="1890" spans="1:11" x14ac:dyDescent="0.25">
      <c r="A1890" t="s">
        <v>1936</v>
      </c>
      <c r="B1890" t="s">
        <v>51</v>
      </c>
      <c r="C1890" t="s">
        <v>13</v>
      </c>
      <c r="D1890" t="s">
        <v>37</v>
      </c>
      <c r="E1890" s="1">
        <v>45170</v>
      </c>
      <c r="F1890" s="1">
        <v>45172</v>
      </c>
      <c r="G1890" s="2">
        <v>10.7</v>
      </c>
      <c r="I1890" t="s">
        <v>15</v>
      </c>
      <c r="J1890" s="2">
        <v>392</v>
      </c>
      <c r="K1890" s="2">
        <v>2</v>
      </c>
    </row>
    <row r="1891" spans="1:11" x14ac:dyDescent="0.25">
      <c r="A1891" t="s">
        <v>1937</v>
      </c>
      <c r="B1891" t="s">
        <v>12</v>
      </c>
      <c r="C1891" t="s">
        <v>40</v>
      </c>
      <c r="D1891" t="s">
        <v>18</v>
      </c>
      <c r="E1891" s="1">
        <v>45071</v>
      </c>
      <c r="F1891" s="1">
        <v>45078</v>
      </c>
      <c r="G1891" s="2">
        <v>32.799999999999997</v>
      </c>
      <c r="H1891" s="2">
        <v>303.32</v>
      </c>
      <c r="I1891" t="s">
        <v>15</v>
      </c>
      <c r="J1891" s="2">
        <v>2012</v>
      </c>
      <c r="K1891" s="2">
        <v>7</v>
      </c>
    </row>
    <row r="1892" spans="1:11" x14ac:dyDescent="0.25">
      <c r="A1892" t="s">
        <v>1938</v>
      </c>
      <c r="B1892" t="s">
        <v>27</v>
      </c>
      <c r="C1892" t="s">
        <v>24</v>
      </c>
      <c r="D1892" t="s">
        <v>18</v>
      </c>
      <c r="E1892" s="1">
        <v>45067</v>
      </c>
      <c r="F1892" s="1">
        <v>45074</v>
      </c>
      <c r="G1892" s="2">
        <v>29.5</v>
      </c>
      <c r="H1892" s="2">
        <v>326.18</v>
      </c>
      <c r="I1892" t="s">
        <v>15</v>
      </c>
      <c r="J1892" s="2">
        <v>2273</v>
      </c>
      <c r="K1892" s="2">
        <v>7</v>
      </c>
    </row>
    <row r="1893" spans="1:11" x14ac:dyDescent="0.25">
      <c r="A1893" t="s">
        <v>1939</v>
      </c>
      <c r="B1893" t="s">
        <v>20</v>
      </c>
      <c r="C1893" t="s">
        <v>31</v>
      </c>
      <c r="D1893" t="s">
        <v>25</v>
      </c>
      <c r="E1893" s="1">
        <v>45281</v>
      </c>
      <c r="F1893" s="1">
        <v>45286</v>
      </c>
      <c r="G1893" s="2">
        <v>66.3</v>
      </c>
      <c r="H1893" s="2">
        <v>337.55</v>
      </c>
      <c r="I1893" t="s">
        <v>62</v>
      </c>
      <c r="J1893" s="2">
        <v>1743</v>
      </c>
      <c r="K1893" s="2">
        <v>5</v>
      </c>
    </row>
    <row r="1894" spans="1:11" x14ac:dyDescent="0.25">
      <c r="A1894" t="s">
        <v>1940</v>
      </c>
      <c r="B1894" t="s">
        <v>49</v>
      </c>
      <c r="C1894" t="s">
        <v>17</v>
      </c>
      <c r="D1894" t="s">
        <v>14</v>
      </c>
      <c r="E1894" s="1">
        <v>45101</v>
      </c>
      <c r="F1894" s="1">
        <v>45105</v>
      </c>
      <c r="G1894" s="2">
        <v>21.7</v>
      </c>
      <c r="H1894" s="2">
        <v>291.81</v>
      </c>
      <c r="I1894" t="s">
        <v>15</v>
      </c>
      <c r="J1894" s="2">
        <v>1919</v>
      </c>
      <c r="K1894" s="2">
        <v>4</v>
      </c>
    </row>
    <row r="1895" spans="1:11" x14ac:dyDescent="0.25">
      <c r="A1895" t="s">
        <v>1941</v>
      </c>
      <c r="B1895" t="s">
        <v>30</v>
      </c>
      <c r="C1895" t="s">
        <v>44</v>
      </c>
      <c r="D1895" t="s">
        <v>18</v>
      </c>
      <c r="E1895" s="1">
        <v>45090</v>
      </c>
      <c r="F1895" s="1">
        <v>45094</v>
      </c>
      <c r="G1895" s="2">
        <v>37</v>
      </c>
      <c r="H1895" s="2">
        <v>279.2</v>
      </c>
      <c r="I1895" t="s">
        <v>15</v>
      </c>
      <c r="J1895" s="2">
        <v>1506</v>
      </c>
      <c r="K1895" s="2">
        <v>4</v>
      </c>
    </row>
    <row r="1896" spans="1:11" x14ac:dyDescent="0.25">
      <c r="A1896" t="s">
        <v>1942</v>
      </c>
      <c r="B1896" t="s">
        <v>39</v>
      </c>
      <c r="C1896" t="s">
        <v>54</v>
      </c>
      <c r="D1896" t="s">
        <v>18</v>
      </c>
      <c r="E1896" s="1">
        <v>45213</v>
      </c>
      <c r="F1896" s="1">
        <v>45219</v>
      </c>
      <c r="G1896" s="2">
        <v>21.6</v>
      </c>
      <c r="H1896" s="2">
        <v>334.73</v>
      </c>
      <c r="I1896" t="s">
        <v>15</v>
      </c>
      <c r="J1896" s="2">
        <v>2053</v>
      </c>
      <c r="K1896" s="2">
        <v>6</v>
      </c>
    </row>
    <row r="1897" spans="1:11" x14ac:dyDescent="0.25">
      <c r="A1897" t="s">
        <v>1943</v>
      </c>
      <c r="B1897" t="s">
        <v>35</v>
      </c>
      <c r="C1897" t="s">
        <v>81</v>
      </c>
      <c r="D1897" t="s">
        <v>14</v>
      </c>
      <c r="E1897" s="1">
        <v>45166</v>
      </c>
      <c r="F1897" s="1">
        <v>45169</v>
      </c>
      <c r="G1897" s="2">
        <v>40.700000000000003</v>
      </c>
      <c r="H1897" s="2">
        <v>175.45</v>
      </c>
      <c r="I1897" t="s">
        <v>15</v>
      </c>
      <c r="J1897" s="2">
        <v>1000</v>
      </c>
      <c r="K1897" s="2">
        <v>3</v>
      </c>
    </row>
    <row r="1898" spans="1:11" x14ac:dyDescent="0.25">
      <c r="A1898" t="s">
        <v>1944</v>
      </c>
      <c r="B1898" t="s">
        <v>51</v>
      </c>
      <c r="C1898" t="s">
        <v>57</v>
      </c>
      <c r="D1898" t="s">
        <v>32</v>
      </c>
      <c r="E1898" s="1">
        <v>45168</v>
      </c>
      <c r="F1898" s="1">
        <v>45176</v>
      </c>
      <c r="G1898" s="2">
        <v>84.8</v>
      </c>
      <c r="H1898" s="2">
        <v>383.33</v>
      </c>
      <c r="I1898" t="s">
        <v>15</v>
      </c>
      <c r="J1898" s="2">
        <v>2141</v>
      </c>
      <c r="K1898" s="2">
        <v>8</v>
      </c>
    </row>
    <row r="1899" spans="1:11" x14ac:dyDescent="0.25">
      <c r="A1899" t="s">
        <v>1945</v>
      </c>
      <c r="B1899" t="s">
        <v>39</v>
      </c>
      <c r="C1899" t="s">
        <v>24</v>
      </c>
      <c r="D1899" t="s">
        <v>37</v>
      </c>
      <c r="E1899" s="1">
        <v>45284</v>
      </c>
      <c r="F1899" s="1">
        <v>45289</v>
      </c>
      <c r="G1899" s="2">
        <v>13.7</v>
      </c>
      <c r="H1899" s="2">
        <v>328.21</v>
      </c>
      <c r="I1899" t="s">
        <v>15</v>
      </c>
      <c r="J1899" s="2">
        <v>2225</v>
      </c>
      <c r="K1899" s="2">
        <v>5</v>
      </c>
    </row>
    <row r="1900" spans="1:11" x14ac:dyDescent="0.25">
      <c r="A1900" t="s">
        <v>1946</v>
      </c>
      <c r="B1900" t="s">
        <v>35</v>
      </c>
      <c r="C1900" t="s">
        <v>54</v>
      </c>
      <c r="D1900" t="s">
        <v>42</v>
      </c>
      <c r="E1900" s="1">
        <v>45048</v>
      </c>
      <c r="F1900" s="1">
        <v>45051</v>
      </c>
      <c r="G1900" s="2">
        <v>20.5</v>
      </c>
      <c r="H1900" s="2">
        <v>171.02</v>
      </c>
      <c r="I1900" t="s">
        <v>15</v>
      </c>
      <c r="J1900" s="2">
        <v>1350</v>
      </c>
      <c r="K1900" s="2">
        <v>3</v>
      </c>
    </row>
    <row r="1901" spans="1:11" x14ac:dyDescent="0.25">
      <c r="A1901" t="s">
        <v>1947</v>
      </c>
      <c r="B1901" t="s">
        <v>49</v>
      </c>
      <c r="C1901" t="s">
        <v>70</v>
      </c>
      <c r="D1901" t="s">
        <v>59</v>
      </c>
      <c r="E1901" s="1">
        <v>45246</v>
      </c>
      <c r="F1901" s="1">
        <v>45252</v>
      </c>
      <c r="G1901" s="2">
        <v>9.1999999999999993</v>
      </c>
      <c r="I1901" t="s">
        <v>15</v>
      </c>
      <c r="J1901" s="2">
        <v>2393</v>
      </c>
      <c r="K1901" s="2">
        <v>6</v>
      </c>
    </row>
    <row r="1902" spans="1:11" x14ac:dyDescent="0.25">
      <c r="A1902" t="s">
        <v>1948</v>
      </c>
      <c r="B1902" t="s">
        <v>49</v>
      </c>
      <c r="C1902" t="s">
        <v>17</v>
      </c>
      <c r="D1902" t="s">
        <v>18</v>
      </c>
      <c r="E1902" s="1">
        <v>45272</v>
      </c>
      <c r="F1902" s="1">
        <v>45282</v>
      </c>
      <c r="G1902" s="2">
        <v>78.2</v>
      </c>
      <c r="H1902" s="2">
        <v>211.42</v>
      </c>
      <c r="I1902" t="s">
        <v>47</v>
      </c>
      <c r="J1902" s="2">
        <v>620</v>
      </c>
      <c r="K1902" s="2">
        <v>2</v>
      </c>
    </row>
    <row r="1903" spans="1:11" x14ac:dyDescent="0.25">
      <c r="A1903" t="s">
        <v>1949</v>
      </c>
      <c r="B1903" t="s">
        <v>30</v>
      </c>
      <c r="C1903" t="s">
        <v>24</v>
      </c>
      <c r="D1903" t="s">
        <v>37</v>
      </c>
      <c r="E1903" s="1">
        <v>45059</v>
      </c>
      <c r="F1903" s="1">
        <v>45064</v>
      </c>
      <c r="G1903" s="2">
        <v>17.2</v>
      </c>
      <c r="H1903" s="2">
        <v>247.67</v>
      </c>
      <c r="I1903" t="s">
        <v>15</v>
      </c>
      <c r="J1903" s="2">
        <v>2018</v>
      </c>
      <c r="K1903" s="2">
        <v>5</v>
      </c>
    </row>
    <row r="1904" spans="1:11" x14ac:dyDescent="0.25">
      <c r="A1904" t="s">
        <v>1950</v>
      </c>
      <c r="B1904" t="s">
        <v>56</v>
      </c>
      <c r="C1904" t="s">
        <v>57</v>
      </c>
      <c r="D1904" t="s">
        <v>37</v>
      </c>
      <c r="E1904" s="1">
        <v>45115</v>
      </c>
      <c r="F1904" s="1">
        <v>45119</v>
      </c>
      <c r="G1904" s="2">
        <v>14.7</v>
      </c>
      <c r="H1904" s="2">
        <v>243.7</v>
      </c>
      <c r="I1904" t="s">
        <v>15</v>
      </c>
      <c r="J1904" s="2">
        <v>1949</v>
      </c>
      <c r="K1904" s="2">
        <v>4</v>
      </c>
    </row>
    <row r="1905" spans="1:11" x14ac:dyDescent="0.25">
      <c r="A1905" t="s">
        <v>1951</v>
      </c>
      <c r="B1905" t="s">
        <v>39</v>
      </c>
      <c r="C1905" t="s">
        <v>17</v>
      </c>
      <c r="D1905" t="s">
        <v>32</v>
      </c>
      <c r="E1905" s="1">
        <v>45058</v>
      </c>
      <c r="F1905" s="1">
        <v>45061</v>
      </c>
      <c r="G1905" s="2">
        <v>18.899999999999999</v>
      </c>
      <c r="H1905" s="2">
        <v>122.95</v>
      </c>
      <c r="I1905" t="s">
        <v>15</v>
      </c>
      <c r="J1905" s="2">
        <v>800</v>
      </c>
      <c r="K1905" s="2">
        <v>3</v>
      </c>
    </row>
    <row r="1906" spans="1:11" x14ac:dyDescent="0.25">
      <c r="A1906" t="s">
        <v>1952</v>
      </c>
      <c r="B1906" t="s">
        <v>39</v>
      </c>
      <c r="C1906" t="s">
        <v>40</v>
      </c>
      <c r="D1906" t="s">
        <v>32</v>
      </c>
      <c r="E1906" s="1">
        <v>44993</v>
      </c>
      <c r="F1906" s="1">
        <v>44998</v>
      </c>
      <c r="G1906" s="2">
        <v>8.1</v>
      </c>
      <c r="H1906" s="2">
        <v>290.02</v>
      </c>
      <c r="I1906" t="s">
        <v>15</v>
      </c>
      <c r="J1906" s="2">
        <v>2307</v>
      </c>
      <c r="K1906" s="2">
        <v>5</v>
      </c>
    </row>
    <row r="1907" spans="1:11" x14ac:dyDescent="0.25">
      <c r="A1907" t="s">
        <v>1953</v>
      </c>
      <c r="B1907" t="s">
        <v>49</v>
      </c>
      <c r="C1907" t="s">
        <v>40</v>
      </c>
      <c r="D1907" t="s">
        <v>42</v>
      </c>
      <c r="E1907" s="1">
        <v>44938</v>
      </c>
      <c r="F1907" s="1">
        <v>44944</v>
      </c>
      <c r="G1907" s="2">
        <v>44.3</v>
      </c>
      <c r="H1907" s="2">
        <v>311.3</v>
      </c>
      <c r="I1907" t="s">
        <v>15</v>
      </c>
      <c r="J1907" s="2">
        <v>2041</v>
      </c>
      <c r="K1907" s="2">
        <v>6</v>
      </c>
    </row>
    <row r="1908" spans="1:11" x14ac:dyDescent="0.25">
      <c r="A1908" t="s">
        <v>1954</v>
      </c>
      <c r="B1908" t="s">
        <v>35</v>
      </c>
      <c r="C1908" t="s">
        <v>31</v>
      </c>
      <c r="D1908" t="s">
        <v>18</v>
      </c>
      <c r="E1908" s="1">
        <v>45096</v>
      </c>
      <c r="F1908" s="1">
        <v>45099</v>
      </c>
      <c r="G1908" s="2">
        <v>59.9</v>
      </c>
      <c r="H1908" s="2">
        <v>183.69</v>
      </c>
      <c r="I1908" t="s">
        <v>15</v>
      </c>
      <c r="J1908" s="2">
        <v>628</v>
      </c>
      <c r="K1908" s="2">
        <v>3</v>
      </c>
    </row>
    <row r="1909" spans="1:11" x14ac:dyDescent="0.25">
      <c r="A1909" t="s">
        <v>1955</v>
      </c>
      <c r="B1909" t="s">
        <v>56</v>
      </c>
      <c r="C1909" t="s">
        <v>36</v>
      </c>
      <c r="D1909" t="s">
        <v>42</v>
      </c>
      <c r="E1909" s="1">
        <v>44941</v>
      </c>
      <c r="F1909" s="1">
        <v>44948</v>
      </c>
      <c r="G1909" s="2">
        <v>8.8000000000000007</v>
      </c>
      <c r="H1909" s="2">
        <v>210.56</v>
      </c>
      <c r="I1909" t="s">
        <v>60</v>
      </c>
      <c r="J1909" s="2">
        <v>1852</v>
      </c>
      <c r="K1909" s="2">
        <v>7</v>
      </c>
    </row>
    <row r="1910" spans="1:11" x14ac:dyDescent="0.25">
      <c r="A1910" t="s">
        <v>1956</v>
      </c>
      <c r="B1910" t="s">
        <v>35</v>
      </c>
      <c r="C1910" t="s">
        <v>70</v>
      </c>
      <c r="D1910" t="s">
        <v>32</v>
      </c>
      <c r="E1910" s="1">
        <v>44987</v>
      </c>
      <c r="F1910" s="1">
        <v>44989</v>
      </c>
      <c r="G1910" s="2">
        <v>10.5</v>
      </c>
      <c r="H1910" s="2">
        <v>33.67</v>
      </c>
      <c r="I1910" t="s">
        <v>15</v>
      </c>
      <c r="J1910" s="2">
        <v>162</v>
      </c>
      <c r="K1910" s="2">
        <v>2</v>
      </c>
    </row>
    <row r="1911" spans="1:11" x14ac:dyDescent="0.25">
      <c r="A1911" t="s">
        <v>1957</v>
      </c>
      <c r="B1911" t="s">
        <v>35</v>
      </c>
      <c r="C1911" t="s">
        <v>44</v>
      </c>
      <c r="D1911" t="s">
        <v>37</v>
      </c>
      <c r="E1911" s="1">
        <v>45063</v>
      </c>
      <c r="F1911" s="1">
        <v>45069</v>
      </c>
      <c r="G1911" s="2">
        <v>16.600000000000001</v>
      </c>
      <c r="H1911" s="2">
        <v>256.68</v>
      </c>
      <c r="I1911" t="s">
        <v>67</v>
      </c>
      <c r="J1911" s="2">
        <v>1995</v>
      </c>
      <c r="K1911" s="2">
        <v>6</v>
      </c>
    </row>
    <row r="1912" spans="1:11" x14ac:dyDescent="0.25">
      <c r="A1912" t="s">
        <v>1958</v>
      </c>
      <c r="B1912" t="s">
        <v>12</v>
      </c>
      <c r="C1912" t="s">
        <v>57</v>
      </c>
      <c r="D1912" t="s">
        <v>18</v>
      </c>
      <c r="E1912" s="1">
        <v>45184</v>
      </c>
      <c r="F1912" s="1">
        <v>45193</v>
      </c>
      <c r="G1912" s="2">
        <v>23.5</v>
      </c>
      <c r="H1912" s="2">
        <v>213.18</v>
      </c>
      <c r="I1912" t="s">
        <v>15</v>
      </c>
      <c r="J1912" s="2">
        <v>1469</v>
      </c>
      <c r="K1912" s="2">
        <v>9</v>
      </c>
    </row>
    <row r="1913" spans="1:11" x14ac:dyDescent="0.25">
      <c r="A1913" t="s">
        <v>1959</v>
      </c>
      <c r="B1913" t="s">
        <v>35</v>
      </c>
      <c r="C1913" t="s">
        <v>81</v>
      </c>
      <c r="D1913" t="s">
        <v>32</v>
      </c>
      <c r="E1913" s="1">
        <v>44955</v>
      </c>
      <c r="F1913" s="1">
        <v>44959</v>
      </c>
      <c r="G1913" s="2">
        <v>34.9</v>
      </c>
      <c r="H1913" s="2">
        <v>162.44</v>
      </c>
      <c r="I1913" t="s">
        <v>15</v>
      </c>
      <c r="J1913" s="2">
        <v>1000</v>
      </c>
      <c r="K1913" s="2">
        <v>4</v>
      </c>
    </row>
    <row r="1914" spans="1:11" x14ac:dyDescent="0.25">
      <c r="A1914" t="s">
        <v>1960</v>
      </c>
      <c r="B1914" t="s">
        <v>20</v>
      </c>
      <c r="C1914" t="s">
        <v>36</v>
      </c>
      <c r="D1914" t="s">
        <v>14</v>
      </c>
      <c r="E1914" s="1">
        <v>45067</v>
      </c>
      <c r="F1914" s="1">
        <v>45074</v>
      </c>
      <c r="G1914" s="2">
        <v>14.6</v>
      </c>
      <c r="H1914" s="2">
        <v>1597.99</v>
      </c>
      <c r="I1914" t="s">
        <v>15</v>
      </c>
      <c r="J1914" s="2">
        <v>2187</v>
      </c>
      <c r="K1914" s="2">
        <v>7</v>
      </c>
    </row>
    <row r="1915" spans="1:11" x14ac:dyDescent="0.25">
      <c r="A1915" t="s">
        <v>1961</v>
      </c>
      <c r="B1915" t="s">
        <v>51</v>
      </c>
      <c r="C1915" t="s">
        <v>54</v>
      </c>
      <c r="D1915" t="s">
        <v>42</v>
      </c>
      <c r="E1915" s="1">
        <v>44963</v>
      </c>
      <c r="F1915" s="1">
        <v>44967</v>
      </c>
      <c r="G1915" s="2">
        <v>49</v>
      </c>
      <c r="H1915" s="2">
        <v>265.52</v>
      </c>
      <c r="I1915" t="s">
        <v>15</v>
      </c>
      <c r="J1915" s="2">
        <v>1875</v>
      </c>
      <c r="K1915" s="2">
        <v>4</v>
      </c>
    </row>
    <row r="1916" spans="1:11" x14ac:dyDescent="0.25">
      <c r="A1916" t="s">
        <v>1962</v>
      </c>
      <c r="B1916" t="s">
        <v>39</v>
      </c>
      <c r="C1916" t="s">
        <v>21</v>
      </c>
      <c r="D1916" t="s">
        <v>37</v>
      </c>
      <c r="E1916" s="1">
        <v>45205</v>
      </c>
      <c r="F1916" s="1">
        <v>45209</v>
      </c>
      <c r="G1916" s="2">
        <v>82.4</v>
      </c>
      <c r="H1916" s="2">
        <v>279.42</v>
      </c>
      <c r="I1916" t="s">
        <v>15</v>
      </c>
      <c r="J1916" s="2">
        <v>1705</v>
      </c>
      <c r="K1916" s="2">
        <v>4</v>
      </c>
    </row>
    <row r="1917" spans="1:11" x14ac:dyDescent="0.25">
      <c r="A1917" t="s">
        <v>1963</v>
      </c>
      <c r="B1917" t="s">
        <v>27</v>
      </c>
      <c r="C1917" t="s">
        <v>31</v>
      </c>
      <c r="D1917" t="s">
        <v>59</v>
      </c>
      <c r="E1917" s="1">
        <v>45147</v>
      </c>
      <c r="F1917" s="1">
        <v>45151</v>
      </c>
      <c r="G1917" s="2">
        <v>23.5</v>
      </c>
      <c r="H1917" s="2">
        <v>79.709999999999994</v>
      </c>
      <c r="I1917" t="s">
        <v>15</v>
      </c>
      <c r="J1917" s="2">
        <v>409</v>
      </c>
      <c r="K1917" s="2">
        <v>4</v>
      </c>
    </row>
    <row r="1918" spans="1:11" x14ac:dyDescent="0.25">
      <c r="A1918" t="s">
        <v>1964</v>
      </c>
      <c r="B1918" t="s">
        <v>49</v>
      </c>
      <c r="C1918" t="s">
        <v>24</v>
      </c>
      <c r="D1918" t="s">
        <v>59</v>
      </c>
      <c r="E1918" s="1">
        <v>45092</v>
      </c>
      <c r="F1918" s="1">
        <v>45094</v>
      </c>
      <c r="G1918" s="2">
        <v>17.2</v>
      </c>
      <c r="H1918" s="2">
        <v>84.6</v>
      </c>
      <c r="I1918" t="s">
        <v>15</v>
      </c>
      <c r="J1918" s="2">
        <v>513</v>
      </c>
      <c r="K1918" s="2">
        <v>2</v>
      </c>
    </row>
    <row r="1919" spans="1:11" x14ac:dyDescent="0.25">
      <c r="A1919" t="s">
        <v>1965</v>
      </c>
      <c r="B1919" t="s">
        <v>23</v>
      </c>
      <c r="C1919" t="s">
        <v>81</v>
      </c>
      <c r="D1919" t="s">
        <v>42</v>
      </c>
      <c r="E1919" s="1">
        <v>45033</v>
      </c>
      <c r="F1919" s="1">
        <v>45040</v>
      </c>
      <c r="G1919" s="2">
        <v>21.1</v>
      </c>
      <c r="H1919" s="2">
        <v>256.12</v>
      </c>
      <c r="I1919" t="s">
        <v>15</v>
      </c>
      <c r="J1919" s="2">
        <v>1974</v>
      </c>
      <c r="K1919" s="2">
        <v>7</v>
      </c>
    </row>
    <row r="1920" spans="1:11" x14ac:dyDescent="0.25">
      <c r="A1920" t="s">
        <v>1966</v>
      </c>
      <c r="B1920" t="s">
        <v>51</v>
      </c>
      <c r="C1920" t="s">
        <v>46</v>
      </c>
      <c r="D1920" t="s">
        <v>59</v>
      </c>
      <c r="E1920" s="1">
        <v>45268</v>
      </c>
      <c r="F1920" s="1">
        <v>45271</v>
      </c>
      <c r="G1920" s="2">
        <v>6.7</v>
      </c>
      <c r="H1920" s="2">
        <v>42.11</v>
      </c>
      <c r="I1920" t="s">
        <v>47</v>
      </c>
      <c r="J1920" s="2">
        <v>215</v>
      </c>
      <c r="K1920" s="2">
        <v>1</v>
      </c>
    </row>
    <row r="1921" spans="1:11" x14ac:dyDescent="0.25">
      <c r="A1921" t="s">
        <v>1967</v>
      </c>
      <c r="B1921" t="s">
        <v>56</v>
      </c>
      <c r="C1921" t="s">
        <v>24</v>
      </c>
      <c r="D1921" t="s">
        <v>25</v>
      </c>
      <c r="E1921" s="1">
        <v>45037</v>
      </c>
      <c r="F1921" s="1">
        <v>45039</v>
      </c>
      <c r="G1921" s="2">
        <v>17.399999999999999</v>
      </c>
      <c r="H1921" s="2">
        <v>59.13</v>
      </c>
      <c r="I1921" t="s">
        <v>15</v>
      </c>
      <c r="J1921" s="2">
        <v>284</v>
      </c>
      <c r="K1921" s="2">
        <v>2</v>
      </c>
    </row>
    <row r="1922" spans="1:11" x14ac:dyDescent="0.25">
      <c r="A1922" t="s">
        <v>1968</v>
      </c>
      <c r="B1922" t="s">
        <v>20</v>
      </c>
      <c r="C1922" t="s">
        <v>36</v>
      </c>
      <c r="D1922" t="s">
        <v>32</v>
      </c>
      <c r="E1922" s="1">
        <v>45231</v>
      </c>
      <c r="F1922" s="1">
        <v>45234</v>
      </c>
      <c r="G1922" s="2">
        <v>31.2</v>
      </c>
      <c r="H1922" s="2">
        <v>228.61</v>
      </c>
      <c r="I1922" t="s">
        <v>60</v>
      </c>
      <c r="J1922" s="2">
        <v>1128</v>
      </c>
      <c r="K1922" s="2">
        <v>3</v>
      </c>
    </row>
    <row r="1923" spans="1:11" x14ac:dyDescent="0.25">
      <c r="A1923" t="s">
        <v>1969</v>
      </c>
      <c r="B1923" t="s">
        <v>39</v>
      </c>
      <c r="C1923" t="s">
        <v>13</v>
      </c>
      <c r="D1923" t="s">
        <v>42</v>
      </c>
      <c r="E1923" s="1">
        <v>45179</v>
      </c>
      <c r="F1923" s="1">
        <v>45180</v>
      </c>
      <c r="G1923" s="2">
        <v>25.7</v>
      </c>
      <c r="H1923" s="2">
        <v>55.3</v>
      </c>
      <c r="I1923" t="s">
        <v>15</v>
      </c>
      <c r="J1923" s="2">
        <v>231</v>
      </c>
      <c r="K1923" s="2">
        <v>1</v>
      </c>
    </row>
    <row r="1924" spans="1:11" x14ac:dyDescent="0.25">
      <c r="A1924" t="s">
        <v>1970</v>
      </c>
      <c r="B1924" t="s">
        <v>12</v>
      </c>
      <c r="C1924" t="s">
        <v>81</v>
      </c>
      <c r="D1924" t="s">
        <v>25</v>
      </c>
      <c r="E1924" s="1">
        <v>44955</v>
      </c>
      <c r="F1924" s="1">
        <v>44959</v>
      </c>
      <c r="G1924" s="2">
        <v>35.6</v>
      </c>
      <c r="H1924" s="2">
        <v>107.89</v>
      </c>
      <c r="I1924" t="s">
        <v>15</v>
      </c>
      <c r="J1924" s="2">
        <v>542</v>
      </c>
      <c r="K1924" s="2">
        <v>4</v>
      </c>
    </row>
    <row r="1925" spans="1:11" x14ac:dyDescent="0.25">
      <c r="A1925" t="s">
        <v>1971</v>
      </c>
      <c r="B1925" t="s">
        <v>56</v>
      </c>
      <c r="C1925" t="s">
        <v>31</v>
      </c>
      <c r="D1925" t="s">
        <v>25</v>
      </c>
      <c r="E1925" s="1">
        <v>45092</v>
      </c>
      <c r="F1925" s="1">
        <v>45093</v>
      </c>
      <c r="G1925" s="2">
        <v>29.4</v>
      </c>
      <c r="H1925" s="2">
        <v>116.46</v>
      </c>
      <c r="I1925" t="s">
        <v>15</v>
      </c>
      <c r="J1925" s="2">
        <v>636</v>
      </c>
      <c r="K1925" s="2">
        <v>1</v>
      </c>
    </row>
    <row r="1926" spans="1:11" x14ac:dyDescent="0.25">
      <c r="A1926" t="s">
        <v>1972</v>
      </c>
      <c r="B1926" t="s">
        <v>51</v>
      </c>
      <c r="C1926" t="s">
        <v>36</v>
      </c>
      <c r="D1926" t="s">
        <v>59</v>
      </c>
      <c r="E1926" s="1">
        <v>45140</v>
      </c>
      <c r="F1926" s="1">
        <v>45145</v>
      </c>
      <c r="G1926" s="2">
        <v>16.7</v>
      </c>
      <c r="H1926" s="2">
        <v>179.65</v>
      </c>
      <c r="I1926" t="s">
        <v>15</v>
      </c>
      <c r="J1926" s="2">
        <v>1438</v>
      </c>
      <c r="K1926" s="2">
        <v>5</v>
      </c>
    </row>
    <row r="1927" spans="1:11" x14ac:dyDescent="0.25">
      <c r="A1927" t="s">
        <v>1973</v>
      </c>
      <c r="B1927" t="s">
        <v>23</v>
      </c>
      <c r="C1927" t="s">
        <v>52</v>
      </c>
      <c r="D1927" t="s">
        <v>37</v>
      </c>
      <c r="E1927" s="1">
        <v>45100</v>
      </c>
      <c r="F1927" s="1">
        <v>45102</v>
      </c>
      <c r="G1927" s="2">
        <v>7.2</v>
      </c>
      <c r="H1927" s="2">
        <v>97.04</v>
      </c>
      <c r="I1927" t="s">
        <v>15</v>
      </c>
      <c r="J1927" s="2">
        <v>822</v>
      </c>
      <c r="K1927" s="2">
        <v>2</v>
      </c>
    </row>
    <row r="1928" spans="1:11" x14ac:dyDescent="0.25">
      <c r="A1928" t="s">
        <v>1974</v>
      </c>
      <c r="B1928" t="s">
        <v>39</v>
      </c>
      <c r="C1928" t="s">
        <v>52</v>
      </c>
      <c r="D1928" t="s">
        <v>37</v>
      </c>
      <c r="E1928" s="1">
        <v>45210</v>
      </c>
      <c r="F1928" s="1">
        <v>45213</v>
      </c>
      <c r="G1928" s="2">
        <v>11.7</v>
      </c>
      <c r="H1928" s="2">
        <v>94.37</v>
      </c>
      <c r="I1928" t="s">
        <v>15</v>
      </c>
      <c r="J1928" s="2">
        <v>744</v>
      </c>
      <c r="K1928" s="2">
        <v>3</v>
      </c>
    </row>
    <row r="1929" spans="1:11" x14ac:dyDescent="0.25">
      <c r="A1929" t="s">
        <v>1975</v>
      </c>
      <c r="B1929" t="s">
        <v>12</v>
      </c>
      <c r="C1929" t="s">
        <v>36</v>
      </c>
      <c r="D1929" t="s">
        <v>14</v>
      </c>
      <c r="E1929" s="1">
        <v>45133</v>
      </c>
      <c r="F1929" s="1">
        <v>45138</v>
      </c>
      <c r="G1929" s="2">
        <v>27.6</v>
      </c>
      <c r="H1929" s="2">
        <v>242.8</v>
      </c>
      <c r="I1929" t="s">
        <v>15</v>
      </c>
      <c r="J1929" s="2">
        <v>1549</v>
      </c>
      <c r="K1929" s="2">
        <v>5</v>
      </c>
    </row>
    <row r="1930" spans="1:11" x14ac:dyDescent="0.25">
      <c r="A1930" t="s">
        <v>1976</v>
      </c>
      <c r="B1930" t="s">
        <v>20</v>
      </c>
      <c r="C1930" t="s">
        <v>52</v>
      </c>
      <c r="D1930" t="s">
        <v>42</v>
      </c>
      <c r="E1930" s="1">
        <v>44957</v>
      </c>
      <c r="F1930" s="1">
        <v>44960</v>
      </c>
      <c r="G1930" s="2">
        <v>20.5</v>
      </c>
      <c r="H1930" s="2">
        <v>75.98</v>
      </c>
      <c r="I1930" t="s">
        <v>15</v>
      </c>
      <c r="J1930" s="2">
        <v>373</v>
      </c>
      <c r="K1930" s="2">
        <v>3</v>
      </c>
    </row>
    <row r="1931" spans="1:11" x14ac:dyDescent="0.25">
      <c r="A1931" t="s">
        <v>1977</v>
      </c>
      <c r="B1931" t="s">
        <v>27</v>
      </c>
      <c r="C1931" t="s">
        <v>54</v>
      </c>
      <c r="D1931" t="s">
        <v>42</v>
      </c>
      <c r="E1931" s="1">
        <v>45038</v>
      </c>
      <c r="F1931" s="1">
        <v>45044</v>
      </c>
      <c r="G1931" s="2">
        <v>41</v>
      </c>
      <c r="H1931" s="2">
        <v>321.14999999999998</v>
      </c>
      <c r="I1931" t="s">
        <v>15</v>
      </c>
      <c r="J1931" s="2">
        <v>2478</v>
      </c>
      <c r="K1931" s="2">
        <v>6</v>
      </c>
    </row>
    <row r="1932" spans="1:11" x14ac:dyDescent="0.25">
      <c r="A1932" t="s">
        <v>1978</v>
      </c>
      <c r="B1932" t="s">
        <v>12</v>
      </c>
      <c r="C1932" t="s">
        <v>24</v>
      </c>
      <c r="D1932" t="s">
        <v>25</v>
      </c>
      <c r="E1932" s="1">
        <v>45020</v>
      </c>
      <c r="F1932" s="1">
        <v>45021</v>
      </c>
      <c r="G1932" s="2">
        <v>13.8</v>
      </c>
      <c r="H1932" s="2">
        <v>30.2</v>
      </c>
      <c r="I1932" t="s">
        <v>15</v>
      </c>
      <c r="J1932" s="2">
        <v>142</v>
      </c>
      <c r="K1932" s="2">
        <v>1</v>
      </c>
    </row>
    <row r="1933" spans="1:11" x14ac:dyDescent="0.25">
      <c r="A1933" t="s">
        <v>1979</v>
      </c>
      <c r="B1933" t="s">
        <v>20</v>
      </c>
      <c r="C1933" t="s">
        <v>24</v>
      </c>
      <c r="D1933" t="s">
        <v>59</v>
      </c>
      <c r="E1933" s="1">
        <v>45180</v>
      </c>
      <c r="F1933" s="1">
        <v>45183</v>
      </c>
      <c r="G1933" s="2">
        <v>34.200000000000003</v>
      </c>
      <c r="H1933" s="2">
        <v>156.85</v>
      </c>
      <c r="I1933" t="s">
        <v>15</v>
      </c>
      <c r="J1933" s="2">
        <v>1135</v>
      </c>
      <c r="K1933" s="2">
        <v>3</v>
      </c>
    </row>
    <row r="1934" spans="1:11" x14ac:dyDescent="0.25">
      <c r="A1934" t="s">
        <v>1980</v>
      </c>
      <c r="B1934" t="s">
        <v>23</v>
      </c>
      <c r="C1934" t="s">
        <v>81</v>
      </c>
      <c r="D1934" t="s">
        <v>18</v>
      </c>
      <c r="E1934" s="1">
        <v>45271</v>
      </c>
      <c r="F1934" s="1">
        <v>45274</v>
      </c>
      <c r="G1934" s="2">
        <v>10.4</v>
      </c>
      <c r="I1934" t="s">
        <v>15</v>
      </c>
      <c r="J1934" s="2">
        <v>1467</v>
      </c>
      <c r="K1934" s="2">
        <v>3</v>
      </c>
    </row>
    <row r="1935" spans="1:11" x14ac:dyDescent="0.25">
      <c r="A1935" t="s">
        <v>1981</v>
      </c>
      <c r="B1935" t="s">
        <v>56</v>
      </c>
      <c r="C1935" t="s">
        <v>54</v>
      </c>
      <c r="D1935" t="s">
        <v>59</v>
      </c>
      <c r="E1935" s="1">
        <v>45142</v>
      </c>
      <c r="F1935" s="1">
        <v>45148</v>
      </c>
      <c r="G1935" s="2">
        <v>20.3</v>
      </c>
      <c r="H1935" s="2">
        <v>295.36</v>
      </c>
      <c r="I1935" t="s">
        <v>15</v>
      </c>
      <c r="J1935" s="2">
        <v>2353</v>
      </c>
      <c r="K1935" s="2">
        <v>6</v>
      </c>
    </row>
    <row r="1936" spans="1:11" x14ac:dyDescent="0.25">
      <c r="A1936" t="s">
        <v>1982</v>
      </c>
      <c r="B1936" t="s">
        <v>39</v>
      </c>
      <c r="C1936" t="s">
        <v>40</v>
      </c>
      <c r="D1936" t="s">
        <v>42</v>
      </c>
      <c r="E1936" s="1">
        <v>44988</v>
      </c>
      <c r="F1936" s="1">
        <v>44991</v>
      </c>
      <c r="G1936" s="2">
        <v>9.9</v>
      </c>
      <c r="H1936" s="2">
        <v>161.25</v>
      </c>
      <c r="I1936" t="s">
        <v>15</v>
      </c>
      <c r="J1936" s="2">
        <v>1163</v>
      </c>
      <c r="K1936" s="2">
        <v>3</v>
      </c>
    </row>
    <row r="1937" spans="1:11" x14ac:dyDescent="0.25">
      <c r="A1937" t="s">
        <v>1983</v>
      </c>
      <c r="B1937" t="s">
        <v>35</v>
      </c>
      <c r="C1937" t="s">
        <v>40</v>
      </c>
      <c r="D1937" t="s">
        <v>37</v>
      </c>
      <c r="E1937" s="1">
        <v>45103</v>
      </c>
      <c r="F1937" s="1">
        <v>45104</v>
      </c>
      <c r="G1937" s="2">
        <v>9.5</v>
      </c>
      <c r="H1937" s="2">
        <v>43.35</v>
      </c>
      <c r="I1937" t="s">
        <v>15</v>
      </c>
      <c r="J1937" s="2">
        <v>283</v>
      </c>
      <c r="K1937" s="2">
        <v>1</v>
      </c>
    </row>
    <row r="1938" spans="1:11" x14ac:dyDescent="0.25">
      <c r="A1938" t="s">
        <v>1984</v>
      </c>
      <c r="B1938" t="s">
        <v>30</v>
      </c>
      <c r="C1938" t="s">
        <v>28</v>
      </c>
      <c r="D1938" t="s">
        <v>37</v>
      </c>
      <c r="E1938" s="1">
        <v>45260</v>
      </c>
      <c r="F1938" s="1">
        <v>45263</v>
      </c>
      <c r="G1938" s="2">
        <v>27</v>
      </c>
      <c r="H1938" s="2">
        <v>188.63</v>
      </c>
      <c r="I1938" t="s">
        <v>15</v>
      </c>
      <c r="J1938" s="2">
        <v>1068</v>
      </c>
      <c r="K1938" s="2">
        <v>3</v>
      </c>
    </row>
    <row r="1939" spans="1:11" x14ac:dyDescent="0.25">
      <c r="A1939" t="s">
        <v>1985</v>
      </c>
      <c r="B1939" t="s">
        <v>49</v>
      </c>
      <c r="C1939" t="s">
        <v>46</v>
      </c>
      <c r="D1939" t="s">
        <v>37</v>
      </c>
      <c r="E1939" s="1">
        <v>45276</v>
      </c>
      <c r="F1939" s="1">
        <v>45281</v>
      </c>
      <c r="G1939" s="2">
        <v>12.9</v>
      </c>
      <c r="H1939" s="2">
        <v>305.45</v>
      </c>
      <c r="I1939" t="s">
        <v>15</v>
      </c>
      <c r="J1939" s="2">
        <v>1875</v>
      </c>
      <c r="K1939" s="2">
        <v>5</v>
      </c>
    </row>
    <row r="1940" spans="1:11" x14ac:dyDescent="0.25">
      <c r="A1940" t="s">
        <v>1986</v>
      </c>
      <c r="B1940" t="s">
        <v>20</v>
      </c>
      <c r="C1940" t="s">
        <v>40</v>
      </c>
      <c r="D1940" t="s">
        <v>32</v>
      </c>
      <c r="E1940" s="1">
        <v>45251</v>
      </c>
      <c r="F1940" s="1">
        <v>45258</v>
      </c>
      <c r="G1940" s="2">
        <v>61.7</v>
      </c>
      <c r="H1940" s="2">
        <v>455.69</v>
      </c>
      <c r="I1940" t="s">
        <v>15</v>
      </c>
      <c r="J1940" s="2">
        <v>2430</v>
      </c>
      <c r="K1940" s="2">
        <v>7</v>
      </c>
    </row>
    <row r="1941" spans="1:11" x14ac:dyDescent="0.25">
      <c r="A1941" t="s">
        <v>1987</v>
      </c>
      <c r="B1941" t="s">
        <v>27</v>
      </c>
      <c r="C1941" t="s">
        <v>36</v>
      </c>
      <c r="D1941" t="s">
        <v>42</v>
      </c>
      <c r="E1941" s="1">
        <v>45030</v>
      </c>
      <c r="F1941" s="1">
        <v>45032</v>
      </c>
      <c r="G1941" s="2">
        <v>25.3</v>
      </c>
      <c r="H1941" s="2">
        <v>92.95</v>
      </c>
      <c r="I1941" t="s">
        <v>15</v>
      </c>
      <c r="J1941" s="2">
        <v>505</v>
      </c>
      <c r="K1941" s="2">
        <v>2</v>
      </c>
    </row>
    <row r="1942" spans="1:11" x14ac:dyDescent="0.25">
      <c r="A1942" t="s">
        <v>1988</v>
      </c>
      <c r="B1942" t="s">
        <v>20</v>
      </c>
      <c r="C1942" t="s">
        <v>24</v>
      </c>
      <c r="D1942" t="s">
        <v>25</v>
      </c>
      <c r="E1942" s="1">
        <v>45112</v>
      </c>
      <c r="F1942" s="1">
        <v>45117</v>
      </c>
      <c r="G1942" s="2">
        <v>26.4</v>
      </c>
      <c r="H1942" s="2">
        <v>161.78</v>
      </c>
      <c r="I1942" t="s">
        <v>15</v>
      </c>
      <c r="J1942" s="2">
        <v>1135</v>
      </c>
      <c r="K1942" s="2">
        <v>5</v>
      </c>
    </row>
    <row r="1943" spans="1:11" x14ac:dyDescent="0.25">
      <c r="A1943" t="s">
        <v>1989</v>
      </c>
      <c r="B1943" t="s">
        <v>30</v>
      </c>
      <c r="C1943" t="s">
        <v>57</v>
      </c>
      <c r="D1943" t="s">
        <v>59</v>
      </c>
      <c r="E1943" s="1">
        <v>45095</v>
      </c>
      <c r="F1943" s="1">
        <v>45099</v>
      </c>
      <c r="G1943" s="2">
        <v>69</v>
      </c>
      <c r="H1943" s="2">
        <v>302.62</v>
      </c>
      <c r="I1943" t="s">
        <v>60</v>
      </c>
      <c r="J1943" s="2">
        <v>1868</v>
      </c>
      <c r="K1943" s="2">
        <v>4</v>
      </c>
    </row>
    <row r="1944" spans="1:11" x14ac:dyDescent="0.25">
      <c r="A1944" t="s">
        <v>1990</v>
      </c>
      <c r="B1944" t="s">
        <v>30</v>
      </c>
      <c r="C1944" t="s">
        <v>36</v>
      </c>
      <c r="D1944" t="s">
        <v>59</v>
      </c>
      <c r="E1944" s="1">
        <v>45223</v>
      </c>
      <c r="F1944" s="1">
        <v>45230</v>
      </c>
      <c r="G1944" s="2">
        <v>17</v>
      </c>
      <c r="H1944" s="2">
        <v>283.07</v>
      </c>
      <c r="I1944" t="s">
        <v>15</v>
      </c>
      <c r="J1944" s="2">
        <v>2191</v>
      </c>
      <c r="K1944" s="2">
        <v>7</v>
      </c>
    </row>
    <row r="1945" spans="1:11" x14ac:dyDescent="0.25">
      <c r="A1945" t="s">
        <v>1991</v>
      </c>
      <c r="B1945" t="s">
        <v>49</v>
      </c>
      <c r="C1945" t="s">
        <v>44</v>
      </c>
      <c r="D1945" t="s">
        <v>59</v>
      </c>
      <c r="E1945" s="1">
        <v>45169</v>
      </c>
      <c r="F1945" s="1">
        <v>45171</v>
      </c>
      <c r="G1945" s="2">
        <v>18</v>
      </c>
      <c r="I1945" t="s">
        <v>15</v>
      </c>
      <c r="J1945" s="2">
        <v>971</v>
      </c>
      <c r="K1945" s="2">
        <v>2</v>
      </c>
    </row>
    <row r="1946" spans="1:11" x14ac:dyDescent="0.25">
      <c r="A1946" t="s">
        <v>1992</v>
      </c>
      <c r="B1946" t="s">
        <v>20</v>
      </c>
      <c r="C1946" t="s">
        <v>31</v>
      </c>
      <c r="D1946" t="s">
        <v>14</v>
      </c>
      <c r="E1946" s="1">
        <v>45289</v>
      </c>
      <c r="F1946" s="1">
        <v>45295</v>
      </c>
      <c r="G1946" s="2">
        <v>15.9</v>
      </c>
      <c r="H1946" s="2">
        <v>329.11</v>
      </c>
      <c r="I1946" t="s">
        <v>15</v>
      </c>
      <c r="J1946" s="2">
        <v>1899</v>
      </c>
      <c r="K1946" s="2">
        <v>6</v>
      </c>
    </row>
    <row r="1947" spans="1:11" x14ac:dyDescent="0.25">
      <c r="A1947" t="s">
        <v>1993</v>
      </c>
      <c r="B1947" t="s">
        <v>27</v>
      </c>
      <c r="C1947" t="s">
        <v>44</v>
      </c>
      <c r="D1947" t="s">
        <v>42</v>
      </c>
      <c r="E1947" s="1">
        <v>44983</v>
      </c>
      <c r="F1947" s="1">
        <v>44987</v>
      </c>
      <c r="G1947" s="2">
        <v>9.1</v>
      </c>
      <c r="H1947" s="2">
        <v>210.06</v>
      </c>
      <c r="I1947" t="s">
        <v>15</v>
      </c>
      <c r="J1947" s="2">
        <v>1754</v>
      </c>
      <c r="K1947" s="2">
        <v>4</v>
      </c>
    </row>
    <row r="1948" spans="1:11" x14ac:dyDescent="0.25">
      <c r="A1948" t="s">
        <v>1994</v>
      </c>
      <c r="B1948" t="s">
        <v>51</v>
      </c>
      <c r="C1948" t="s">
        <v>21</v>
      </c>
      <c r="D1948" t="s">
        <v>25</v>
      </c>
      <c r="E1948" s="1">
        <v>45179</v>
      </c>
      <c r="F1948" s="1">
        <v>45182</v>
      </c>
      <c r="G1948" s="2">
        <v>17.5</v>
      </c>
      <c r="H1948" s="2">
        <v>138.84</v>
      </c>
      <c r="I1948" t="s">
        <v>62</v>
      </c>
      <c r="J1948" s="2">
        <v>956</v>
      </c>
      <c r="K1948" s="2">
        <v>3</v>
      </c>
    </row>
    <row r="1949" spans="1:11" x14ac:dyDescent="0.25">
      <c r="A1949" t="s">
        <v>1995</v>
      </c>
      <c r="B1949" t="s">
        <v>56</v>
      </c>
      <c r="C1949" t="s">
        <v>70</v>
      </c>
      <c r="D1949" t="s">
        <v>59</v>
      </c>
      <c r="E1949" s="1">
        <v>45134</v>
      </c>
      <c r="F1949" s="1">
        <v>45140</v>
      </c>
      <c r="G1949" s="2">
        <v>22.8</v>
      </c>
      <c r="H1949" s="2">
        <v>287.52</v>
      </c>
      <c r="I1949" t="s">
        <v>15</v>
      </c>
      <c r="J1949" s="2">
        <v>2114</v>
      </c>
      <c r="K1949" s="2">
        <v>6</v>
      </c>
    </row>
    <row r="1950" spans="1:11" x14ac:dyDescent="0.25">
      <c r="A1950" t="s">
        <v>1996</v>
      </c>
      <c r="B1950" t="s">
        <v>56</v>
      </c>
      <c r="C1950" t="s">
        <v>36</v>
      </c>
      <c r="D1950" t="s">
        <v>42</v>
      </c>
      <c r="E1950" s="1">
        <v>45182</v>
      </c>
      <c r="F1950" s="1">
        <v>45185</v>
      </c>
      <c r="G1950" s="2">
        <v>10.1</v>
      </c>
      <c r="H1950" s="2">
        <v>138.88999999999999</v>
      </c>
      <c r="I1950" t="s">
        <v>15</v>
      </c>
      <c r="J1950" s="2">
        <v>1084</v>
      </c>
      <c r="K1950" s="2">
        <v>3</v>
      </c>
    </row>
    <row r="1951" spans="1:11" x14ac:dyDescent="0.25">
      <c r="A1951" t="s">
        <v>1997</v>
      </c>
      <c r="B1951" t="s">
        <v>39</v>
      </c>
      <c r="C1951" t="s">
        <v>21</v>
      </c>
      <c r="D1951" t="s">
        <v>25</v>
      </c>
      <c r="E1951" s="1">
        <v>45038</v>
      </c>
      <c r="F1951" s="1">
        <v>45042</v>
      </c>
      <c r="G1951" s="2">
        <v>22.6</v>
      </c>
      <c r="H1951" s="2">
        <v>208.71</v>
      </c>
      <c r="I1951" t="s">
        <v>15</v>
      </c>
      <c r="J1951" s="2">
        <v>1375</v>
      </c>
      <c r="K1951" s="2">
        <v>4</v>
      </c>
    </row>
    <row r="1952" spans="1:11" x14ac:dyDescent="0.25">
      <c r="A1952" t="s">
        <v>1998</v>
      </c>
      <c r="B1952" t="s">
        <v>39</v>
      </c>
      <c r="C1952" t="s">
        <v>81</v>
      </c>
      <c r="D1952" t="s">
        <v>14</v>
      </c>
      <c r="E1952" s="1">
        <v>45093</v>
      </c>
      <c r="F1952" s="1">
        <v>45096</v>
      </c>
      <c r="G1952" s="2">
        <v>6.9</v>
      </c>
      <c r="H1952" s="2">
        <v>133.01</v>
      </c>
      <c r="I1952" t="s">
        <v>15</v>
      </c>
      <c r="J1952" s="2">
        <v>1030</v>
      </c>
      <c r="K1952" s="2">
        <v>3</v>
      </c>
    </row>
    <row r="1953" spans="1:11" x14ac:dyDescent="0.25">
      <c r="A1953" t="s">
        <v>1999</v>
      </c>
      <c r="B1953" t="s">
        <v>35</v>
      </c>
      <c r="C1953" t="s">
        <v>70</v>
      </c>
      <c r="D1953" t="s">
        <v>18</v>
      </c>
      <c r="E1953" s="1">
        <v>45279</v>
      </c>
      <c r="F1953" s="1">
        <v>45281</v>
      </c>
      <c r="G1953" s="2">
        <v>10.1</v>
      </c>
      <c r="H1953" s="2">
        <v>42.45</v>
      </c>
      <c r="I1953" t="s">
        <v>15</v>
      </c>
      <c r="J1953" s="2">
        <v>169</v>
      </c>
      <c r="K1953" s="2">
        <v>2</v>
      </c>
    </row>
    <row r="1954" spans="1:11" x14ac:dyDescent="0.25">
      <c r="A1954" t="s">
        <v>2000</v>
      </c>
      <c r="B1954" t="s">
        <v>35</v>
      </c>
      <c r="C1954" t="s">
        <v>31</v>
      </c>
      <c r="D1954" t="s">
        <v>59</v>
      </c>
      <c r="E1954" s="1">
        <v>44985</v>
      </c>
      <c r="F1954" s="1">
        <v>44988</v>
      </c>
      <c r="G1954" s="2">
        <v>39</v>
      </c>
      <c r="H1954" s="2">
        <v>112.83</v>
      </c>
      <c r="I1954" t="s">
        <v>15</v>
      </c>
      <c r="J1954" s="2">
        <v>706</v>
      </c>
      <c r="K1954" s="2">
        <v>3</v>
      </c>
    </row>
    <row r="1955" spans="1:11" x14ac:dyDescent="0.25">
      <c r="A1955" t="s">
        <v>2001</v>
      </c>
      <c r="B1955" t="s">
        <v>23</v>
      </c>
      <c r="C1955" t="s">
        <v>70</v>
      </c>
      <c r="D1955" t="s">
        <v>25</v>
      </c>
      <c r="E1955" s="1">
        <v>44975</v>
      </c>
      <c r="F1955" s="1">
        <v>44978</v>
      </c>
      <c r="G1955" s="2">
        <v>30</v>
      </c>
      <c r="H1955" s="2">
        <v>143.34</v>
      </c>
      <c r="I1955" t="s">
        <v>15</v>
      </c>
      <c r="J1955" s="2">
        <v>985</v>
      </c>
      <c r="K1955" s="2">
        <v>3</v>
      </c>
    </row>
    <row r="1956" spans="1:11" x14ac:dyDescent="0.25">
      <c r="A1956" t="s">
        <v>2002</v>
      </c>
      <c r="B1956" t="s">
        <v>56</v>
      </c>
      <c r="C1956" t="s">
        <v>81</v>
      </c>
      <c r="D1956" t="s">
        <v>32</v>
      </c>
      <c r="E1956" s="1">
        <v>45086</v>
      </c>
      <c r="F1956" s="1">
        <v>45089</v>
      </c>
      <c r="G1956" s="2">
        <v>24</v>
      </c>
      <c r="H1956" s="2">
        <v>103.6</v>
      </c>
      <c r="I1956" t="s">
        <v>47</v>
      </c>
      <c r="J1956" s="2">
        <v>506</v>
      </c>
      <c r="K1956" s="2">
        <v>2</v>
      </c>
    </row>
    <row r="1957" spans="1:11" x14ac:dyDescent="0.25">
      <c r="A1957" t="s">
        <v>2003</v>
      </c>
      <c r="B1957" t="s">
        <v>23</v>
      </c>
      <c r="C1957" t="s">
        <v>17</v>
      </c>
      <c r="D1957" t="s">
        <v>14</v>
      </c>
      <c r="E1957" s="1">
        <v>44992</v>
      </c>
      <c r="F1957" s="1">
        <v>44996</v>
      </c>
      <c r="G1957" s="2">
        <v>47.5</v>
      </c>
      <c r="H1957" s="2">
        <v>127.02</v>
      </c>
      <c r="I1957" t="s">
        <v>15</v>
      </c>
      <c r="J1957" s="2">
        <v>545</v>
      </c>
      <c r="K1957" s="2">
        <v>4</v>
      </c>
    </row>
    <row r="1958" spans="1:11" x14ac:dyDescent="0.25">
      <c r="A1958" t="s">
        <v>2004</v>
      </c>
      <c r="B1958" t="s">
        <v>56</v>
      </c>
      <c r="C1958" t="s">
        <v>28</v>
      </c>
      <c r="D1958" t="s">
        <v>32</v>
      </c>
      <c r="E1958" s="1">
        <v>44951</v>
      </c>
      <c r="F1958" s="1">
        <v>44954</v>
      </c>
      <c r="G1958" s="2">
        <v>26.5</v>
      </c>
      <c r="H1958" s="2">
        <v>181.68</v>
      </c>
      <c r="I1958" t="s">
        <v>15</v>
      </c>
      <c r="J1958" s="2">
        <v>1116</v>
      </c>
      <c r="K1958" s="2">
        <v>3</v>
      </c>
    </row>
    <row r="1959" spans="1:11" x14ac:dyDescent="0.25">
      <c r="A1959" t="s">
        <v>2005</v>
      </c>
      <c r="B1959" t="s">
        <v>12</v>
      </c>
      <c r="C1959" t="s">
        <v>44</v>
      </c>
      <c r="D1959" t="s">
        <v>18</v>
      </c>
      <c r="E1959" s="1">
        <v>44982</v>
      </c>
      <c r="F1959" s="1">
        <v>44985</v>
      </c>
      <c r="G1959" s="2">
        <v>9.8000000000000007</v>
      </c>
      <c r="H1959" s="2">
        <v>157.80000000000001</v>
      </c>
      <c r="I1959" t="s">
        <v>15</v>
      </c>
      <c r="J1959" s="2">
        <v>992</v>
      </c>
      <c r="K1959" s="2">
        <v>3</v>
      </c>
    </row>
    <row r="1960" spans="1:11" x14ac:dyDescent="0.25">
      <c r="A1960" t="s">
        <v>2006</v>
      </c>
      <c r="B1960" t="s">
        <v>56</v>
      </c>
      <c r="C1960" t="s">
        <v>46</v>
      </c>
      <c r="D1960" t="s">
        <v>59</v>
      </c>
      <c r="E1960" s="1">
        <v>45146</v>
      </c>
      <c r="F1960" s="1">
        <v>45152</v>
      </c>
      <c r="G1960" s="2">
        <v>23.4</v>
      </c>
      <c r="H1960" s="2">
        <v>226.29</v>
      </c>
      <c r="I1960" t="s">
        <v>62</v>
      </c>
      <c r="J1960" s="2">
        <v>1921</v>
      </c>
      <c r="K1960" s="2">
        <v>6</v>
      </c>
    </row>
    <row r="1961" spans="1:11" x14ac:dyDescent="0.25">
      <c r="A1961" t="s">
        <v>2007</v>
      </c>
      <c r="B1961" t="s">
        <v>49</v>
      </c>
      <c r="C1961" t="s">
        <v>31</v>
      </c>
      <c r="D1961" t="s">
        <v>59</v>
      </c>
      <c r="E1961" s="1">
        <v>44951</v>
      </c>
      <c r="F1961" s="1">
        <v>44952</v>
      </c>
      <c r="G1961" s="2">
        <v>6.1</v>
      </c>
      <c r="H1961" s="2">
        <v>38.31</v>
      </c>
      <c r="I1961" t="s">
        <v>15</v>
      </c>
      <c r="J1961" s="2">
        <v>247</v>
      </c>
      <c r="K1961" s="2">
        <v>1</v>
      </c>
    </row>
    <row r="1962" spans="1:11" x14ac:dyDescent="0.25">
      <c r="A1962" t="s">
        <v>2008</v>
      </c>
      <c r="B1962" t="s">
        <v>12</v>
      </c>
      <c r="C1962" t="s">
        <v>46</v>
      </c>
      <c r="D1962" t="s">
        <v>32</v>
      </c>
      <c r="E1962" s="1">
        <v>45219</v>
      </c>
      <c r="F1962" s="1">
        <v>45224</v>
      </c>
      <c r="G1962" s="2">
        <v>12.9</v>
      </c>
      <c r="H1962" s="2">
        <v>245.79</v>
      </c>
      <c r="I1962" t="s">
        <v>15</v>
      </c>
      <c r="J1962" s="2">
        <v>1734</v>
      </c>
      <c r="K1962" s="2">
        <v>5</v>
      </c>
    </row>
    <row r="1963" spans="1:11" x14ac:dyDescent="0.25">
      <c r="A1963" t="s">
        <v>2009</v>
      </c>
      <c r="B1963" t="s">
        <v>49</v>
      </c>
      <c r="C1963" t="s">
        <v>44</v>
      </c>
      <c r="D1963" t="s">
        <v>14</v>
      </c>
      <c r="E1963" s="1">
        <v>45200</v>
      </c>
      <c r="F1963" s="1">
        <v>45204</v>
      </c>
      <c r="G1963" s="2">
        <v>25.7</v>
      </c>
      <c r="H1963" s="2">
        <v>208.58</v>
      </c>
      <c r="I1963" t="s">
        <v>15</v>
      </c>
      <c r="J1963" s="2">
        <v>1515</v>
      </c>
      <c r="K1963" s="2">
        <v>4</v>
      </c>
    </row>
    <row r="1964" spans="1:11" x14ac:dyDescent="0.25">
      <c r="A1964" t="s">
        <v>2010</v>
      </c>
      <c r="B1964" t="s">
        <v>20</v>
      </c>
      <c r="C1964" t="s">
        <v>52</v>
      </c>
      <c r="D1964" t="s">
        <v>14</v>
      </c>
      <c r="E1964" s="1">
        <v>45044</v>
      </c>
      <c r="F1964" s="1">
        <v>45053</v>
      </c>
      <c r="G1964" s="2">
        <v>10.9</v>
      </c>
      <c r="H1964" s="2">
        <v>66.58</v>
      </c>
      <c r="I1964" t="s">
        <v>47</v>
      </c>
      <c r="J1964" s="2">
        <v>373</v>
      </c>
      <c r="K1964" s="2">
        <v>4</v>
      </c>
    </row>
    <row r="1965" spans="1:11" x14ac:dyDescent="0.25">
      <c r="A1965" t="s">
        <v>2011</v>
      </c>
      <c r="B1965" t="s">
        <v>12</v>
      </c>
      <c r="C1965" t="s">
        <v>13</v>
      </c>
      <c r="D1965" t="s">
        <v>42</v>
      </c>
      <c r="E1965" s="1">
        <v>45251</v>
      </c>
      <c r="F1965" s="1">
        <v>45257</v>
      </c>
      <c r="G1965" s="2">
        <v>31.5</v>
      </c>
      <c r="H1965" s="2">
        <v>320.88</v>
      </c>
      <c r="I1965" t="s">
        <v>15</v>
      </c>
      <c r="J1965" s="2">
        <v>1900</v>
      </c>
      <c r="K1965" s="2">
        <v>6</v>
      </c>
    </row>
    <row r="1966" spans="1:11" x14ac:dyDescent="0.25">
      <c r="A1966" t="s">
        <v>2012</v>
      </c>
      <c r="B1966" t="s">
        <v>39</v>
      </c>
      <c r="C1966" t="s">
        <v>70</v>
      </c>
      <c r="D1966" t="s">
        <v>14</v>
      </c>
      <c r="E1966" s="1">
        <v>45176</v>
      </c>
      <c r="F1966" s="1">
        <v>45184</v>
      </c>
      <c r="G1966" s="2">
        <v>36.700000000000003</v>
      </c>
      <c r="H1966" s="2">
        <v>314.18</v>
      </c>
      <c r="I1966" t="s">
        <v>15</v>
      </c>
      <c r="J1966" s="2">
        <v>2317</v>
      </c>
      <c r="K1966" s="2">
        <v>8</v>
      </c>
    </row>
    <row r="1967" spans="1:11" x14ac:dyDescent="0.25">
      <c r="A1967" t="s">
        <v>2013</v>
      </c>
      <c r="B1967" t="s">
        <v>35</v>
      </c>
      <c r="C1967" t="s">
        <v>21</v>
      </c>
      <c r="D1967" t="s">
        <v>59</v>
      </c>
      <c r="E1967" s="1">
        <v>44929</v>
      </c>
      <c r="F1967" s="1">
        <v>44936</v>
      </c>
      <c r="G1967" s="2">
        <v>19.2</v>
      </c>
      <c r="H1967" s="2">
        <v>300.32</v>
      </c>
      <c r="I1967" t="s">
        <v>15</v>
      </c>
      <c r="J1967" s="2">
        <v>2300</v>
      </c>
      <c r="K1967" s="2">
        <v>7</v>
      </c>
    </row>
    <row r="1968" spans="1:11" x14ac:dyDescent="0.25">
      <c r="A1968" t="s">
        <v>2014</v>
      </c>
      <c r="B1968" t="s">
        <v>39</v>
      </c>
      <c r="C1968" t="s">
        <v>28</v>
      </c>
      <c r="D1968" t="s">
        <v>14</v>
      </c>
      <c r="E1968" s="1">
        <v>44962</v>
      </c>
      <c r="F1968" s="1">
        <v>44968</v>
      </c>
      <c r="G1968" s="2">
        <v>53.9</v>
      </c>
      <c r="H1968" s="2">
        <v>377.64</v>
      </c>
      <c r="I1968" t="s">
        <v>15</v>
      </c>
      <c r="J1968" s="2">
        <v>2226</v>
      </c>
      <c r="K1968" s="2">
        <v>6</v>
      </c>
    </row>
    <row r="1969" spans="1:11" x14ac:dyDescent="0.25">
      <c r="A1969" t="s">
        <v>2015</v>
      </c>
      <c r="B1969" t="s">
        <v>49</v>
      </c>
      <c r="C1969" t="s">
        <v>81</v>
      </c>
      <c r="D1969" t="s">
        <v>42</v>
      </c>
      <c r="E1969" s="1">
        <v>45001</v>
      </c>
      <c r="F1969" s="1">
        <v>45006</v>
      </c>
      <c r="G1969" s="2">
        <v>39.4</v>
      </c>
      <c r="H1969" s="2">
        <v>149.04</v>
      </c>
      <c r="I1969" t="s">
        <v>15</v>
      </c>
      <c r="J1969" s="2">
        <v>826</v>
      </c>
      <c r="K1969" s="2">
        <v>5</v>
      </c>
    </row>
    <row r="1970" spans="1:11" x14ac:dyDescent="0.25">
      <c r="A1970" t="s">
        <v>2016</v>
      </c>
      <c r="B1970" t="s">
        <v>51</v>
      </c>
      <c r="C1970" t="s">
        <v>24</v>
      </c>
      <c r="D1970" t="s">
        <v>42</v>
      </c>
      <c r="E1970" s="1">
        <v>44953</v>
      </c>
      <c r="F1970" s="1">
        <v>44960</v>
      </c>
      <c r="G1970" s="2">
        <v>73.2</v>
      </c>
      <c r="H1970" s="2">
        <v>294.41000000000003</v>
      </c>
      <c r="I1970" t="s">
        <v>15</v>
      </c>
      <c r="J1970" s="2">
        <v>1577</v>
      </c>
      <c r="K1970" s="2">
        <v>7</v>
      </c>
    </row>
    <row r="1971" spans="1:11" x14ac:dyDescent="0.25">
      <c r="A1971" t="s">
        <v>2017</v>
      </c>
      <c r="B1971" t="s">
        <v>20</v>
      </c>
      <c r="C1971" t="s">
        <v>28</v>
      </c>
      <c r="D1971" t="s">
        <v>37</v>
      </c>
      <c r="E1971" s="1">
        <v>45206</v>
      </c>
      <c r="F1971" s="1">
        <v>45209</v>
      </c>
      <c r="G1971" s="2">
        <v>8.3000000000000007</v>
      </c>
      <c r="H1971" s="2">
        <v>174.8</v>
      </c>
      <c r="I1971" t="s">
        <v>15</v>
      </c>
      <c r="J1971" s="2">
        <v>1435</v>
      </c>
      <c r="K1971" s="2">
        <v>3</v>
      </c>
    </row>
    <row r="1972" spans="1:11" x14ac:dyDescent="0.25">
      <c r="A1972" t="s">
        <v>2018</v>
      </c>
      <c r="B1972" t="s">
        <v>27</v>
      </c>
      <c r="C1972" t="s">
        <v>28</v>
      </c>
      <c r="D1972" t="s">
        <v>25</v>
      </c>
      <c r="E1972" s="1">
        <v>45240</v>
      </c>
      <c r="F1972" s="1">
        <v>45243</v>
      </c>
      <c r="G1972" s="2">
        <v>20.399999999999999</v>
      </c>
      <c r="H1972" s="2">
        <v>149.88999999999999</v>
      </c>
      <c r="I1972" t="s">
        <v>15</v>
      </c>
      <c r="J1972" s="2">
        <v>943</v>
      </c>
      <c r="K1972" s="2">
        <v>3</v>
      </c>
    </row>
    <row r="1973" spans="1:11" x14ac:dyDescent="0.25">
      <c r="A1973" t="s">
        <v>2019</v>
      </c>
      <c r="B1973" t="s">
        <v>39</v>
      </c>
      <c r="C1973" t="s">
        <v>44</v>
      </c>
      <c r="D1973" t="s">
        <v>42</v>
      </c>
      <c r="E1973" s="1">
        <v>44995</v>
      </c>
      <c r="F1973" s="1">
        <v>44999</v>
      </c>
      <c r="G1973" s="2">
        <v>9.5</v>
      </c>
      <c r="H1973" s="2">
        <v>217.11</v>
      </c>
      <c r="I1973" t="s">
        <v>15</v>
      </c>
      <c r="J1973" s="2">
        <v>1843</v>
      </c>
      <c r="K1973" s="2">
        <v>4</v>
      </c>
    </row>
    <row r="1974" spans="1:11" x14ac:dyDescent="0.25">
      <c r="A1974" t="s">
        <v>2020</v>
      </c>
      <c r="B1974" t="s">
        <v>30</v>
      </c>
      <c r="C1974" t="s">
        <v>21</v>
      </c>
      <c r="D1974" t="s">
        <v>59</v>
      </c>
      <c r="E1974" s="1">
        <v>45106</v>
      </c>
      <c r="F1974" s="1">
        <v>45107</v>
      </c>
      <c r="G1974" s="2">
        <v>9.5</v>
      </c>
      <c r="H1974" s="2">
        <v>31.25</v>
      </c>
      <c r="I1974" t="s">
        <v>15</v>
      </c>
      <c r="J1974" s="2">
        <v>209</v>
      </c>
      <c r="K1974" s="2">
        <v>1</v>
      </c>
    </row>
    <row r="1975" spans="1:11" x14ac:dyDescent="0.25">
      <c r="A1975" t="s">
        <v>2021</v>
      </c>
      <c r="B1975" t="s">
        <v>51</v>
      </c>
      <c r="C1975" t="s">
        <v>21</v>
      </c>
      <c r="D1975" t="s">
        <v>32</v>
      </c>
      <c r="E1975" s="1">
        <v>45069</v>
      </c>
      <c r="F1975" s="1">
        <v>45073</v>
      </c>
      <c r="G1975" s="2">
        <v>16.100000000000001</v>
      </c>
      <c r="H1975" s="2">
        <v>252.26</v>
      </c>
      <c r="I1975" t="s">
        <v>15</v>
      </c>
      <c r="J1975" s="2">
        <v>1711</v>
      </c>
      <c r="K1975" s="2">
        <v>4</v>
      </c>
    </row>
    <row r="1976" spans="1:11" x14ac:dyDescent="0.25">
      <c r="A1976" t="s">
        <v>2022</v>
      </c>
      <c r="B1976" t="s">
        <v>20</v>
      </c>
      <c r="C1976" t="s">
        <v>21</v>
      </c>
      <c r="D1976" t="s">
        <v>18</v>
      </c>
      <c r="E1976" s="1">
        <v>45147</v>
      </c>
      <c r="F1976" s="1">
        <v>45151</v>
      </c>
      <c r="G1976" s="2">
        <v>14.4</v>
      </c>
      <c r="H1976" s="2">
        <v>125.69</v>
      </c>
      <c r="I1976" t="s">
        <v>15</v>
      </c>
      <c r="J1976" s="2">
        <v>693</v>
      </c>
      <c r="K1976" s="2">
        <v>4</v>
      </c>
    </row>
    <row r="1977" spans="1:11" x14ac:dyDescent="0.25">
      <c r="A1977" t="s">
        <v>2023</v>
      </c>
      <c r="B1977" t="s">
        <v>30</v>
      </c>
      <c r="C1977" t="s">
        <v>21</v>
      </c>
      <c r="D1977" t="s">
        <v>42</v>
      </c>
      <c r="E1977" s="1">
        <v>45276</v>
      </c>
      <c r="F1977" s="1">
        <v>45278</v>
      </c>
      <c r="G1977" s="2">
        <v>18.7</v>
      </c>
      <c r="H1977" s="2">
        <v>166.44</v>
      </c>
      <c r="I1977" t="s">
        <v>15</v>
      </c>
      <c r="J1977" s="2">
        <v>998</v>
      </c>
      <c r="K1977" s="2">
        <v>2</v>
      </c>
    </row>
    <row r="1978" spans="1:11" x14ac:dyDescent="0.25">
      <c r="A1978" t="s">
        <v>2024</v>
      </c>
      <c r="B1978" t="s">
        <v>20</v>
      </c>
      <c r="C1978" t="s">
        <v>28</v>
      </c>
      <c r="D1978" t="s">
        <v>37</v>
      </c>
      <c r="E1978" s="1">
        <v>45176</v>
      </c>
      <c r="F1978" s="1">
        <v>45180</v>
      </c>
      <c r="G1978" s="2">
        <v>27.8</v>
      </c>
      <c r="H1978" s="2">
        <v>198.3</v>
      </c>
      <c r="I1978" t="s">
        <v>15</v>
      </c>
      <c r="J1978" s="2">
        <v>1435</v>
      </c>
      <c r="K1978" s="2">
        <v>4</v>
      </c>
    </row>
    <row r="1979" spans="1:11" x14ac:dyDescent="0.25">
      <c r="A1979" t="s">
        <v>2025</v>
      </c>
      <c r="B1979" t="s">
        <v>35</v>
      </c>
      <c r="C1979" t="s">
        <v>21</v>
      </c>
      <c r="D1979" t="s">
        <v>14</v>
      </c>
      <c r="E1979" s="1">
        <v>45056</v>
      </c>
      <c r="F1979" s="1">
        <v>45069</v>
      </c>
      <c r="G1979" s="2">
        <v>29.6</v>
      </c>
      <c r="H1979" s="2">
        <v>300.77</v>
      </c>
      <c r="I1979" t="s">
        <v>47</v>
      </c>
      <c r="J1979" s="2">
        <v>2345</v>
      </c>
      <c r="K1979" s="2">
        <v>6</v>
      </c>
    </row>
    <row r="1980" spans="1:11" x14ac:dyDescent="0.25">
      <c r="A1980" t="s">
        <v>2026</v>
      </c>
      <c r="B1980" t="s">
        <v>35</v>
      </c>
      <c r="C1980" t="s">
        <v>17</v>
      </c>
      <c r="D1980" t="s">
        <v>59</v>
      </c>
      <c r="E1980" s="1">
        <v>45040</v>
      </c>
      <c r="F1980" s="1">
        <v>45045</v>
      </c>
      <c r="G1980" s="2">
        <v>31.3</v>
      </c>
      <c r="H1980" s="2">
        <v>291.05</v>
      </c>
      <c r="I1980" t="s">
        <v>15</v>
      </c>
      <c r="J1980" s="2">
        <v>2030</v>
      </c>
      <c r="K1980" s="2">
        <v>5</v>
      </c>
    </row>
    <row r="1981" spans="1:11" x14ac:dyDescent="0.25">
      <c r="A1981" t="s">
        <v>2027</v>
      </c>
      <c r="B1981" t="s">
        <v>27</v>
      </c>
      <c r="C1981" t="s">
        <v>36</v>
      </c>
      <c r="D1981" t="s">
        <v>32</v>
      </c>
      <c r="E1981" s="1">
        <v>45051</v>
      </c>
      <c r="F1981" s="1">
        <v>45056</v>
      </c>
      <c r="G1981" s="2">
        <v>54.6</v>
      </c>
      <c r="H1981" s="2">
        <v>307.89999999999998</v>
      </c>
      <c r="I1981" t="s">
        <v>15</v>
      </c>
      <c r="J1981" s="2">
        <v>1675</v>
      </c>
      <c r="K1981" s="2">
        <v>5</v>
      </c>
    </row>
    <row r="1982" spans="1:11" x14ac:dyDescent="0.25">
      <c r="A1982" t="s">
        <v>2028</v>
      </c>
      <c r="B1982" t="s">
        <v>27</v>
      </c>
      <c r="C1982" t="s">
        <v>40</v>
      </c>
      <c r="D1982" t="s">
        <v>18</v>
      </c>
      <c r="E1982" s="1">
        <v>44988</v>
      </c>
      <c r="F1982" s="1">
        <v>44994</v>
      </c>
      <c r="G1982" s="2">
        <v>21.5</v>
      </c>
      <c r="H1982" s="2">
        <v>264.67</v>
      </c>
      <c r="I1982" t="s">
        <v>15</v>
      </c>
      <c r="J1982" s="2">
        <v>1813</v>
      </c>
      <c r="K1982" s="2">
        <v>6</v>
      </c>
    </row>
    <row r="1983" spans="1:11" x14ac:dyDescent="0.25">
      <c r="A1983" t="s">
        <v>2029</v>
      </c>
      <c r="B1983" t="s">
        <v>27</v>
      </c>
      <c r="C1983" t="s">
        <v>31</v>
      </c>
      <c r="D1983" t="s">
        <v>14</v>
      </c>
      <c r="E1983" s="1">
        <v>44976</v>
      </c>
      <c r="F1983" s="1">
        <v>44978</v>
      </c>
      <c r="G1983" s="2">
        <v>20.100000000000001</v>
      </c>
      <c r="H1983" s="2">
        <v>100.6</v>
      </c>
      <c r="I1983" t="s">
        <v>15</v>
      </c>
      <c r="J1983" s="2">
        <v>596</v>
      </c>
      <c r="K1983" s="2">
        <v>2</v>
      </c>
    </row>
    <row r="1984" spans="1:11" x14ac:dyDescent="0.25">
      <c r="A1984" t="s">
        <v>2030</v>
      </c>
      <c r="B1984" t="s">
        <v>56</v>
      </c>
      <c r="C1984" t="s">
        <v>57</v>
      </c>
      <c r="D1984" t="s">
        <v>25</v>
      </c>
      <c r="E1984" s="1">
        <v>44996</v>
      </c>
      <c r="F1984" s="1">
        <v>45004</v>
      </c>
      <c r="G1984" s="2">
        <v>33.9</v>
      </c>
      <c r="H1984" s="2">
        <v>172.51</v>
      </c>
      <c r="I1984" t="s">
        <v>15</v>
      </c>
      <c r="J1984" s="2">
        <v>1174</v>
      </c>
      <c r="K1984" s="2">
        <v>8</v>
      </c>
    </row>
    <row r="1985" spans="1:11" x14ac:dyDescent="0.25">
      <c r="A1985" t="s">
        <v>2031</v>
      </c>
      <c r="B1985" t="s">
        <v>49</v>
      </c>
      <c r="C1985" t="s">
        <v>17</v>
      </c>
      <c r="D1985" t="s">
        <v>37</v>
      </c>
      <c r="E1985" s="1">
        <v>45062</v>
      </c>
      <c r="F1985" s="1">
        <v>45063</v>
      </c>
      <c r="G1985" s="2">
        <v>36.5</v>
      </c>
      <c r="H1985" s="2">
        <v>58.02</v>
      </c>
      <c r="I1985" t="s">
        <v>15</v>
      </c>
      <c r="J1985" s="2">
        <v>145</v>
      </c>
      <c r="K1985" s="2">
        <v>1</v>
      </c>
    </row>
    <row r="1986" spans="1:11" x14ac:dyDescent="0.25">
      <c r="A1986" t="s">
        <v>2032</v>
      </c>
      <c r="B1986" t="s">
        <v>20</v>
      </c>
      <c r="C1986" t="s">
        <v>81</v>
      </c>
      <c r="D1986" t="s">
        <v>14</v>
      </c>
      <c r="E1986" s="1">
        <v>45228</v>
      </c>
      <c r="F1986" s="1">
        <v>45229</v>
      </c>
      <c r="G1986" s="2">
        <v>33</v>
      </c>
      <c r="H1986" s="2">
        <v>58.45</v>
      </c>
      <c r="I1986" t="s">
        <v>15</v>
      </c>
      <c r="J1986" s="2">
        <v>111</v>
      </c>
      <c r="K1986" s="2">
        <v>1</v>
      </c>
    </row>
    <row r="1987" spans="1:11" x14ac:dyDescent="0.25">
      <c r="A1987" t="s">
        <v>2033</v>
      </c>
      <c r="B1987" t="s">
        <v>51</v>
      </c>
      <c r="C1987" t="s">
        <v>31</v>
      </c>
      <c r="D1987" t="s">
        <v>18</v>
      </c>
      <c r="E1987" s="1">
        <v>45197</v>
      </c>
      <c r="F1987" s="1">
        <v>45202</v>
      </c>
      <c r="G1987" s="2">
        <v>40</v>
      </c>
      <c r="H1987" s="2">
        <v>308.58999999999997</v>
      </c>
      <c r="I1987" t="s">
        <v>15</v>
      </c>
      <c r="J1987" s="2">
        <v>2018</v>
      </c>
      <c r="K1987" s="2">
        <v>5</v>
      </c>
    </row>
    <row r="1988" spans="1:11" x14ac:dyDescent="0.25">
      <c r="A1988" t="s">
        <v>2034</v>
      </c>
      <c r="B1988" t="s">
        <v>12</v>
      </c>
      <c r="C1988" t="s">
        <v>40</v>
      </c>
      <c r="D1988" t="s">
        <v>25</v>
      </c>
      <c r="E1988" s="1">
        <v>45211</v>
      </c>
      <c r="F1988" s="1">
        <v>45216</v>
      </c>
      <c r="G1988" s="2">
        <v>4.8</v>
      </c>
      <c r="H1988" s="2">
        <v>31.95</v>
      </c>
      <c r="I1988" t="s">
        <v>47</v>
      </c>
      <c r="J1988" s="2">
        <v>236</v>
      </c>
      <c r="K1988" s="2">
        <v>3</v>
      </c>
    </row>
    <row r="1989" spans="1:11" x14ac:dyDescent="0.25">
      <c r="A1989" t="s">
        <v>2035</v>
      </c>
      <c r="B1989" t="s">
        <v>39</v>
      </c>
      <c r="C1989" t="s">
        <v>54</v>
      </c>
      <c r="D1989" t="s">
        <v>42</v>
      </c>
      <c r="E1989" s="1">
        <v>45139</v>
      </c>
      <c r="F1989" s="1">
        <v>45142</v>
      </c>
      <c r="G1989" s="2">
        <v>6.5</v>
      </c>
      <c r="H1989" s="2">
        <v>115.78</v>
      </c>
      <c r="I1989" t="s">
        <v>15</v>
      </c>
      <c r="J1989" s="2">
        <v>948</v>
      </c>
      <c r="K1989" s="2">
        <v>3</v>
      </c>
    </row>
    <row r="1990" spans="1:11" x14ac:dyDescent="0.25">
      <c r="A1990" t="s">
        <v>2036</v>
      </c>
      <c r="B1990" t="s">
        <v>20</v>
      </c>
      <c r="C1990" t="s">
        <v>17</v>
      </c>
      <c r="D1990" t="s">
        <v>37</v>
      </c>
      <c r="E1990" s="1">
        <v>44944</v>
      </c>
      <c r="F1990" s="1">
        <v>44952</v>
      </c>
      <c r="G1990" s="2">
        <v>78.2</v>
      </c>
      <c r="H1990" s="2">
        <v>392</v>
      </c>
      <c r="I1990" t="s">
        <v>15</v>
      </c>
      <c r="J1990" s="2">
        <v>2309</v>
      </c>
      <c r="K1990" s="2">
        <v>8</v>
      </c>
    </row>
    <row r="1991" spans="1:11" x14ac:dyDescent="0.25">
      <c r="A1991" t="s">
        <v>2037</v>
      </c>
      <c r="B1991" t="s">
        <v>35</v>
      </c>
      <c r="C1991" t="s">
        <v>54</v>
      </c>
      <c r="D1991" t="s">
        <v>32</v>
      </c>
      <c r="E1991" s="1">
        <v>45267</v>
      </c>
      <c r="F1991" s="1">
        <v>45272</v>
      </c>
      <c r="G1991" s="2">
        <v>29.1</v>
      </c>
      <c r="H1991" s="2">
        <v>240.47</v>
      </c>
      <c r="I1991" t="s">
        <v>15</v>
      </c>
      <c r="J1991" s="2">
        <v>1350</v>
      </c>
      <c r="K1991" s="2">
        <v>5</v>
      </c>
    </row>
    <row r="1992" spans="1:11" x14ac:dyDescent="0.25">
      <c r="A1992" t="s">
        <v>2038</v>
      </c>
      <c r="B1992" t="s">
        <v>39</v>
      </c>
      <c r="C1992" t="s">
        <v>44</v>
      </c>
      <c r="D1992" t="s">
        <v>25</v>
      </c>
      <c r="E1992" s="1">
        <v>44970</v>
      </c>
      <c r="F1992" s="1">
        <v>44975</v>
      </c>
      <c r="G1992" s="2">
        <v>38.799999999999997</v>
      </c>
      <c r="H1992" s="2">
        <v>248.5</v>
      </c>
      <c r="I1992" t="s">
        <v>15</v>
      </c>
      <c r="J1992" s="2">
        <v>1877</v>
      </c>
      <c r="K1992" s="2">
        <v>5</v>
      </c>
    </row>
    <row r="1993" spans="1:11" x14ac:dyDescent="0.25">
      <c r="A1993" t="s">
        <v>2039</v>
      </c>
      <c r="B1993" t="s">
        <v>49</v>
      </c>
      <c r="C1993" t="s">
        <v>24</v>
      </c>
      <c r="D1993" t="s">
        <v>18</v>
      </c>
      <c r="E1993" s="1">
        <v>45104</v>
      </c>
      <c r="F1993" s="1">
        <v>45110</v>
      </c>
      <c r="G1993" s="2">
        <v>17.7</v>
      </c>
      <c r="H1993" s="2">
        <v>368.38</v>
      </c>
      <c r="I1993" t="s">
        <v>15</v>
      </c>
      <c r="J1993" s="2">
        <v>2300</v>
      </c>
      <c r="K1993" s="2">
        <v>6</v>
      </c>
    </row>
    <row r="1994" spans="1:11" x14ac:dyDescent="0.25">
      <c r="A1994" t="s">
        <v>2040</v>
      </c>
      <c r="B1994" t="s">
        <v>30</v>
      </c>
      <c r="C1994" t="s">
        <v>36</v>
      </c>
      <c r="D1994" t="s">
        <v>25</v>
      </c>
      <c r="E1994" s="1">
        <v>45203</v>
      </c>
      <c r="F1994" s="1">
        <v>45204</v>
      </c>
      <c r="G1994" s="2">
        <v>43.2</v>
      </c>
      <c r="H1994" s="2">
        <v>73.03</v>
      </c>
      <c r="I1994" t="s">
        <v>15</v>
      </c>
      <c r="J1994" s="2">
        <v>177</v>
      </c>
      <c r="K1994" s="2">
        <v>1</v>
      </c>
    </row>
    <row r="1995" spans="1:11" x14ac:dyDescent="0.25">
      <c r="A1995" t="s">
        <v>2041</v>
      </c>
      <c r="B1995" t="s">
        <v>35</v>
      </c>
      <c r="C1995" t="s">
        <v>46</v>
      </c>
      <c r="D1995" t="s">
        <v>18</v>
      </c>
      <c r="E1995" s="1">
        <v>45086</v>
      </c>
      <c r="F1995" s="1">
        <v>45092</v>
      </c>
      <c r="G1995" s="2">
        <v>10.3</v>
      </c>
      <c r="H1995" s="2">
        <v>355.32</v>
      </c>
      <c r="I1995" t="s">
        <v>15</v>
      </c>
      <c r="J1995" s="2">
        <v>2350</v>
      </c>
      <c r="K1995" s="2">
        <v>6</v>
      </c>
    </row>
    <row r="1996" spans="1:11" x14ac:dyDescent="0.25">
      <c r="A1996" t="s">
        <v>2042</v>
      </c>
      <c r="B1996" t="s">
        <v>27</v>
      </c>
      <c r="C1996" t="s">
        <v>24</v>
      </c>
      <c r="D1996" t="s">
        <v>37</v>
      </c>
      <c r="E1996" s="1">
        <v>45240</v>
      </c>
      <c r="F1996" s="1">
        <v>45242</v>
      </c>
      <c r="G1996" s="2">
        <v>59.7</v>
      </c>
      <c r="H1996" s="2">
        <v>130</v>
      </c>
      <c r="I1996" t="s">
        <v>15</v>
      </c>
      <c r="J1996" s="2">
        <v>237</v>
      </c>
      <c r="K1996" s="2">
        <v>2</v>
      </c>
    </row>
    <row r="1997" spans="1:11" x14ac:dyDescent="0.25">
      <c r="A1997" t="s">
        <v>2043</v>
      </c>
      <c r="B1997" t="s">
        <v>23</v>
      </c>
      <c r="C1997" t="s">
        <v>13</v>
      </c>
      <c r="D1997" t="s">
        <v>32</v>
      </c>
      <c r="E1997" s="1">
        <v>44944</v>
      </c>
      <c r="F1997" s="1">
        <v>44949</v>
      </c>
      <c r="G1997" s="2">
        <v>7.9</v>
      </c>
      <c r="H1997" s="2">
        <v>217.78</v>
      </c>
      <c r="I1997" t="s">
        <v>15</v>
      </c>
      <c r="J1997" s="2">
        <v>1616</v>
      </c>
      <c r="K1997" s="2">
        <v>5</v>
      </c>
    </row>
    <row r="1998" spans="1:11" x14ac:dyDescent="0.25">
      <c r="A1998" t="s">
        <v>2044</v>
      </c>
      <c r="B1998" t="s">
        <v>39</v>
      </c>
      <c r="C1998" t="s">
        <v>52</v>
      </c>
      <c r="D1998" t="s">
        <v>14</v>
      </c>
      <c r="E1998" s="1">
        <v>45226</v>
      </c>
      <c r="F1998" s="1">
        <v>45231</v>
      </c>
      <c r="G1998" s="2">
        <v>36.5</v>
      </c>
      <c r="H1998" s="2">
        <v>279.47000000000003</v>
      </c>
      <c r="I1998" t="s">
        <v>15</v>
      </c>
      <c r="J1998" s="2">
        <v>1708</v>
      </c>
      <c r="K1998" s="2">
        <v>5</v>
      </c>
    </row>
    <row r="1999" spans="1:11" x14ac:dyDescent="0.25">
      <c r="A1999" t="s">
        <v>2045</v>
      </c>
      <c r="B1999" t="s">
        <v>39</v>
      </c>
      <c r="C1999" t="s">
        <v>36</v>
      </c>
      <c r="D1999" t="s">
        <v>42</v>
      </c>
      <c r="E1999" s="1">
        <v>44970</v>
      </c>
      <c r="F1999" s="1">
        <v>44976</v>
      </c>
      <c r="G1999" s="2">
        <v>11.4</v>
      </c>
      <c r="H1999" s="2">
        <v>250.32</v>
      </c>
      <c r="I1999" t="s">
        <v>15</v>
      </c>
      <c r="J1999" s="2">
        <v>1912</v>
      </c>
      <c r="K1999" s="2">
        <v>6</v>
      </c>
    </row>
    <row r="2000" spans="1:11" x14ac:dyDescent="0.25">
      <c r="A2000" t="s">
        <v>2046</v>
      </c>
      <c r="B2000" t="s">
        <v>49</v>
      </c>
      <c r="C2000" t="s">
        <v>40</v>
      </c>
      <c r="D2000" t="s">
        <v>59</v>
      </c>
      <c r="E2000" s="1">
        <v>45216</v>
      </c>
      <c r="F2000" s="1">
        <v>45221</v>
      </c>
      <c r="G2000" s="2">
        <v>10.9</v>
      </c>
      <c r="H2000" s="2">
        <v>272.31</v>
      </c>
      <c r="I2000" t="s">
        <v>15</v>
      </c>
      <c r="J2000" s="2">
        <v>2188</v>
      </c>
      <c r="K2000" s="2">
        <v>5</v>
      </c>
    </row>
    <row r="2001" spans="1:11" x14ac:dyDescent="0.25">
      <c r="A2001" t="s">
        <v>2047</v>
      </c>
      <c r="B2001" t="s">
        <v>12</v>
      </c>
      <c r="C2001" t="s">
        <v>36</v>
      </c>
      <c r="D2001" t="s">
        <v>25</v>
      </c>
      <c r="E2001" s="1">
        <v>45115</v>
      </c>
      <c r="G2001" s="2">
        <v>49.5</v>
      </c>
      <c r="H2001" s="2">
        <v>360.74</v>
      </c>
      <c r="I2001" t="s">
        <v>15</v>
      </c>
      <c r="J2001" s="2">
        <v>2321</v>
      </c>
      <c r="K2001" s="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9157D-C0AA-4B8D-A25E-99E944B7F67B}">
  <sheetPr filterMode="1"/>
  <dimension ref="A1:R1960"/>
  <sheetViews>
    <sheetView tabSelected="1" topLeftCell="B1" workbookViewId="0">
      <selection activeCell="Q2" sqref="Q2"/>
    </sheetView>
  </sheetViews>
  <sheetFormatPr defaultColWidth="8.85546875" defaultRowHeight="15" x14ac:dyDescent="0.25"/>
  <cols>
    <col min="1" max="1" width="14.28515625" bestFit="1" customWidth="1"/>
    <col min="2" max="2" width="19.85546875" bestFit="1" customWidth="1"/>
    <col min="3" max="3" width="17.5703125" bestFit="1" customWidth="1"/>
    <col min="4" max="4" width="18.7109375" bestFit="1" customWidth="1"/>
    <col min="5" max="5" width="20.5703125" bestFit="1" customWidth="1"/>
    <col min="6" max="6" width="16.42578125" bestFit="1" customWidth="1"/>
    <col min="7" max="7" width="16.5703125" style="1" bestFit="1" customWidth="1"/>
    <col min="8" max="8" width="15" style="1" hidden="1" customWidth="1"/>
    <col min="9" max="9" width="15" style="1" customWidth="1"/>
    <col min="10" max="10" width="12.140625" style="2" bestFit="1" customWidth="1"/>
    <col min="11" max="11" width="7.5703125" style="2" bestFit="1" customWidth="1"/>
    <col min="12" max="12" width="9.28515625" bestFit="1" customWidth="1"/>
    <col min="13" max="13" width="16.85546875" style="2" bestFit="1" customWidth="1"/>
    <col min="14" max="14" width="14.5703125" style="2" bestFit="1" customWidth="1"/>
    <col min="15" max="15" width="20.5703125" style="2" bestFit="1" customWidth="1"/>
    <col min="16" max="16" width="19.5703125" style="2" bestFit="1" customWidth="1"/>
    <col min="17" max="17" width="15.5703125" bestFit="1" customWidth="1"/>
    <col min="18" max="18" width="10.28515625" bestFit="1" customWidth="1"/>
  </cols>
  <sheetData>
    <row r="1" spans="1:18" x14ac:dyDescent="0.25">
      <c r="A1" t="s">
        <v>0</v>
      </c>
      <c r="B1" t="s">
        <v>1</v>
      </c>
      <c r="C1" t="s">
        <v>2051</v>
      </c>
      <c r="D1" t="s">
        <v>2048</v>
      </c>
      <c r="E1" t="s">
        <v>2049</v>
      </c>
      <c r="F1" t="s">
        <v>3</v>
      </c>
      <c r="G1" s="1" t="s">
        <v>4</v>
      </c>
      <c r="H1" s="1" t="s">
        <v>5</v>
      </c>
      <c r="I1" s="1" t="s">
        <v>5</v>
      </c>
      <c r="J1" s="2" t="s">
        <v>6</v>
      </c>
      <c r="K1" s="2" t="s">
        <v>7</v>
      </c>
      <c r="L1" t="s">
        <v>8</v>
      </c>
      <c r="M1" s="2" t="s">
        <v>9</v>
      </c>
      <c r="N1" s="2" t="s">
        <v>10</v>
      </c>
      <c r="O1" s="2" t="s">
        <v>2050</v>
      </c>
      <c r="P1" s="2" t="s">
        <v>2052</v>
      </c>
      <c r="Q1" s="2" t="s">
        <v>2053</v>
      </c>
      <c r="R1" s="2"/>
    </row>
    <row r="2" spans="1:18" x14ac:dyDescent="0.25">
      <c r="A2" t="s">
        <v>11</v>
      </c>
      <c r="B2" t="s">
        <v>12</v>
      </c>
      <c r="C2" t="s">
        <v>13</v>
      </c>
      <c r="D2" t="str">
        <f>IF(C2="Atlanta","GA",
IF(C2="Boston","MA",
IF(C2="Chicago","IL",
IF(C2="Dallas","TX",
IF(C2="Denver","CO",
IF(C2="Detroit","MI",
IF(C2="Houston","TX",
IF(C2="Los Angeles","CA",
IF(C2="Miami","FL",
IF(C2="Minneapolis","MN",
IF(C2="New York","NY",
IF(C2="Phoenix","AZ",
IF(C2="Portland","OR",
IF(C2="San Francisco","CA",
IF(C2="Seattle","WA","Unknown")))))))))))))))</f>
        <v>CA</v>
      </c>
      <c r="E2" t="str">
        <f>IF(OR(D2="NY",D2="NJ",D2="PA",D2="MA",D2="CT",D2="RI",D2="VT",D2="NH",D2="ME"),"Northeast",
IF(OR(D2="FL",D2="GA",D2="AL",D2="MS",D2="SC",D2="NC",D2="TN",D2="KY"),"Southeast",
IF(OR(D2="IL",D2="IN",D2="OH",D2="MI",D2="WI",D2="MN",D2="IA",D2="MO",D2="KS",D2="NE",D2="ND",D2="SD"),"Midwest",
IF(OR(D2="TX",D2="OK",D2="NM",D2="AZ"),"Southwest",
IF(OR(D2="CA",D2="OR",D2="WA",D2="NV",D2="CO",D2="UT",D2="ID",D2="MT",D2="WY",D2="AK",D2="HI"),"West","Other")))))</f>
        <v>West</v>
      </c>
      <c r="F2" t="s">
        <v>14</v>
      </c>
      <c r="G2" s="1">
        <v>45201</v>
      </c>
      <c r="H2" s="1">
        <v>45203</v>
      </c>
      <c r="I2" s="1">
        <f t="shared" ref="I2:I65" si="0">IF(H2="", G2 + N2, H2)</f>
        <v>45203</v>
      </c>
      <c r="J2" s="2">
        <v>25.7</v>
      </c>
      <c r="K2" s="2">
        <v>67.459999999999994</v>
      </c>
      <c r="L2" t="s">
        <v>15</v>
      </c>
      <c r="M2" s="2">
        <v>291</v>
      </c>
      <c r="N2" s="2">
        <v>2</v>
      </c>
      <c r="O2" s="2">
        <f>M2/N2</f>
        <v>145.5</v>
      </c>
      <c r="P2" s="2">
        <f>O2/K2</f>
        <v>2.1568336792173142</v>
      </c>
      <c r="Q2" s="3">
        <f>K2/M2</f>
        <v>0.23182130584192437</v>
      </c>
    </row>
    <row r="3" spans="1:18" hidden="1" x14ac:dyDescent="0.25">
      <c r="A3" t="s">
        <v>16</v>
      </c>
      <c r="B3" t="s">
        <v>12</v>
      </c>
      <c r="C3" t="s">
        <v>17</v>
      </c>
      <c r="D3" t="str">
        <f t="shared" ref="D3:D66" si="1">IF(C3="Atlanta","GA",
IF(C3="Boston","MA",
IF(C3="Chicago","IL",
IF(C3="Dallas","TX",
IF(C3="Denver","CO",
IF(C3="Detroit","MI",
IF(C3="Houston","TX",
IF(C3="Los Angeles","CA",
IF(C3="Miami","FL",
IF(C3="Minneapolis","MN",
IF(C3="New York","NY",
IF(C3="Phoenix","AZ",
IF(C3="Portland","OR",
IF(C3="San Francisco","CA",
IF(C3="Seattle","WA","Unknown")))))))))))))))</f>
        <v>GA</v>
      </c>
      <c r="E3" t="str">
        <f t="shared" ref="E3:E66" si="2">IF(OR(D3="NY",D3="NJ",D3="PA",D3="MA",D3="CT",D3="RI",D3="VT",D3="NH",D3="ME"),"Northeast",
IF(OR(D3="FL",D3="GA",D3="AL",D3="MS",D3="SC",D3="NC",D3="TN",D3="KY"),"Southeast",
IF(OR(D3="IL",D3="IN",D3="OH",D3="MI",D3="WI",D3="MN",D3="IA",D3="MO",D3="KS",D3="NE",D3="ND",D3="SD"),"Midwest",
IF(OR(D3="TX",D3="OK",D3="NM",D3="AZ"),"Southwest",
IF(OR(D3="CA",D3="OR",D3="WA",D3="NV",D3="CO",D3="UT",D3="ID",D3="MT",D3="WY",D3="AK",D3="HI"),"West","Other")))))</f>
        <v>Southeast</v>
      </c>
      <c r="F3" t="s">
        <v>18</v>
      </c>
      <c r="G3" s="1">
        <v>45266</v>
      </c>
      <c r="H3" s="1">
        <v>45269</v>
      </c>
      <c r="I3" s="1">
        <f t="shared" si="0"/>
        <v>45269</v>
      </c>
      <c r="J3" s="2">
        <v>38.9</v>
      </c>
      <c r="K3" s="2">
        <v>268.85000000000002</v>
      </c>
      <c r="L3" t="s">
        <v>15</v>
      </c>
      <c r="M3" s="2">
        <v>1225</v>
      </c>
      <c r="N3" s="2">
        <v>3</v>
      </c>
      <c r="O3" s="2">
        <f t="shared" ref="O3:O66" si="3">M3/N3</f>
        <v>408.33333333333331</v>
      </c>
      <c r="P3" s="2">
        <f t="shared" ref="P3:P66" si="4">O3/K3</f>
        <v>1.5188147046060378</v>
      </c>
      <c r="Q3" s="3">
        <f t="shared" ref="Q3:Q66" si="5">K3/M3</f>
        <v>0.21946938775510205</v>
      </c>
    </row>
    <row r="4" spans="1:18" hidden="1" x14ac:dyDescent="0.25">
      <c r="A4" t="s">
        <v>19</v>
      </c>
      <c r="B4" t="s">
        <v>20</v>
      </c>
      <c r="C4" t="s">
        <v>21</v>
      </c>
      <c r="D4" t="str">
        <f t="shared" si="1"/>
        <v>TX</v>
      </c>
      <c r="E4" t="str">
        <f t="shared" si="2"/>
        <v>Southwest</v>
      </c>
      <c r="F4" t="s">
        <v>18</v>
      </c>
      <c r="G4" s="1">
        <v>45187</v>
      </c>
      <c r="H4" s="1">
        <v>45189</v>
      </c>
      <c r="I4" s="1">
        <f t="shared" si="0"/>
        <v>45189</v>
      </c>
      <c r="J4" s="2">
        <v>37.200000000000003</v>
      </c>
      <c r="K4" s="2">
        <v>74.349999999999994</v>
      </c>
      <c r="L4" t="s">
        <v>15</v>
      </c>
      <c r="M4" s="2">
        <v>220</v>
      </c>
      <c r="N4" s="2">
        <v>2</v>
      </c>
      <c r="O4" s="2">
        <f t="shared" si="3"/>
        <v>110</v>
      </c>
      <c r="P4" s="2">
        <f t="shared" si="4"/>
        <v>1.4794889038332213</v>
      </c>
      <c r="Q4" s="3">
        <f t="shared" si="5"/>
        <v>0.33795454545454545</v>
      </c>
    </row>
    <row r="5" spans="1:18" x14ac:dyDescent="0.25">
      <c r="A5" t="s">
        <v>22</v>
      </c>
      <c r="B5" t="s">
        <v>23</v>
      </c>
      <c r="C5" t="s">
        <v>24</v>
      </c>
      <c r="D5" t="str">
        <f t="shared" si="1"/>
        <v>WA</v>
      </c>
      <c r="E5" t="str">
        <f t="shared" si="2"/>
        <v>West</v>
      </c>
      <c r="F5" t="s">
        <v>25</v>
      </c>
      <c r="G5" s="1">
        <v>44952</v>
      </c>
      <c r="H5" s="1">
        <v>44961</v>
      </c>
      <c r="I5" s="1">
        <f t="shared" si="0"/>
        <v>44961</v>
      </c>
      <c r="J5" s="2">
        <v>42.6</v>
      </c>
      <c r="K5" s="2">
        <v>187.04</v>
      </c>
      <c r="L5" t="s">
        <v>15</v>
      </c>
      <c r="M5" s="2">
        <v>1156</v>
      </c>
      <c r="N5" s="2">
        <v>9</v>
      </c>
      <c r="O5" s="2">
        <f t="shared" si="3"/>
        <v>128.44444444444446</v>
      </c>
      <c r="P5" s="2">
        <f t="shared" si="4"/>
        <v>0.68672179450622572</v>
      </c>
      <c r="Q5" s="3">
        <f t="shared" si="5"/>
        <v>0.1617993079584775</v>
      </c>
    </row>
    <row r="6" spans="1:18" hidden="1" x14ac:dyDescent="0.25">
      <c r="A6" t="s">
        <v>26</v>
      </c>
      <c r="B6" t="s">
        <v>27</v>
      </c>
      <c r="C6" t="s">
        <v>28</v>
      </c>
      <c r="D6" t="str">
        <f t="shared" si="1"/>
        <v>TX</v>
      </c>
      <c r="E6" t="str">
        <f t="shared" si="2"/>
        <v>Southwest</v>
      </c>
      <c r="F6" t="s">
        <v>25</v>
      </c>
      <c r="G6" s="1">
        <v>45080</v>
      </c>
      <c r="H6" s="1">
        <v>45083</v>
      </c>
      <c r="I6" s="1">
        <f t="shared" si="0"/>
        <v>45083</v>
      </c>
      <c r="J6" s="2">
        <v>7.9</v>
      </c>
      <c r="K6" s="2">
        <v>120.01</v>
      </c>
      <c r="L6" t="s">
        <v>15</v>
      </c>
      <c r="M6" s="2">
        <v>1017</v>
      </c>
      <c r="N6" s="2">
        <v>3</v>
      </c>
      <c r="O6" s="2">
        <f t="shared" si="3"/>
        <v>339</v>
      </c>
      <c r="P6" s="2">
        <f t="shared" si="4"/>
        <v>2.8247646029497542</v>
      </c>
      <c r="Q6" s="3">
        <f t="shared" si="5"/>
        <v>0.11800393313667651</v>
      </c>
    </row>
    <row r="7" spans="1:18" hidden="1" x14ac:dyDescent="0.25">
      <c r="A7" t="s">
        <v>29</v>
      </c>
      <c r="B7" t="s">
        <v>30</v>
      </c>
      <c r="C7" t="s">
        <v>31</v>
      </c>
      <c r="D7" t="str">
        <f t="shared" si="1"/>
        <v>NY</v>
      </c>
      <c r="E7" t="str">
        <f t="shared" si="2"/>
        <v>Northeast</v>
      </c>
      <c r="F7" t="s">
        <v>32</v>
      </c>
      <c r="G7" s="1">
        <v>45182</v>
      </c>
      <c r="H7" s="1">
        <v>45185</v>
      </c>
      <c r="I7" s="1">
        <f t="shared" si="0"/>
        <v>45185</v>
      </c>
      <c r="J7" s="2">
        <v>9.1</v>
      </c>
      <c r="K7" s="2">
        <v>143.26</v>
      </c>
      <c r="L7" t="s">
        <v>15</v>
      </c>
      <c r="M7" s="2">
        <v>898</v>
      </c>
      <c r="N7" s="2">
        <v>3</v>
      </c>
      <c r="O7" s="2">
        <f t="shared" si="3"/>
        <v>299.33333333333331</v>
      </c>
      <c r="P7" s="2">
        <f t="shared" si="4"/>
        <v>2.0894411094048118</v>
      </c>
      <c r="Q7" s="3">
        <f t="shared" si="5"/>
        <v>0.15953229398663696</v>
      </c>
    </row>
    <row r="8" spans="1:18" hidden="1" x14ac:dyDescent="0.25">
      <c r="A8" t="s">
        <v>33</v>
      </c>
      <c r="B8" t="s">
        <v>23</v>
      </c>
      <c r="C8" t="s">
        <v>21</v>
      </c>
      <c r="D8" t="str">
        <f t="shared" si="1"/>
        <v>TX</v>
      </c>
      <c r="E8" t="str">
        <f t="shared" si="2"/>
        <v>Southwest</v>
      </c>
      <c r="F8" t="s">
        <v>14</v>
      </c>
      <c r="G8" s="1">
        <v>45218</v>
      </c>
      <c r="H8" s="1">
        <v>45222</v>
      </c>
      <c r="I8" s="1">
        <f t="shared" si="0"/>
        <v>45222</v>
      </c>
      <c r="J8" s="2">
        <v>0.4</v>
      </c>
      <c r="K8" s="2">
        <v>225.23</v>
      </c>
      <c r="L8" t="s">
        <v>15</v>
      </c>
      <c r="M8" s="2">
        <v>1522</v>
      </c>
      <c r="N8" s="2">
        <v>4</v>
      </c>
      <c r="O8" s="2">
        <f t="shared" si="3"/>
        <v>380.5</v>
      </c>
      <c r="P8" s="2">
        <f t="shared" si="4"/>
        <v>1.6893841850552769</v>
      </c>
      <c r="Q8" s="3">
        <f t="shared" si="5"/>
        <v>0.14798291721419185</v>
      </c>
    </row>
    <row r="9" spans="1:18" x14ac:dyDescent="0.25">
      <c r="A9" t="s">
        <v>34</v>
      </c>
      <c r="B9" t="s">
        <v>35</v>
      </c>
      <c r="C9" t="s">
        <v>36</v>
      </c>
      <c r="D9" t="str">
        <f t="shared" si="1"/>
        <v>OR</v>
      </c>
      <c r="E9" t="str">
        <f t="shared" si="2"/>
        <v>West</v>
      </c>
      <c r="F9" t="s">
        <v>37</v>
      </c>
      <c r="G9" s="1">
        <v>44984</v>
      </c>
      <c r="H9" s="1">
        <v>44993</v>
      </c>
      <c r="I9" s="1">
        <f t="shared" si="0"/>
        <v>44993</v>
      </c>
      <c r="J9" s="2">
        <v>16.7</v>
      </c>
      <c r="K9" s="2">
        <v>281.23</v>
      </c>
      <c r="L9" t="s">
        <v>15</v>
      </c>
      <c r="M9" s="2">
        <v>2013</v>
      </c>
      <c r="N9" s="2">
        <v>9</v>
      </c>
      <c r="O9" s="2">
        <f t="shared" si="3"/>
        <v>223.66666666666666</v>
      </c>
      <c r="P9" s="2">
        <f t="shared" si="4"/>
        <v>0.79531581505055171</v>
      </c>
      <c r="Q9" s="3">
        <f t="shared" si="5"/>
        <v>0.13970690511674119</v>
      </c>
    </row>
    <row r="10" spans="1:18" hidden="1" x14ac:dyDescent="0.25">
      <c r="A10" t="s">
        <v>38</v>
      </c>
      <c r="B10" t="s">
        <v>39</v>
      </c>
      <c r="C10" t="s">
        <v>40</v>
      </c>
      <c r="D10" t="str">
        <f t="shared" si="1"/>
        <v>MI</v>
      </c>
      <c r="E10" t="str">
        <f t="shared" si="2"/>
        <v>Midwest</v>
      </c>
      <c r="F10" t="s">
        <v>37</v>
      </c>
      <c r="G10" s="1">
        <v>45254</v>
      </c>
      <c r="H10" s="1">
        <v>45261</v>
      </c>
      <c r="I10" s="1">
        <f t="shared" si="0"/>
        <v>45261</v>
      </c>
      <c r="J10" s="2">
        <v>15.1</v>
      </c>
      <c r="K10" s="2">
        <v>341.93</v>
      </c>
      <c r="L10" t="s">
        <v>15</v>
      </c>
      <c r="M10" s="2">
        <v>2072</v>
      </c>
      <c r="N10" s="2">
        <v>7</v>
      </c>
      <c r="O10" s="2">
        <f t="shared" si="3"/>
        <v>296</v>
      </c>
      <c r="P10" s="2">
        <f t="shared" si="4"/>
        <v>0.86567426081361676</v>
      </c>
      <c r="Q10" s="3">
        <f t="shared" si="5"/>
        <v>0.16502413127413126</v>
      </c>
    </row>
    <row r="11" spans="1:18" hidden="1" x14ac:dyDescent="0.25">
      <c r="A11" t="s">
        <v>41</v>
      </c>
      <c r="B11" t="s">
        <v>27</v>
      </c>
      <c r="C11" t="s">
        <v>40</v>
      </c>
      <c r="D11" t="str">
        <f t="shared" si="1"/>
        <v>MI</v>
      </c>
      <c r="E11" t="str">
        <f t="shared" si="2"/>
        <v>Midwest</v>
      </c>
      <c r="F11" t="s">
        <v>42</v>
      </c>
      <c r="G11" s="1">
        <v>44945</v>
      </c>
      <c r="H11" s="1">
        <v>44947</v>
      </c>
      <c r="I11" s="1">
        <f t="shared" si="0"/>
        <v>44947</v>
      </c>
      <c r="J11" s="2">
        <v>27.7</v>
      </c>
      <c r="K11" s="2">
        <v>55.24</v>
      </c>
      <c r="L11" t="s">
        <v>15</v>
      </c>
      <c r="M11" s="2">
        <v>214</v>
      </c>
      <c r="N11" s="2">
        <v>2</v>
      </c>
      <c r="O11" s="2">
        <f t="shared" si="3"/>
        <v>107</v>
      </c>
      <c r="P11" s="2">
        <f t="shared" si="4"/>
        <v>1.9370021723388848</v>
      </c>
      <c r="Q11" s="3">
        <f t="shared" si="5"/>
        <v>0.25813084112149531</v>
      </c>
    </row>
    <row r="12" spans="1:18" hidden="1" x14ac:dyDescent="0.25">
      <c r="A12" t="s">
        <v>43</v>
      </c>
      <c r="B12" t="s">
        <v>12</v>
      </c>
      <c r="C12" t="s">
        <v>44</v>
      </c>
      <c r="D12" t="str">
        <f t="shared" si="1"/>
        <v>IL</v>
      </c>
      <c r="E12" t="str">
        <f t="shared" si="2"/>
        <v>Midwest</v>
      </c>
      <c r="F12" t="s">
        <v>32</v>
      </c>
      <c r="G12" s="1">
        <v>44959</v>
      </c>
      <c r="H12" s="1">
        <v>44964</v>
      </c>
      <c r="I12" s="1">
        <f t="shared" si="0"/>
        <v>44964</v>
      </c>
      <c r="J12" s="2">
        <v>7.1</v>
      </c>
      <c r="K12" s="2">
        <v>251.53</v>
      </c>
      <c r="L12" t="s">
        <v>15</v>
      </c>
      <c r="M12" s="2">
        <v>1736</v>
      </c>
      <c r="N12" s="2">
        <v>5</v>
      </c>
      <c r="O12" s="2">
        <f t="shared" si="3"/>
        <v>347.2</v>
      </c>
      <c r="P12" s="2">
        <f t="shared" si="4"/>
        <v>1.3803522442650975</v>
      </c>
      <c r="Q12" s="3">
        <f t="shared" si="5"/>
        <v>0.14489055299539172</v>
      </c>
    </row>
    <row r="13" spans="1:18" hidden="1" x14ac:dyDescent="0.25">
      <c r="A13" t="s">
        <v>45</v>
      </c>
      <c r="B13" t="s">
        <v>30</v>
      </c>
      <c r="C13" t="s">
        <v>46</v>
      </c>
      <c r="D13" t="str">
        <f t="shared" si="1"/>
        <v>MA</v>
      </c>
      <c r="E13" t="str">
        <f t="shared" si="2"/>
        <v>Northeast</v>
      </c>
      <c r="F13" t="s">
        <v>37</v>
      </c>
      <c r="G13" s="1">
        <v>45074</v>
      </c>
      <c r="H13" s="1">
        <v>45081</v>
      </c>
      <c r="I13" s="1">
        <f t="shared" si="0"/>
        <v>45081</v>
      </c>
      <c r="J13" s="2">
        <v>38.200000000000003</v>
      </c>
      <c r="K13" s="2">
        <v>357.12</v>
      </c>
      <c r="L13" t="s">
        <v>47</v>
      </c>
      <c r="M13" s="2">
        <v>2366</v>
      </c>
      <c r="N13" s="2">
        <v>6</v>
      </c>
      <c r="O13" s="2">
        <f t="shared" si="3"/>
        <v>394.33333333333331</v>
      </c>
      <c r="P13" s="2">
        <f t="shared" si="4"/>
        <v>1.1042040023894861</v>
      </c>
      <c r="Q13" s="3">
        <f t="shared" si="5"/>
        <v>0.15093829247675403</v>
      </c>
    </row>
    <row r="14" spans="1:18" hidden="1" x14ac:dyDescent="0.25">
      <c r="A14" t="s">
        <v>48</v>
      </c>
      <c r="B14" t="s">
        <v>49</v>
      </c>
      <c r="C14" t="s">
        <v>31</v>
      </c>
      <c r="D14" t="str">
        <f t="shared" si="1"/>
        <v>NY</v>
      </c>
      <c r="E14" t="str">
        <f t="shared" si="2"/>
        <v>Northeast</v>
      </c>
      <c r="F14" t="s">
        <v>32</v>
      </c>
      <c r="G14" s="1">
        <v>45146</v>
      </c>
      <c r="H14" s="1">
        <v>45151</v>
      </c>
      <c r="I14" s="1">
        <f t="shared" si="0"/>
        <v>45151</v>
      </c>
      <c r="J14" s="2">
        <v>34.4</v>
      </c>
      <c r="K14" s="2">
        <v>121.14</v>
      </c>
      <c r="L14" t="s">
        <v>15</v>
      </c>
      <c r="M14" s="2">
        <v>650</v>
      </c>
      <c r="N14" s="2">
        <v>5</v>
      </c>
      <c r="O14" s="2">
        <f t="shared" si="3"/>
        <v>130</v>
      </c>
      <c r="P14" s="2">
        <f t="shared" si="4"/>
        <v>1.0731385174178636</v>
      </c>
      <c r="Q14" s="3">
        <f t="shared" si="5"/>
        <v>0.18636923076923076</v>
      </c>
    </row>
    <row r="15" spans="1:18" hidden="1" x14ac:dyDescent="0.25">
      <c r="A15" t="s">
        <v>50</v>
      </c>
      <c r="B15" t="s">
        <v>51</v>
      </c>
      <c r="C15" t="s">
        <v>52</v>
      </c>
      <c r="D15" t="str">
        <f t="shared" si="1"/>
        <v>AZ</v>
      </c>
      <c r="E15" t="str">
        <f t="shared" si="2"/>
        <v>Southwest</v>
      </c>
      <c r="F15" t="s">
        <v>14</v>
      </c>
      <c r="G15" s="1">
        <v>45288</v>
      </c>
      <c r="H15" s="1">
        <v>45294</v>
      </c>
      <c r="I15" s="1">
        <f t="shared" si="0"/>
        <v>45294</v>
      </c>
      <c r="J15" s="2">
        <v>20.7</v>
      </c>
      <c r="K15" s="2">
        <v>272.48</v>
      </c>
      <c r="L15" t="s">
        <v>15</v>
      </c>
      <c r="M15" s="2">
        <v>1574</v>
      </c>
      <c r="N15" s="2">
        <v>6</v>
      </c>
      <c r="O15" s="2">
        <f t="shared" si="3"/>
        <v>262.33333333333331</v>
      </c>
      <c r="P15" s="2">
        <f t="shared" si="4"/>
        <v>0.96276179291446451</v>
      </c>
      <c r="Q15" s="3">
        <f t="shared" si="5"/>
        <v>0.17311308767471412</v>
      </c>
    </row>
    <row r="16" spans="1:18" hidden="1" x14ac:dyDescent="0.25">
      <c r="A16" t="s">
        <v>53</v>
      </c>
      <c r="B16" t="s">
        <v>23</v>
      </c>
      <c r="C16" t="s">
        <v>54</v>
      </c>
      <c r="D16" t="str">
        <f t="shared" si="1"/>
        <v>FL</v>
      </c>
      <c r="E16" t="str">
        <f t="shared" si="2"/>
        <v>Southeast</v>
      </c>
      <c r="F16" t="s">
        <v>32</v>
      </c>
      <c r="G16" s="1">
        <v>45131</v>
      </c>
      <c r="H16" s="1">
        <v>45137</v>
      </c>
      <c r="I16" s="1">
        <f t="shared" si="0"/>
        <v>45137</v>
      </c>
      <c r="J16" s="2">
        <v>12.5</v>
      </c>
      <c r="K16" s="2">
        <v>266.08</v>
      </c>
      <c r="L16" t="s">
        <v>15</v>
      </c>
      <c r="M16" s="2">
        <v>1849</v>
      </c>
      <c r="N16" s="2">
        <v>6</v>
      </c>
      <c r="O16" s="2">
        <f t="shared" si="3"/>
        <v>308.16666666666669</v>
      </c>
      <c r="P16" s="2">
        <f t="shared" si="4"/>
        <v>1.1581729805572261</v>
      </c>
      <c r="Q16" s="3">
        <f t="shared" si="5"/>
        <v>0.14390481341265549</v>
      </c>
    </row>
    <row r="17" spans="1:17" hidden="1" x14ac:dyDescent="0.25">
      <c r="A17" t="s">
        <v>55</v>
      </c>
      <c r="B17" t="s">
        <v>56</v>
      </c>
      <c r="C17" t="s">
        <v>57</v>
      </c>
      <c r="D17" t="str">
        <f t="shared" si="1"/>
        <v>MN</v>
      </c>
      <c r="E17" t="str">
        <f t="shared" si="2"/>
        <v>Midwest</v>
      </c>
      <c r="F17" t="s">
        <v>25</v>
      </c>
      <c r="G17" s="1">
        <v>45056</v>
      </c>
      <c r="H17" s="1">
        <v>45062</v>
      </c>
      <c r="I17" s="1">
        <f t="shared" si="0"/>
        <v>45062</v>
      </c>
      <c r="J17" s="2">
        <v>28.6</v>
      </c>
      <c r="K17" s="2">
        <v>221.21</v>
      </c>
      <c r="L17" t="s">
        <v>15</v>
      </c>
      <c r="M17" s="2">
        <v>1489</v>
      </c>
      <c r="N17" s="2">
        <v>6</v>
      </c>
      <c r="O17" s="2">
        <f t="shared" si="3"/>
        <v>248.16666666666666</v>
      </c>
      <c r="P17" s="2">
        <f t="shared" si="4"/>
        <v>1.1218600726308334</v>
      </c>
      <c r="Q17" s="3">
        <f t="shared" si="5"/>
        <v>0.14856279382135662</v>
      </c>
    </row>
    <row r="18" spans="1:17" hidden="1" x14ac:dyDescent="0.25">
      <c r="A18" t="s">
        <v>58</v>
      </c>
      <c r="B18" t="s">
        <v>35</v>
      </c>
      <c r="C18" t="s">
        <v>40</v>
      </c>
      <c r="D18" t="str">
        <f t="shared" si="1"/>
        <v>MI</v>
      </c>
      <c r="E18" t="str">
        <f t="shared" si="2"/>
        <v>Midwest</v>
      </c>
      <c r="F18" t="s">
        <v>59</v>
      </c>
      <c r="G18" s="1">
        <v>44951</v>
      </c>
      <c r="H18" s="1">
        <v>44952</v>
      </c>
      <c r="I18" s="1">
        <f t="shared" si="0"/>
        <v>44952</v>
      </c>
      <c r="J18" s="2">
        <v>24.1</v>
      </c>
      <c r="K18" s="2">
        <v>60.27</v>
      </c>
      <c r="L18" t="s">
        <v>60</v>
      </c>
      <c r="M18" s="2">
        <v>283</v>
      </c>
      <c r="N18" s="2">
        <v>1</v>
      </c>
      <c r="O18" s="2">
        <f t="shared" si="3"/>
        <v>283</v>
      </c>
      <c r="P18" s="2">
        <f t="shared" si="4"/>
        <v>4.6955367512858803</v>
      </c>
      <c r="Q18" s="3">
        <f t="shared" si="5"/>
        <v>0.21296819787985866</v>
      </c>
    </row>
    <row r="19" spans="1:17" x14ac:dyDescent="0.25">
      <c r="A19" t="s">
        <v>61</v>
      </c>
      <c r="B19" t="s">
        <v>20</v>
      </c>
      <c r="C19" t="s">
        <v>13</v>
      </c>
      <c r="D19" t="str">
        <f t="shared" si="1"/>
        <v>CA</v>
      </c>
      <c r="E19" t="str">
        <f t="shared" si="2"/>
        <v>West</v>
      </c>
      <c r="F19" t="s">
        <v>25</v>
      </c>
      <c r="G19" s="1">
        <v>45085</v>
      </c>
      <c r="H19" s="1">
        <v>45088</v>
      </c>
      <c r="I19" s="1">
        <f t="shared" si="0"/>
        <v>45088</v>
      </c>
      <c r="J19" s="2">
        <v>43.2</v>
      </c>
      <c r="K19" s="2">
        <v>80.599999999999994</v>
      </c>
      <c r="L19" t="s">
        <v>62</v>
      </c>
      <c r="M19" s="2">
        <v>223</v>
      </c>
      <c r="N19" s="2">
        <v>3</v>
      </c>
      <c r="O19" s="2">
        <f t="shared" si="3"/>
        <v>74.333333333333329</v>
      </c>
      <c r="P19" s="2">
        <f t="shared" si="4"/>
        <v>0.9222497932175352</v>
      </c>
      <c r="Q19" s="3">
        <f t="shared" si="5"/>
        <v>0.36143497757847531</v>
      </c>
    </row>
    <row r="20" spans="1:17" hidden="1" x14ac:dyDescent="0.25">
      <c r="A20" t="s">
        <v>63</v>
      </c>
      <c r="B20" t="s">
        <v>30</v>
      </c>
      <c r="C20" t="s">
        <v>17</v>
      </c>
      <c r="D20" t="str">
        <f t="shared" si="1"/>
        <v>GA</v>
      </c>
      <c r="E20" t="str">
        <f t="shared" si="2"/>
        <v>Southeast</v>
      </c>
      <c r="F20" t="s">
        <v>25</v>
      </c>
      <c r="G20" s="1">
        <v>45215</v>
      </c>
      <c r="H20" s="1">
        <v>45224</v>
      </c>
      <c r="I20" s="1">
        <f t="shared" si="0"/>
        <v>45224</v>
      </c>
      <c r="J20" s="2">
        <v>6.3</v>
      </c>
      <c r="K20" s="2">
        <v>124.52</v>
      </c>
      <c r="L20" t="s">
        <v>15</v>
      </c>
      <c r="M20" s="2">
        <v>1055</v>
      </c>
      <c r="N20" s="2">
        <v>9</v>
      </c>
      <c r="O20" s="2">
        <f t="shared" si="3"/>
        <v>117.22222222222223</v>
      </c>
      <c r="P20" s="2">
        <f t="shared" si="4"/>
        <v>0.94139272584502276</v>
      </c>
      <c r="Q20" s="3">
        <f t="shared" si="5"/>
        <v>0.11802843601895734</v>
      </c>
    </row>
    <row r="21" spans="1:17" x14ac:dyDescent="0.25">
      <c r="A21" t="s">
        <v>64</v>
      </c>
      <c r="B21" t="s">
        <v>12</v>
      </c>
      <c r="C21" t="s">
        <v>36</v>
      </c>
      <c r="D21" t="str">
        <f t="shared" si="1"/>
        <v>OR</v>
      </c>
      <c r="E21" t="str">
        <f t="shared" si="2"/>
        <v>West</v>
      </c>
      <c r="F21" t="s">
        <v>18</v>
      </c>
      <c r="G21" s="1">
        <v>44942</v>
      </c>
      <c r="H21" s="1">
        <v>44947</v>
      </c>
      <c r="I21" s="1">
        <f t="shared" si="0"/>
        <v>44947</v>
      </c>
      <c r="J21" s="2">
        <v>51.2</v>
      </c>
      <c r="K21" s="2">
        <v>290.72000000000003</v>
      </c>
      <c r="L21" t="s">
        <v>15</v>
      </c>
      <c r="M21" s="2">
        <v>1660</v>
      </c>
      <c r="N21" s="2">
        <v>5</v>
      </c>
      <c r="O21" s="2">
        <f t="shared" si="3"/>
        <v>332</v>
      </c>
      <c r="P21" s="2">
        <f t="shared" si="4"/>
        <v>1.1419922949917445</v>
      </c>
      <c r="Q21" s="3">
        <f t="shared" si="5"/>
        <v>0.17513253012048194</v>
      </c>
    </row>
    <row r="22" spans="1:17" hidden="1" x14ac:dyDescent="0.25">
      <c r="A22" t="s">
        <v>65</v>
      </c>
      <c r="B22" t="s">
        <v>12</v>
      </c>
      <c r="C22" t="s">
        <v>54</v>
      </c>
      <c r="D22" t="str">
        <f t="shared" si="1"/>
        <v>FL</v>
      </c>
      <c r="E22" t="str">
        <f t="shared" si="2"/>
        <v>Southeast</v>
      </c>
      <c r="F22" t="s">
        <v>32</v>
      </c>
      <c r="G22" s="1">
        <v>45148</v>
      </c>
      <c r="H22" s="1">
        <v>45118</v>
      </c>
      <c r="I22" s="1">
        <f t="shared" si="0"/>
        <v>45118</v>
      </c>
      <c r="J22" s="2">
        <v>7.8</v>
      </c>
      <c r="K22" s="2">
        <v>216.42</v>
      </c>
      <c r="L22" t="s">
        <v>15</v>
      </c>
      <c r="M22" s="2">
        <v>1696</v>
      </c>
      <c r="N22" s="2">
        <v>5</v>
      </c>
      <c r="O22" s="2">
        <f t="shared" si="3"/>
        <v>339.2</v>
      </c>
      <c r="P22" s="2">
        <f t="shared" si="4"/>
        <v>1.5673227982626374</v>
      </c>
      <c r="Q22" s="3">
        <f t="shared" si="5"/>
        <v>0.1276061320754717</v>
      </c>
    </row>
    <row r="23" spans="1:17" hidden="1" x14ac:dyDescent="0.25">
      <c r="A23" t="s">
        <v>66</v>
      </c>
      <c r="B23" t="s">
        <v>49</v>
      </c>
      <c r="C23" t="s">
        <v>21</v>
      </c>
      <c r="D23" t="str">
        <f t="shared" si="1"/>
        <v>TX</v>
      </c>
      <c r="E23" t="str">
        <f t="shared" si="2"/>
        <v>Southwest</v>
      </c>
      <c r="F23" t="s">
        <v>42</v>
      </c>
      <c r="G23" s="1">
        <v>45161</v>
      </c>
      <c r="H23" s="1">
        <v>45165</v>
      </c>
      <c r="I23" s="1">
        <f t="shared" si="0"/>
        <v>45165</v>
      </c>
      <c r="J23" s="2">
        <v>29.6</v>
      </c>
      <c r="K23" s="2">
        <v>216.63</v>
      </c>
      <c r="L23" t="s">
        <v>67</v>
      </c>
      <c r="M23" s="2">
        <v>1407</v>
      </c>
      <c r="N23" s="2">
        <v>4</v>
      </c>
      <c r="O23" s="2">
        <f t="shared" si="3"/>
        <v>351.75</v>
      </c>
      <c r="P23" s="2">
        <f t="shared" si="4"/>
        <v>1.6237363246087799</v>
      </c>
      <c r="Q23" s="3">
        <f t="shared" si="5"/>
        <v>0.15396588486140725</v>
      </c>
    </row>
    <row r="24" spans="1:17" x14ac:dyDescent="0.25">
      <c r="A24" t="s">
        <v>68</v>
      </c>
      <c r="B24" t="s">
        <v>35</v>
      </c>
      <c r="C24" t="s">
        <v>13</v>
      </c>
      <c r="D24" t="str">
        <f t="shared" si="1"/>
        <v>CA</v>
      </c>
      <c r="E24" t="str">
        <f t="shared" si="2"/>
        <v>West</v>
      </c>
      <c r="F24" t="s">
        <v>59</v>
      </c>
      <c r="G24" s="1">
        <v>45128</v>
      </c>
      <c r="H24" s="1">
        <v>45130</v>
      </c>
      <c r="I24" s="1">
        <f t="shared" si="0"/>
        <v>45130</v>
      </c>
      <c r="J24" s="2">
        <v>15.2</v>
      </c>
      <c r="K24" s="2">
        <v>67.11</v>
      </c>
      <c r="L24" t="s">
        <v>15</v>
      </c>
      <c r="M24" s="2">
        <v>440</v>
      </c>
      <c r="N24" s="2">
        <v>2</v>
      </c>
      <c r="O24" s="2">
        <f t="shared" si="3"/>
        <v>220</v>
      </c>
      <c r="P24" s="2">
        <f t="shared" si="4"/>
        <v>3.2781999701981821</v>
      </c>
      <c r="Q24" s="3">
        <f t="shared" si="5"/>
        <v>0.15252272727272728</v>
      </c>
    </row>
    <row r="25" spans="1:17" x14ac:dyDescent="0.25">
      <c r="A25" t="s">
        <v>69</v>
      </c>
      <c r="B25" t="s">
        <v>49</v>
      </c>
      <c r="C25" t="s">
        <v>70</v>
      </c>
      <c r="D25" t="str">
        <f t="shared" si="1"/>
        <v>CA</v>
      </c>
      <c r="E25" t="str">
        <f t="shared" si="2"/>
        <v>West</v>
      </c>
      <c r="F25" t="s">
        <v>18</v>
      </c>
      <c r="G25" s="1">
        <v>45225</v>
      </c>
      <c r="H25" s="1">
        <v>45228</v>
      </c>
      <c r="I25" s="1">
        <f t="shared" si="0"/>
        <v>45228</v>
      </c>
      <c r="J25" s="2">
        <v>22.2</v>
      </c>
      <c r="K25" s="2">
        <v>228.57</v>
      </c>
      <c r="L25" t="s">
        <v>15</v>
      </c>
      <c r="M25" s="2">
        <v>1402</v>
      </c>
      <c r="N25" s="2">
        <v>3</v>
      </c>
      <c r="O25" s="2">
        <f t="shared" si="3"/>
        <v>467.33333333333331</v>
      </c>
      <c r="P25" s="2">
        <f t="shared" si="4"/>
        <v>2.0445961120590335</v>
      </c>
      <c r="Q25" s="3">
        <f t="shared" si="5"/>
        <v>0.16303138373751783</v>
      </c>
    </row>
    <row r="26" spans="1:17" hidden="1" x14ac:dyDescent="0.25">
      <c r="A26" t="s">
        <v>71</v>
      </c>
      <c r="B26" t="s">
        <v>56</v>
      </c>
      <c r="C26" t="s">
        <v>52</v>
      </c>
      <c r="D26" t="str">
        <f t="shared" si="1"/>
        <v>AZ</v>
      </c>
      <c r="E26" t="str">
        <f t="shared" si="2"/>
        <v>Southwest</v>
      </c>
      <c r="F26" t="s">
        <v>59</v>
      </c>
      <c r="G26" s="1">
        <v>45149</v>
      </c>
      <c r="H26" s="1">
        <v>45153</v>
      </c>
      <c r="I26" s="1">
        <f t="shared" si="0"/>
        <v>45153</v>
      </c>
      <c r="J26" s="2">
        <v>5.3</v>
      </c>
      <c r="K26" s="2">
        <v>37.32</v>
      </c>
      <c r="L26" t="s">
        <v>15</v>
      </c>
      <c r="M26" s="2">
        <v>256</v>
      </c>
      <c r="N26" s="2">
        <v>4</v>
      </c>
      <c r="O26" s="2">
        <f t="shared" si="3"/>
        <v>64</v>
      </c>
      <c r="P26" s="2">
        <f t="shared" si="4"/>
        <v>1.714898177920686</v>
      </c>
      <c r="Q26" s="3">
        <f t="shared" si="5"/>
        <v>0.14578125</v>
      </c>
    </row>
    <row r="27" spans="1:17" x14ac:dyDescent="0.25">
      <c r="A27" t="s">
        <v>72</v>
      </c>
      <c r="B27" t="s">
        <v>51</v>
      </c>
      <c r="C27" t="s">
        <v>36</v>
      </c>
      <c r="D27" t="str">
        <f t="shared" si="1"/>
        <v>OR</v>
      </c>
      <c r="E27" t="str">
        <f t="shared" si="2"/>
        <v>West</v>
      </c>
      <c r="F27" t="s">
        <v>14</v>
      </c>
      <c r="G27" s="1">
        <v>45043</v>
      </c>
      <c r="H27" s="1">
        <v>45045</v>
      </c>
      <c r="I27" s="1">
        <f t="shared" si="0"/>
        <v>45045</v>
      </c>
      <c r="J27" s="2">
        <v>40</v>
      </c>
      <c r="K27" s="2">
        <v>124.29</v>
      </c>
      <c r="L27" t="s">
        <v>15</v>
      </c>
      <c r="M27" s="2">
        <v>519</v>
      </c>
      <c r="N27" s="2">
        <v>2</v>
      </c>
      <c r="O27" s="2">
        <f t="shared" si="3"/>
        <v>259.5</v>
      </c>
      <c r="P27" s="2">
        <f t="shared" si="4"/>
        <v>2.0878590393434706</v>
      </c>
      <c r="Q27" s="3">
        <f t="shared" si="5"/>
        <v>0.23947976878612717</v>
      </c>
    </row>
    <row r="28" spans="1:17" hidden="1" x14ac:dyDescent="0.25">
      <c r="A28" t="s">
        <v>73</v>
      </c>
      <c r="B28" t="s">
        <v>56</v>
      </c>
      <c r="C28" t="s">
        <v>54</v>
      </c>
      <c r="D28" t="str">
        <f t="shared" si="1"/>
        <v>FL</v>
      </c>
      <c r="E28" t="str">
        <f t="shared" si="2"/>
        <v>Southeast</v>
      </c>
      <c r="F28" t="s">
        <v>14</v>
      </c>
      <c r="G28" s="1">
        <v>45290</v>
      </c>
      <c r="H28" s="1">
        <v>45292</v>
      </c>
      <c r="I28" s="1">
        <f t="shared" si="0"/>
        <v>45292</v>
      </c>
      <c r="J28" s="2">
        <v>8.6999999999999993</v>
      </c>
      <c r="K28" s="2">
        <v>73.52</v>
      </c>
      <c r="L28" t="s">
        <v>15</v>
      </c>
      <c r="M28" s="2">
        <v>386</v>
      </c>
      <c r="N28" s="2">
        <v>2</v>
      </c>
      <c r="O28" s="2">
        <f t="shared" si="3"/>
        <v>193</v>
      </c>
      <c r="P28" s="2">
        <f t="shared" si="4"/>
        <v>2.6251360174102287</v>
      </c>
      <c r="Q28" s="3">
        <f t="shared" si="5"/>
        <v>0.19046632124352331</v>
      </c>
    </row>
    <row r="29" spans="1:17" hidden="1" x14ac:dyDescent="0.25">
      <c r="A29" t="s">
        <v>74</v>
      </c>
      <c r="B29" t="s">
        <v>56</v>
      </c>
      <c r="C29" t="s">
        <v>46</v>
      </c>
      <c r="D29" t="str">
        <f t="shared" si="1"/>
        <v>MA</v>
      </c>
      <c r="E29" t="str">
        <f t="shared" si="2"/>
        <v>Northeast</v>
      </c>
      <c r="F29" t="s">
        <v>59</v>
      </c>
      <c r="G29" s="1">
        <v>45290</v>
      </c>
      <c r="H29" s="1">
        <v>45296</v>
      </c>
      <c r="I29" s="1">
        <f t="shared" si="0"/>
        <v>45296</v>
      </c>
      <c r="J29" s="2">
        <v>10.1</v>
      </c>
      <c r="K29" s="2">
        <v>309.58999999999997</v>
      </c>
      <c r="L29" t="s">
        <v>47</v>
      </c>
      <c r="M29" s="2">
        <v>1986</v>
      </c>
      <c r="N29" s="2">
        <v>5</v>
      </c>
      <c r="O29" s="2">
        <f t="shared" si="3"/>
        <v>397.2</v>
      </c>
      <c r="P29" s="2">
        <f t="shared" si="4"/>
        <v>1.2829871765883911</v>
      </c>
      <c r="Q29" s="3">
        <f t="shared" si="5"/>
        <v>0.15588620342396775</v>
      </c>
    </row>
    <row r="30" spans="1:17" hidden="1" x14ac:dyDescent="0.25">
      <c r="A30" t="s">
        <v>75</v>
      </c>
      <c r="B30" t="s">
        <v>27</v>
      </c>
      <c r="C30" t="s">
        <v>28</v>
      </c>
      <c r="D30" t="str">
        <f t="shared" si="1"/>
        <v>TX</v>
      </c>
      <c r="E30" t="str">
        <f t="shared" si="2"/>
        <v>Southwest</v>
      </c>
      <c r="F30" t="s">
        <v>42</v>
      </c>
      <c r="G30" s="1">
        <v>45275</v>
      </c>
      <c r="H30" s="1">
        <v>45280</v>
      </c>
      <c r="I30" s="1">
        <f t="shared" si="0"/>
        <v>45280</v>
      </c>
      <c r="J30" s="2">
        <v>22.8</v>
      </c>
      <c r="K30" s="2">
        <v>373.64</v>
      </c>
      <c r="L30" t="s">
        <v>15</v>
      </c>
      <c r="M30" s="2">
        <v>2229</v>
      </c>
      <c r="N30" s="2">
        <v>5</v>
      </c>
      <c r="O30" s="2">
        <f t="shared" si="3"/>
        <v>445.8</v>
      </c>
      <c r="P30" s="2">
        <f t="shared" si="4"/>
        <v>1.1931270741890592</v>
      </c>
      <c r="Q30" s="3">
        <f t="shared" si="5"/>
        <v>0.1676267384477344</v>
      </c>
    </row>
    <row r="31" spans="1:17" hidden="1" x14ac:dyDescent="0.25">
      <c r="A31" t="s">
        <v>76</v>
      </c>
      <c r="B31" t="s">
        <v>49</v>
      </c>
      <c r="C31" t="s">
        <v>44</v>
      </c>
      <c r="D31" t="str">
        <f t="shared" si="1"/>
        <v>IL</v>
      </c>
      <c r="E31" t="str">
        <f t="shared" si="2"/>
        <v>Midwest</v>
      </c>
      <c r="F31" t="s">
        <v>18</v>
      </c>
      <c r="G31" s="1">
        <v>45104</v>
      </c>
      <c r="H31" s="1">
        <v>45110</v>
      </c>
      <c r="I31" s="1">
        <f t="shared" si="0"/>
        <v>45110</v>
      </c>
      <c r="J31" s="2">
        <v>13</v>
      </c>
      <c r="K31" s="2">
        <v>347.94</v>
      </c>
      <c r="L31" t="s">
        <v>15</v>
      </c>
      <c r="M31" s="2">
        <v>2310</v>
      </c>
      <c r="N31" s="2">
        <v>6</v>
      </c>
      <c r="O31" s="2">
        <f t="shared" si="3"/>
        <v>385</v>
      </c>
      <c r="P31" s="2">
        <f t="shared" si="4"/>
        <v>1.1065126171178938</v>
      </c>
      <c r="Q31" s="3">
        <f t="shared" si="5"/>
        <v>0.15062337662337663</v>
      </c>
    </row>
    <row r="32" spans="1:17" x14ac:dyDescent="0.25">
      <c r="A32" t="s">
        <v>77</v>
      </c>
      <c r="B32" t="s">
        <v>27</v>
      </c>
      <c r="C32" t="s">
        <v>13</v>
      </c>
      <c r="D32" t="str">
        <f t="shared" si="1"/>
        <v>CA</v>
      </c>
      <c r="E32" t="str">
        <f t="shared" si="2"/>
        <v>West</v>
      </c>
      <c r="F32" t="s">
        <v>42</v>
      </c>
      <c r="G32" s="1">
        <v>45234</v>
      </c>
      <c r="H32" s="1">
        <v>45236</v>
      </c>
      <c r="I32" s="1">
        <f t="shared" si="0"/>
        <v>45236</v>
      </c>
      <c r="J32" s="2">
        <v>28.5</v>
      </c>
      <c r="K32" s="2">
        <v>109.33</v>
      </c>
      <c r="L32" t="s">
        <v>15</v>
      </c>
      <c r="M32" s="2">
        <v>502</v>
      </c>
      <c r="N32" s="2">
        <v>2</v>
      </c>
      <c r="O32" s="2">
        <f t="shared" si="3"/>
        <v>251</v>
      </c>
      <c r="P32" s="2">
        <f t="shared" si="4"/>
        <v>2.2958017012713801</v>
      </c>
      <c r="Q32" s="3">
        <f t="shared" si="5"/>
        <v>0.21778884462151393</v>
      </c>
    </row>
    <row r="33" spans="1:17" hidden="1" x14ac:dyDescent="0.25">
      <c r="A33" t="s">
        <v>78</v>
      </c>
      <c r="B33" t="s">
        <v>23</v>
      </c>
      <c r="C33" t="s">
        <v>28</v>
      </c>
      <c r="D33" t="str">
        <f t="shared" si="1"/>
        <v>TX</v>
      </c>
      <c r="E33" t="str">
        <f t="shared" si="2"/>
        <v>Southwest</v>
      </c>
      <c r="F33" t="s">
        <v>25</v>
      </c>
      <c r="G33" s="1">
        <v>45111</v>
      </c>
      <c r="H33" s="1">
        <v>45115</v>
      </c>
      <c r="I33" s="1">
        <f t="shared" si="0"/>
        <v>45115</v>
      </c>
      <c r="J33" s="2">
        <v>30.2</v>
      </c>
      <c r="K33" s="2">
        <v>162.68</v>
      </c>
      <c r="L33" t="s">
        <v>15</v>
      </c>
      <c r="M33" s="2">
        <v>1048</v>
      </c>
      <c r="N33" s="2">
        <v>4</v>
      </c>
      <c r="O33" s="2">
        <f t="shared" si="3"/>
        <v>262</v>
      </c>
      <c r="P33" s="2">
        <f t="shared" si="4"/>
        <v>1.6105237275633144</v>
      </c>
      <c r="Q33" s="3">
        <f t="shared" si="5"/>
        <v>0.1552290076335878</v>
      </c>
    </row>
    <row r="34" spans="1:17" hidden="1" x14ac:dyDescent="0.25">
      <c r="A34" t="s">
        <v>79</v>
      </c>
      <c r="B34" t="s">
        <v>35</v>
      </c>
      <c r="C34" t="s">
        <v>31</v>
      </c>
      <c r="D34" t="str">
        <f t="shared" si="1"/>
        <v>NY</v>
      </c>
      <c r="E34" t="str">
        <f t="shared" si="2"/>
        <v>Northeast</v>
      </c>
      <c r="F34" t="s">
        <v>32</v>
      </c>
      <c r="G34" s="1">
        <v>45196</v>
      </c>
      <c r="H34" s="1">
        <v>45200</v>
      </c>
      <c r="I34" s="1">
        <f t="shared" si="0"/>
        <v>45200</v>
      </c>
      <c r="J34" s="2">
        <v>11.3</v>
      </c>
      <c r="K34" s="2">
        <v>206.19</v>
      </c>
      <c r="L34" t="s">
        <v>15</v>
      </c>
      <c r="M34" s="2">
        <v>1551</v>
      </c>
      <c r="N34" s="2">
        <v>4</v>
      </c>
      <c r="O34" s="2">
        <f t="shared" si="3"/>
        <v>387.75</v>
      </c>
      <c r="P34" s="2">
        <f t="shared" si="4"/>
        <v>1.880547068238033</v>
      </c>
      <c r="Q34" s="3">
        <f t="shared" si="5"/>
        <v>0.13294003868471954</v>
      </c>
    </row>
    <row r="35" spans="1:17" x14ac:dyDescent="0.25">
      <c r="A35" t="s">
        <v>80</v>
      </c>
      <c r="B35" t="s">
        <v>27</v>
      </c>
      <c r="C35" t="s">
        <v>81</v>
      </c>
      <c r="D35" t="str">
        <f t="shared" si="1"/>
        <v>CO</v>
      </c>
      <c r="E35" t="str">
        <f t="shared" si="2"/>
        <v>West</v>
      </c>
      <c r="F35" t="s">
        <v>59</v>
      </c>
      <c r="G35" s="1">
        <v>45011</v>
      </c>
      <c r="H35" s="1">
        <v>45018</v>
      </c>
      <c r="I35" s="1">
        <f t="shared" si="0"/>
        <v>45018</v>
      </c>
      <c r="J35" s="2">
        <v>15.8</v>
      </c>
      <c r="K35" s="2">
        <v>66.349999999999994</v>
      </c>
      <c r="L35" t="s">
        <v>47</v>
      </c>
      <c r="M35" s="2">
        <v>431</v>
      </c>
      <c r="N35" s="2">
        <v>2</v>
      </c>
      <c r="O35" s="2">
        <f t="shared" si="3"/>
        <v>215.5</v>
      </c>
      <c r="P35" s="2">
        <f t="shared" si="4"/>
        <v>3.2479276563677471</v>
      </c>
      <c r="Q35" s="3">
        <f t="shared" si="5"/>
        <v>0.1539443155452436</v>
      </c>
    </row>
    <row r="36" spans="1:17" x14ac:dyDescent="0.25">
      <c r="A36" t="s">
        <v>82</v>
      </c>
      <c r="B36" t="s">
        <v>49</v>
      </c>
      <c r="C36" t="s">
        <v>81</v>
      </c>
      <c r="D36" t="str">
        <f t="shared" si="1"/>
        <v>CO</v>
      </c>
      <c r="E36" t="str">
        <f t="shared" si="2"/>
        <v>West</v>
      </c>
      <c r="F36" t="s">
        <v>25</v>
      </c>
      <c r="G36" s="1">
        <v>44978</v>
      </c>
      <c r="H36" s="1">
        <v>44980</v>
      </c>
      <c r="I36" s="1">
        <f t="shared" si="0"/>
        <v>44980</v>
      </c>
      <c r="J36" s="2">
        <v>10.7</v>
      </c>
      <c r="K36" s="2">
        <v>76.52</v>
      </c>
      <c r="L36" t="s">
        <v>15</v>
      </c>
      <c r="M36" s="2">
        <v>528</v>
      </c>
      <c r="N36" s="2">
        <v>2</v>
      </c>
      <c r="O36" s="2">
        <f t="shared" si="3"/>
        <v>264</v>
      </c>
      <c r="P36" s="2">
        <f t="shared" si="4"/>
        <v>3.4500784108729747</v>
      </c>
      <c r="Q36" s="3">
        <f t="shared" si="5"/>
        <v>0.14492424242424243</v>
      </c>
    </row>
    <row r="37" spans="1:17" hidden="1" x14ac:dyDescent="0.25">
      <c r="A37" t="s">
        <v>83</v>
      </c>
      <c r="B37" t="s">
        <v>23</v>
      </c>
      <c r="C37" t="s">
        <v>28</v>
      </c>
      <c r="D37" t="str">
        <f t="shared" si="1"/>
        <v>TX</v>
      </c>
      <c r="E37" t="str">
        <f t="shared" si="2"/>
        <v>Southwest</v>
      </c>
      <c r="F37" t="s">
        <v>25</v>
      </c>
      <c r="G37" s="1">
        <v>45123</v>
      </c>
      <c r="H37" s="1">
        <v>45124</v>
      </c>
      <c r="I37" s="1">
        <f t="shared" si="0"/>
        <v>45124</v>
      </c>
      <c r="J37" s="2">
        <v>37.700000000000003</v>
      </c>
      <c r="K37" s="2">
        <v>55.09</v>
      </c>
      <c r="L37" t="s">
        <v>60</v>
      </c>
      <c r="M37" s="2">
        <v>131</v>
      </c>
      <c r="N37" s="2">
        <v>1</v>
      </c>
      <c r="O37" s="2">
        <f t="shared" si="3"/>
        <v>131</v>
      </c>
      <c r="P37" s="2">
        <f t="shared" si="4"/>
        <v>2.3779270284988199</v>
      </c>
      <c r="Q37" s="3">
        <f t="shared" si="5"/>
        <v>0.42053435114503818</v>
      </c>
    </row>
    <row r="38" spans="1:17" x14ac:dyDescent="0.25">
      <c r="A38" t="s">
        <v>84</v>
      </c>
      <c r="B38" t="s">
        <v>30</v>
      </c>
      <c r="C38" t="s">
        <v>70</v>
      </c>
      <c r="D38" t="str">
        <f t="shared" si="1"/>
        <v>CA</v>
      </c>
      <c r="E38" t="str">
        <f t="shared" si="2"/>
        <v>West</v>
      </c>
      <c r="F38" t="s">
        <v>32</v>
      </c>
      <c r="G38" s="1">
        <v>45079</v>
      </c>
      <c r="H38" s="1">
        <v>45095</v>
      </c>
      <c r="I38" s="1">
        <f t="shared" si="0"/>
        <v>45095</v>
      </c>
      <c r="J38" s="2">
        <v>27.9</v>
      </c>
      <c r="K38" s="2">
        <v>123.81</v>
      </c>
      <c r="L38" t="s">
        <v>47</v>
      </c>
      <c r="M38" s="2">
        <v>659</v>
      </c>
      <c r="N38" s="2">
        <v>3</v>
      </c>
      <c r="O38" s="2">
        <f t="shared" si="3"/>
        <v>219.66666666666666</v>
      </c>
      <c r="P38" s="2">
        <f t="shared" si="4"/>
        <v>1.7742239452925179</v>
      </c>
      <c r="Q38" s="3">
        <f t="shared" si="5"/>
        <v>0.18787556904400607</v>
      </c>
    </row>
    <row r="39" spans="1:17" hidden="1" x14ac:dyDescent="0.25">
      <c r="A39" t="s">
        <v>85</v>
      </c>
      <c r="B39" t="s">
        <v>27</v>
      </c>
      <c r="C39" t="s">
        <v>28</v>
      </c>
      <c r="D39" t="str">
        <f t="shared" si="1"/>
        <v>TX</v>
      </c>
      <c r="E39" t="str">
        <f t="shared" si="2"/>
        <v>Southwest</v>
      </c>
      <c r="F39" t="s">
        <v>37</v>
      </c>
      <c r="G39" s="1">
        <v>45236</v>
      </c>
      <c r="H39" s="1">
        <v>45241</v>
      </c>
      <c r="I39" s="1">
        <f t="shared" si="0"/>
        <v>45241</v>
      </c>
      <c r="J39" s="2">
        <v>26.6</v>
      </c>
      <c r="K39" s="2">
        <v>333.35</v>
      </c>
      <c r="L39" t="s">
        <v>15</v>
      </c>
      <c r="M39" s="2">
        <v>2209</v>
      </c>
      <c r="N39" s="2">
        <v>5</v>
      </c>
      <c r="O39" s="2">
        <f t="shared" si="3"/>
        <v>441.8</v>
      </c>
      <c r="P39" s="2">
        <f t="shared" si="4"/>
        <v>1.3253337333133344</v>
      </c>
      <c r="Q39" s="3">
        <f t="shared" si="5"/>
        <v>0.15090538705296516</v>
      </c>
    </row>
    <row r="40" spans="1:17" hidden="1" x14ac:dyDescent="0.25">
      <c r="A40" t="s">
        <v>86</v>
      </c>
      <c r="B40" t="s">
        <v>27</v>
      </c>
      <c r="C40" t="s">
        <v>40</v>
      </c>
      <c r="D40" t="str">
        <f t="shared" si="1"/>
        <v>MI</v>
      </c>
      <c r="E40" t="str">
        <f t="shared" si="2"/>
        <v>Midwest</v>
      </c>
      <c r="F40" t="s">
        <v>42</v>
      </c>
      <c r="G40" s="1">
        <v>45234</v>
      </c>
      <c r="H40" s="1">
        <v>45240</v>
      </c>
      <c r="I40" s="1">
        <f t="shared" si="0"/>
        <v>45240</v>
      </c>
      <c r="J40" s="2">
        <v>30.7</v>
      </c>
      <c r="K40" s="2">
        <v>282.70999999999998</v>
      </c>
      <c r="L40" t="s">
        <v>67</v>
      </c>
      <c r="M40" s="2">
        <v>1674</v>
      </c>
      <c r="N40" s="2">
        <v>6</v>
      </c>
      <c r="O40" s="2">
        <f t="shared" si="3"/>
        <v>279</v>
      </c>
      <c r="P40" s="2">
        <f t="shared" si="4"/>
        <v>0.98687701177885467</v>
      </c>
      <c r="Q40" s="3">
        <f t="shared" si="5"/>
        <v>0.16888291517323775</v>
      </c>
    </row>
    <row r="41" spans="1:17" hidden="1" x14ac:dyDescent="0.25">
      <c r="A41" t="s">
        <v>87</v>
      </c>
      <c r="B41" t="s">
        <v>12</v>
      </c>
      <c r="C41" t="s">
        <v>31</v>
      </c>
      <c r="D41" t="str">
        <f t="shared" si="1"/>
        <v>NY</v>
      </c>
      <c r="E41" t="str">
        <f t="shared" si="2"/>
        <v>Northeast</v>
      </c>
      <c r="F41" t="s">
        <v>42</v>
      </c>
      <c r="G41" s="1">
        <v>45268</v>
      </c>
      <c r="H41" s="1">
        <v>45271</v>
      </c>
      <c r="I41" s="1">
        <f t="shared" si="0"/>
        <v>45271</v>
      </c>
      <c r="J41" s="2">
        <v>65.2</v>
      </c>
      <c r="K41" s="2">
        <v>284.81</v>
      </c>
      <c r="L41" t="s">
        <v>15</v>
      </c>
      <c r="M41" s="2">
        <v>1204</v>
      </c>
      <c r="N41" s="2">
        <v>3</v>
      </c>
      <c r="O41" s="2">
        <f t="shared" si="3"/>
        <v>401.33333333333331</v>
      </c>
      <c r="P41" s="2">
        <f t="shared" si="4"/>
        <v>1.4091265522043934</v>
      </c>
      <c r="Q41" s="3">
        <f t="shared" si="5"/>
        <v>0.23655315614617942</v>
      </c>
    </row>
    <row r="42" spans="1:17" x14ac:dyDescent="0.25">
      <c r="A42" t="s">
        <v>88</v>
      </c>
      <c r="B42" t="s">
        <v>23</v>
      </c>
      <c r="C42" t="s">
        <v>81</v>
      </c>
      <c r="D42" t="str">
        <f t="shared" si="1"/>
        <v>CO</v>
      </c>
      <c r="E42" t="str">
        <f t="shared" si="2"/>
        <v>West</v>
      </c>
      <c r="F42" t="s">
        <v>37</v>
      </c>
      <c r="G42" s="1">
        <v>45203</v>
      </c>
      <c r="H42" s="1">
        <v>45209</v>
      </c>
      <c r="I42" s="1">
        <f t="shared" si="0"/>
        <v>45209</v>
      </c>
      <c r="J42" s="2">
        <v>13.4</v>
      </c>
      <c r="K42" s="2">
        <v>209.01</v>
      </c>
      <c r="L42" t="s">
        <v>15</v>
      </c>
      <c r="M42" s="2">
        <v>1550</v>
      </c>
      <c r="N42" s="2">
        <v>6</v>
      </c>
      <c r="O42" s="2">
        <f t="shared" si="3"/>
        <v>258.33333333333331</v>
      </c>
      <c r="P42" s="2">
        <f t="shared" si="4"/>
        <v>1.2359855190341769</v>
      </c>
      <c r="Q42" s="3">
        <f t="shared" si="5"/>
        <v>0.13484516129032256</v>
      </c>
    </row>
    <row r="43" spans="1:17" x14ac:dyDescent="0.25">
      <c r="A43" t="s">
        <v>89</v>
      </c>
      <c r="B43" t="s">
        <v>51</v>
      </c>
      <c r="C43" t="s">
        <v>70</v>
      </c>
      <c r="D43" t="str">
        <f t="shared" si="1"/>
        <v>CA</v>
      </c>
      <c r="E43" t="str">
        <f t="shared" si="2"/>
        <v>West</v>
      </c>
      <c r="F43" t="s">
        <v>14</v>
      </c>
      <c r="G43" s="1">
        <v>45059</v>
      </c>
      <c r="H43" s="1">
        <v>45063</v>
      </c>
      <c r="I43" s="1">
        <f t="shared" si="0"/>
        <v>45063</v>
      </c>
      <c r="J43" s="2">
        <v>31.9</v>
      </c>
      <c r="K43" s="2">
        <v>263.06</v>
      </c>
      <c r="L43" t="s">
        <v>15</v>
      </c>
      <c r="M43" s="2">
        <v>1696</v>
      </c>
      <c r="N43" s="2">
        <v>4</v>
      </c>
      <c r="O43" s="2">
        <f t="shared" si="3"/>
        <v>424</v>
      </c>
      <c r="P43" s="2">
        <f t="shared" si="4"/>
        <v>1.6117995894472743</v>
      </c>
      <c r="Q43" s="3">
        <f t="shared" si="5"/>
        <v>0.15510613207547169</v>
      </c>
    </row>
    <row r="44" spans="1:17" x14ac:dyDescent="0.25">
      <c r="A44" t="s">
        <v>90</v>
      </c>
      <c r="B44" t="s">
        <v>51</v>
      </c>
      <c r="C44" t="s">
        <v>70</v>
      </c>
      <c r="D44" t="str">
        <f t="shared" si="1"/>
        <v>CA</v>
      </c>
      <c r="E44" t="str">
        <f t="shared" si="2"/>
        <v>West</v>
      </c>
      <c r="F44" t="s">
        <v>59</v>
      </c>
      <c r="G44" s="1">
        <v>45289</v>
      </c>
      <c r="H44" s="1">
        <v>45292</v>
      </c>
      <c r="I44" s="1">
        <f t="shared" si="0"/>
        <v>45292</v>
      </c>
      <c r="J44" s="2">
        <v>37.799999999999997</v>
      </c>
      <c r="K44" s="2">
        <v>129.72999999999999</v>
      </c>
      <c r="L44" t="s">
        <v>15</v>
      </c>
      <c r="M44" s="2">
        <v>660</v>
      </c>
      <c r="N44" s="2">
        <v>3</v>
      </c>
      <c r="O44" s="2">
        <f t="shared" si="3"/>
        <v>220</v>
      </c>
      <c r="P44" s="2">
        <f t="shared" si="4"/>
        <v>1.6958298003545826</v>
      </c>
      <c r="Q44" s="3">
        <f t="shared" si="5"/>
        <v>0.19656060606060605</v>
      </c>
    </row>
    <row r="45" spans="1:17" hidden="1" x14ac:dyDescent="0.25">
      <c r="A45" t="s">
        <v>91</v>
      </c>
      <c r="B45" t="s">
        <v>49</v>
      </c>
      <c r="C45" t="s">
        <v>31</v>
      </c>
      <c r="D45" t="str">
        <f t="shared" si="1"/>
        <v>NY</v>
      </c>
      <c r="E45" t="str">
        <f t="shared" si="2"/>
        <v>Northeast</v>
      </c>
      <c r="F45" t="s">
        <v>18</v>
      </c>
      <c r="G45" s="1">
        <v>44994</v>
      </c>
      <c r="H45" s="1">
        <v>44998</v>
      </c>
      <c r="I45" s="1">
        <f t="shared" si="0"/>
        <v>44998</v>
      </c>
      <c r="J45" s="2">
        <v>17.399999999999999</v>
      </c>
      <c r="K45" s="2">
        <v>194.58</v>
      </c>
      <c r="L45" t="s">
        <v>15</v>
      </c>
      <c r="M45" s="2">
        <v>1153</v>
      </c>
      <c r="N45" s="2">
        <v>4</v>
      </c>
      <c r="O45" s="2">
        <f t="shared" si="3"/>
        <v>288.25</v>
      </c>
      <c r="P45" s="2">
        <f t="shared" si="4"/>
        <v>1.4813958269092402</v>
      </c>
      <c r="Q45" s="3">
        <f t="shared" si="5"/>
        <v>0.16875975715524719</v>
      </c>
    </row>
    <row r="46" spans="1:17" x14ac:dyDescent="0.25">
      <c r="A46" t="s">
        <v>92</v>
      </c>
      <c r="B46" t="s">
        <v>35</v>
      </c>
      <c r="C46" t="s">
        <v>13</v>
      </c>
      <c r="D46" t="str">
        <f t="shared" si="1"/>
        <v>CA</v>
      </c>
      <c r="E46" t="str">
        <f t="shared" si="2"/>
        <v>West</v>
      </c>
      <c r="F46" t="s">
        <v>25</v>
      </c>
      <c r="G46" s="1">
        <v>45054</v>
      </c>
      <c r="H46" s="1">
        <v>45057</v>
      </c>
      <c r="I46" s="1">
        <f t="shared" si="0"/>
        <v>45057</v>
      </c>
      <c r="J46" s="2">
        <v>4.7</v>
      </c>
      <c r="K46" s="2">
        <v>49.68</v>
      </c>
      <c r="L46" t="s">
        <v>15</v>
      </c>
      <c r="M46" s="2">
        <v>343</v>
      </c>
      <c r="N46" s="2">
        <v>3</v>
      </c>
      <c r="O46" s="2">
        <f t="shared" si="3"/>
        <v>114.33333333333333</v>
      </c>
      <c r="P46" s="2">
        <f t="shared" si="4"/>
        <v>2.3013955984970478</v>
      </c>
      <c r="Q46" s="3">
        <f t="shared" si="5"/>
        <v>0.1448396501457726</v>
      </c>
    </row>
    <row r="47" spans="1:17" hidden="1" x14ac:dyDescent="0.25">
      <c r="A47" t="s">
        <v>93</v>
      </c>
      <c r="B47" t="s">
        <v>51</v>
      </c>
      <c r="C47" t="s">
        <v>54</v>
      </c>
      <c r="D47" t="str">
        <f t="shared" si="1"/>
        <v>FL</v>
      </c>
      <c r="E47" t="str">
        <f t="shared" si="2"/>
        <v>Southeast</v>
      </c>
      <c r="F47" t="s">
        <v>42</v>
      </c>
      <c r="G47" s="1">
        <v>45040</v>
      </c>
      <c r="H47" s="1">
        <v>45045</v>
      </c>
      <c r="I47" s="1">
        <f t="shared" si="0"/>
        <v>45045</v>
      </c>
      <c r="J47" s="2">
        <v>29.7</v>
      </c>
      <c r="K47" s="2">
        <v>245.98</v>
      </c>
      <c r="L47" t="s">
        <v>15</v>
      </c>
      <c r="M47" s="2">
        <v>1973</v>
      </c>
      <c r="N47" s="2">
        <v>5</v>
      </c>
      <c r="O47" s="2">
        <f t="shared" si="3"/>
        <v>394.6</v>
      </c>
      <c r="P47" s="2">
        <f t="shared" si="4"/>
        <v>1.6041954630457762</v>
      </c>
      <c r="Q47" s="3">
        <f t="shared" si="5"/>
        <v>0.1246730866700456</v>
      </c>
    </row>
    <row r="48" spans="1:17" x14ac:dyDescent="0.25">
      <c r="A48" t="s">
        <v>94</v>
      </c>
      <c r="B48" t="s">
        <v>20</v>
      </c>
      <c r="C48" t="s">
        <v>70</v>
      </c>
      <c r="D48" t="str">
        <f t="shared" si="1"/>
        <v>CA</v>
      </c>
      <c r="E48" t="str">
        <f t="shared" si="2"/>
        <v>West</v>
      </c>
      <c r="F48" t="s">
        <v>18</v>
      </c>
      <c r="G48" s="1">
        <v>45174</v>
      </c>
      <c r="H48" s="1">
        <v>45180</v>
      </c>
      <c r="I48" s="1">
        <f t="shared" si="0"/>
        <v>45180</v>
      </c>
      <c r="J48" s="2">
        <v>9</v>
      </c>
      <c r="K48" s="2">
        <v>356.77</v>
      </c>
      <c r="L48" t="s">
        <v>15</v>
      </c>
      <c r="M48" s="2">
        <v>2335</v>
      </c>
      <c r="N48" s="2">
        <v>6</v>
      </c>
      <c r="O48" s="2">
        <f t="shared" si="3"/>
        <v>389.16666666666669</v>
      </c>
      <c r="P48" s="2">
        <f t="shared" si="4"/>
        <v>1.0908054675748149</v>
      </c>
      <c r="Q48" s="3">
        <f t="shared" si="5"/>
        <v>0.15279229122055674</v>
      </c>
    </row>
    <row r="49" spans="1:17" hidden="1" x14ac:dyDescent="0.25">
      <c r="A49" t="s">
        <v>95</v>
      </c>
      <c r="B49" t="s">
        <v>27</v>
      </c>
      <c r="C49" t="s">
        <v>28</v>
      </c>
      <c r="D49" t="str">
        <f t="shared" si="1"/>
        <v>TX</v>
      </c>
      <c r="E49" t="str">
        <f t="shared" si="2"/>
        <v>Southwest</v>
      </c>
      <c r="F49" t="s">
        <v>59</v>
      </c>
      <c r="G49" s="1">
        <v>44943</v>
      </c>
      <c r="H49" s="1">
        <v>44946</v>
      </c>
      <c r="I49" s="1">
        <f t="shared" si="0"/>
        <v>44946</v>
      </c>
      <c r="J49" s="2">
        <v>25.4</v>
      </c>
      <c r="K49" s="2">
        <v>127.22</v>
      </c>
      <c r="L49" t="s">
        <v>15</v>
      </c>
      <c r="M49" s="2">
        <v>816</v>
      </c>
      <c r="N49" s="2">
        <v>3</v>
      </c>
      <c r="O49" s="2">
        <f t="shared" si="3"/>
        <v>272</v>
      </c>
      <c r="P49" s="2">
        <f t="shared" si="4"/>
        <v>2.1380286118534824</v>
      </c>
      <c r="Q49" s="3">
        <f t="shared" si="5"/>
        <v>0.15590686274509805</v>
      </c>
    </row>
    <row r="50" spans="1:17" hidden="1" x14ac:dyDescent="0.25">
      <c r="A50" t="s">
        <v>96</v>
      </c>
      <c r="B50" t="s">
        <v>27</v>
      </c>
      <c r="C50" t="s">
        <v>52</v>
      </c>
      <c r="D50" t="str">
        <f t="shared" si="1"/>
        <v>AZ</v>
      </c>
      <c r="E50" t="str">
        <f t="shared" si="2"/>
        <v>Southwest</v>
      </c>
      <c r="F50" t="s">
        <v>42</v>
      </c>
      <c r="G50" s="1">
        <v>45039</v>
      </c>
      <c r="H50" s="1">
        <v>45046</v>
      </c>
      <c r="I50" s="1">
        <f t="shared" si="0"/>
        <v>45046</v>
      </c>
      <c r="J50" s="2">
        <v>14.2</v>
      </c>
      <c r="K50" s="2">
        <v>248.03</v>
      </c>
      <c r="L50" t="s">
        <v>15</v>
      </c>
      <c r="M50" s="2">
        <v>1758</v>
      </c>
      <c r="N50" s="2">
        <v>7</v>
      </c>
      <c r="O50" s="2">
        <f t="shared" si="3"/>
        <v>251.14285714285714</v>
      </c>
      <c r="P50" s="2">
        <f t="shared" si="4"/>
        <v>1.0125503251334804</v>
      </c>
      <c r="Q50" s="3">
        <f t="shared" si="5"/>
        <v>0.14108646188850968</v>
      </c>
    </row>
    <row r="51" spans="1:17" hidden="1" x14ac:dyDescent="0.25">
      <c r="A51" t="s">
        <v>97</v>
      </c>
      <c r="B51" t="s">
        <v>12</v>
      </c>
      <c r="C51" t="s">
        <v>46</v>
      </c>
      <c r="D51" t="str">
        <f t="shared" si="1"/>
        <v>MA</v>
      </c>
      <c r="E51" t="str">
        <f t="shared" si="2"/>
        <v>Northeast</v>
      </c>
      <c r="F51" t="s">
        <v>14</v>
      </c>
      <c r="G51" s="1">
        <v>44933</v>
      </c>
      <c r="H51" s="1">
        <v>44937</v>
      </c>
      <c r="I51" s="1">
        <f t="shared" si="0"/>
        <v>44937</v>
      </c>
      <c r="J51" s="2">
        <v>84.1</v>
      </c>
      <c r="K51" s="2">
        <v>251.24</v>
      </c>
      <c r="L51" t="s">
        <v>15</v>
      </c>
      <c r="M51" s="2">
        <v>1010</v>
      </c>
      <c r="N51" s="2">
        <v>4</v>
      </c>
      <c r="O51" s="2">
        <f t="shared" si="3"/>
        <v>252.5</v>
      </c>
      <c r="P51" s="2">
        <f t="shared" si="4"/>
        <v>1.0050151249800987</v>
      </c>
      <c r="Q51" s="3">
        <f t="shared" si="5"/>
        <v>0.24875247524752475</v>
      </c>
    </row>
    <row r="52" spans="1:17" hidden="1" x14ac:dyDescent="0.25">
      <c r="A52" t="s">
        <v>98</v>
      </c>
      <c r="B52" t="s">
        <v>12</v>
      </c>
      <c r="C52" t="s">
        <v>31</v>
      </c>
      <c r="D52" t="str">
        <f t="shared" si="1"/>
        <v>NY</v>
      </c>
      <c r="E52" t="str">
        <f t="shared" si="2"/>
        <v>Northeast</v>
      </c>
      <c r="F52" t="s">
        <v>32</v>
      </c>
      <c r="G52" s="1">
        <v>45144</v>
      </c>
      <c r="H52" s="1">
        <v>45160</v>
      </c>
      <c r="I52" s="1">
        <f t="shared" si="0"/>
        <v>45160</v>
      </c>
      <c r="J52" s="2">
        <v>29.5</v>
      </c>
      <c r="K52" s="2">
        <v>340.07</v>
      </c>
      <c r="L52" t="s">
        <v>47</v>
      </c>
      <c r="M52" s="2">
        <v>2396</v>
      </c>
      <c r="N52" s="2">
        <v>6</v>
      </c>
      <c r="O52" s="2">
        <f t="shared" si="3"/>
        <v>399.33333333333331</v>
      </c>
      <c r="P52" s="2">
        <f t="shared" si="4"/>
        <v>1.1742680428539223</v>
      </c>
      <c r="Q52" s="3">
        <f t="shared" si="5"/>
        <v>0.14193238731218696</v>
      </c>
    </row>
    <row r="53" spans="1:17" hidden="1" x14ac:dyDescent="0.25">
      <c r="A53" t="s">
        <v>99</v>
      </c>
      <c r="B53" t="s">
        <v>49</v>
      </c>
      <c r="C53" t="s">
        <v>57</v>
      </c>
      <c r="D53" t="str">
        <f t="shared" si="1"/>
        <v>MN</v>
      </c>
      <c r="E53" t="str">
        <f t="shared" si="2"/>
        <v>Midwest</v>
      </c>
      <c r="F53" t="s">
        <v>59</v>
      </c>
      <c r="G53" s="1">
        <v>44980</v>
      </c>
      <c r="H53" s="1">
        <v>44985</v>
      </c>
      <c r="I53" s="1">
        <f t="shared" si="0"/>
        <v>44985</v>
      </c>
      <c r="J53" s="2">
        <v>19.600000000000001</v>
      </c>
      <c r="K53" s="2">
        <v>156.03</v>
      </c>
      <c r="L53" t="s">
        <v>15</v>
      </c>
      <c r="M53" s="2">
        <v>1267</v>
      </c>
      <c r="N53" s="2">
        <v>5</v>
      </c>
      <c r="O53" s="2">
        <f t="shared" si="3"/>
        <v>253.4</v>
      </c>
      <c r="P53" s="2">
        <f t="shared" si="4"/>
        <v>1.6240466576940331</v>
      </c>
      <c r="Q53" s="3">
        <f t="shared" si="5"/>
        <v>0.12314917127071823</v>
      </c>
    </row>
    <row r="54" spans="1:17" hidden="1" x14ac:dyDescent="0.25">
      <c r="A54" t="s">
        <v>100</v>
      </c>
      <c r="B54" t="s">
        <v>23</v>
      </c>
      <c r="C54" t="s">
        <v>44</v>
      </c>
      <c r="D54" t="str">
        <f t="shared" si="1"/>
        <v>IL</v>
      </c>
      <c r="E54" t="str">
        <f t="shared" si="2"/>
        <v>Midwest</v>
      </c>
      <c r="F54" t="s">
        <v>37</v>
      </c>
      <c r="G54" s="1">
        <v>44953</v>
      </c>
      <c r="H54" s="1">
        <v>44958</v>
      </c>
      <c r="I54" s="1">
        <f t="shared" si="0"/>
        <v>44958</v>
      </c>
      <c r="J54" s="2">
        <v>25.9</v>
      </c>
      <c r="K54" s="2">
        <v>206.17</v>
      </c>
      <c r="L54" t="s">
        <v>15</v>
      </c>
      <c r="M54" s="2">
        <v>1365</v>
      </c>
      <c r="N54" s="2">
        <v>5</v>
      </c>
      <c r="O54" s="2">
        <f t="shared" si="3"/>
        <v>273</v>
      </c>
      <c r="P54" s="2">
        <f t="shared" si="4"/>
        <v>1.324149973322986</v>
      </c>
      <c r="Q54" s="3">
        <f t="shared" si="5"/>
        <v>0.15104029304029304</v>
      </c>
    </row>
    <row r="55" spans="1:17" hidden="1" x14ac:dyDescent="0.25">
      <c r="A55" t="s">
        <v>101</v>
      </c>
      <c r="B55" t="s">
        <v>23</v>
      </c>
      <c r="C55" t="s">
        <v>28</v>
      </c>
      <c r="D55" t="str">
        <f t="shared" si="1"/>
        <v>TX</v>
      </c>
      <c r="E55" t="str">
        <f t="shared" si="2"/>
        <v>Southwest</v>
      </c>
      <c r="F55" t="s">
        <v>14</v>
      </c>
      <c r="G55" s="1">
        <v>44975</v>
      </c>
      <c r="H55" s="1">
        <v>44980</v>
      </c>
      <c r="I55" s="1">
        <f t="shared" si="0"/>
        <v>44980</v>
      </c>
      <c r="J55" s="2">
        <v>26.6</v>
      </c>
      <c r="K55" s="2">
        <v>277.97000000000003</v>
      </c>
      <c r="L55" t="s">
        <v>15</v>
      </c>
      <c r="M55" s="2">
        <v>1847</v>
      </c>
      <c r="N55" s="2">
        <v>5</v>
      </c>
      <c r="O55" s="2">
        <f t="shared" si="3"/>
        <v>369.4</v>
      </c>
      <c r="P55" s="2">
        <f t="shared" si="4"/>
        <v>1.328920387092132</v>
      </c>
      <c r="Q55" s="3">
        <f t="shared" si="5"/>
        <v>0.15049810503519223</v>
      </c>
    </row>
    <row r="56" spans="1:17" hidden="1" x14ac:dyDescent="0.25">
      <c r="A56" t="s">
        <v>102</v>
      </c>
      <c r="B56" t="s">
        <v>56</v>
      </c>
      <c r="C56" t="s">
        <v>57</v>
      </c>
      <c r="D56" t="str">
        <f t="shared" si="1"/>
        <v>MN</v>
      </c>
      <c r="E56" t="str">
        <f t="shared" si="2"/>
        <v>Midwest</v>
      </c>
      <c r="F56" t="s">
        <v>42</v>
      </c>
      <c r="G56" s="1">
        <v>45057</v>
      </c>
      <c r="H56" s="1">
        <v>45063</v>
      </c>
      <c r="I56" s="1">
        <f t="shared" si="0"/>
        <v>45063</v>
      </c>
      <c r="J56" s="2">
        <v>31.6</v>
      </c>
      <c r="K56" s="2">
        <v>283.13</v>
      </c>
      <c r="L56" t="s">
        <v>15</v>
      </c>
      <c r="M56" s="2">
        <v>2249</v>
      </c>
      <c r="N56" s="2">
        <v>6</v>
      </c>
      <c r="O56" s="2">
        <f t="shared" si="3"/>
        <v>374.83333333333331</v>
      </c>
      <c r="P56" s="2">
        <f t="shared" si="4"/>
        <v>1.3238912631417841</v>
      </c>
      <c r="Q56" s="3">
        <f t="shared" si="5"/>
        <v>0.12589150733659404</v>
      </c>
    </row>
    <row r="57" spans="1:17" hidden="1" x14ac:dyDescent="0.25">
      <c r="A57" t="s">
        <v>103</v>
      </c>
      <c r="B57" t="s">
        <v>35</v>
      </c>
      <c r="C57" t="s">
        <v>44</v>
      </c>
      <c r="D57" t="str">
        <f t="shared" si="1"/>
        <v>IL</v>
      </c>
      <c r="E57" t="str">
        <f t="shared" si="2"/>
        <v>Midwest</v>
      </c>
      <c r="F57" t="s">
        <v>25</v>
      </c>
      <c r="G57" s="1">
        <v>45196</v>
      </c>
      <c r="H57" s="1">
        <v>45199</v>
      </c>
      <c r="I57" s="1">
        <f t="shared" si="0"/>
        <v>45199</v>
      </c>
      <c r="J57" s="2">
        <v>24.7</v>
      </c>
      <c r="K57" s="2">
        <v>68.63</v>
      </c>
      <c r="L57" t="s">
        <v>15</v>
      </c>
      <c r="M57" s="2">
        <v>342</v>
      </c>
      <c r="N57" s="2">
        <v>3</v>
      </c>
      <c r="O57" s="2">
        <f t="shared" si="3"/>
        <v>114</v>
      </c>
      <c r="P57" s="2">
        <f t="shared" si="4"/>
        <v>1.6610811598426345</v>
      </c>
      <c r="Q57" s="3">
        <f t="shared" si="5"/>
        <v>0.20067251461988303</v>
      </c>
    </row>
    <row r="58" spans="1:17" hidden="1" x14ac:dyDescent="0.25">
      <c r="A58" t="s">
        <v>104</v>
      </c>
      <c r="B58" t="s">
        <v>27</v>
      </c>
      <c r="C58" t="s">
        <v>57</v>
      </c>
      <c r="D58" t="str">
        <f t="shared" si="1"/>
        <v>MN</v>
      </c>
      <c r="E58" t="str">
        <f t="shared" si="2"/>
        <v>Midwest</v>
      </c>
      <c r="F58" t="s">
        <v>42</v>
      </c>
      <c r="G58" s="1">
        <v>45030</v>
      </c>
      <c r="H58" s="1">
        <v>45035</v>
      </c>
      <c r="I58" s="1">
        <f t="shared" si="0"/>
        <v>45035</v>
      </c>
      <c r="J58" s="2">
        <v>23.2</v>
      </c>
      <c r="K58" s="2">
        <v>231.64</v>
      </c>
      <c r="L58" t="s">
        <v>15</v>
      </c>
      <c r="M58" s="2">
        <v>1913</v>
      </c>
      <c r="N58" s="2">
        <v>5</v>
      </c>
      <c r="O58" s="2">
        <f t="shared" si="3"/>
        <v>382.6</v>
      </c>
      <c r="P58" s="2">
        <f t="shared" si="4"/>
        <v>1.6517009152132622</v>
      </c>
      <c r="Q58" s="3">
        <f t="shared" si="5"/>
        <v>0.12108729743857814</v>
      </c>
    </row>
    <row r="59" spans="1:17" x14ac:dyDescent="0.25">
      <c r="A59" t="s">
        <v>105</v>
      </c>
      <c r="B59" t="s">
        <v>39</v>
      </c>
      <c r="C59" t="s">
        <v>70</v>
      </c>
      <c r="D59" t="str">
        <f t="shared" si="1"/>
        <v>CA</v>
      </c>
      <c r="E59" t="str">
        <f t="shared" si="2"/>
        <v>West</v>
      </c>
      <c r="F59" t="s">
        <v>42</v>
      </c>
      <c r="G59" s="1">
        <v>45225</v>
      </c>
      <c r="H59" s="1">
        <v>45228</v>
      </c>
      <c r="I59" s="1">
        <f t="shared" si="0"/>
        <v>45228</v>
      </c>
      <c r="J59" s="2">
        <v>6.8</v>
      </c>
      <c r="K59" s="2">
        <v>42.06</v>
      </c>
      <c r="L59" t="s">
        <v>60</v>
      </c>
      <c r="M59" s="2">
        <v>255</v>
      </c>
      <c r="N59" s="2">
        <v>3</v>
      </c>
      <c r="O59" s="2">
        <f t="shared" si="3"/>
        <v>85</v>
      </c>
      <c r="P59" s="2">
        <f t="shared" si="4"/>
        <v>2.0209224916785544</v>
      </c>
      <c r="Q59" s="3">
        <f t="shared" si="5"/>
        <v>0.16494117647058826</v>
      </c>
    </row>
    <row r="60" spans="1:17" x14ac:dyDescent="0.25">
      <c r="A60" t="s">
        <v>106</v>
      </c>
      <c r="B60" t="s">
        <v>27</v>
      </c>
      <c r="C60" t="s">
        <v>70</v>
      </c>
      <c r="D60" t="str">
        <f t="shared" si="1"/>
        <v>CA</v>
      </c>
      <c r="E60" t="str">
        <f t="shared" si="2"/>
        <v>West</v>
      </c>
      <c r="F60" t="s">
        <v>59</v>
      </c>
      <c r="G60" s="1">
        <v>45210</v>
      </c>
      <c r="H60" s="1">
        <v>45212</v>
      </c>
      <c r="I60" s="1">
        <f t="shared" si="0"/>
        <v>45212</v>
      </c>
      <c r="J60" s="2">
        <v>8.9</v>
      </c>
      <c r="K60" s="2">
        <v>78.37</v>
      </c>
      <c r="L60" t="s">
        <v>15</v>
      </c>
      <c r="M60" s="2">
        <v>600</v>
      </c>
      <c r="N60" s="2">
        <v>2</v>
      </c>
      <c r="O60" s="2">
        <f t="shared" si="3"/>
        <v>300</v>
      </c>
      <c r="P60" s="2">
        <f t="shared" si="4"/>
        <v>3.8279954064055119</v>
      </c>
      <c r="Q60" s="3">
        <f t="shared" si="5"/>
        <v>0.13061666666666669</v>
      </c>
    </row>
    <row r="61" spans="1:17" x14ac:dyDescent="0.25">
      <c r="A61" t="s">
        <v>107</v>
      </c>
      <c r="B61" t="s">
        <v>23</v>
      </c>
      <c r="C61" t="s">
        <v>13</v>
      </c>
      <c r="D61" t="str">
        <f t="shared" si="1"/>
        <v>CA</v>
      </c>
      <c r="E61" t="str">
        <f t="shared" si="2"/>
        <v>West</v>
      </c>
      <c r="F61" t="s">
        <v>25</v>
      </c>
      <c r="G61" s="1">
        <v>45231</v>
      </c>
      <c r="H61" s="1">
        <v>45236</v>
      </c>
      <c r="I61" s="1">
        <f t="shared" si="0"/>
        <v>45236</v>
      </c>
      <c r="J61" s="2">
        <v>28.5</v>
      </c>
      <c r="K61" s="2">
        <v>128.94</v>
      </c>
      <c r="L61" t="s">
        <v>15</v>
      </c>
      <c r="M61" s="2">
        <v>622</v>
      </c>
      <c r="N61" s="2">
        <v>5</v>
      </c>
      <c r="O61" s="2">
        <f t="shared" si="3"/>
        <v>124.4</v>
      </c>
      <c r="P61" s="2">
        <f t="shared" si="4"/>
        <v>0.96478982472467822</v>
      </c>
      <c r="Q61" s="3">
        <f t="shared" si="5"/>
        <v>0.20729903536977493</v>
      </c>
    </row>
    <row r="62" spans="1:17" x14ac:dyDescent="0.25">
      <c r="A62" t="s">
        <v>108</v>
      </c>
      <c r="B62" t="s">
        <v>39</v>
      </c>
      <c r="C62" t="s">
        <v>81</v>
      </c>
      <c r="D62" t="str">
        <f t="shared" si="1"/>
        <v>CO</v>
      </c>
      <c r="E62" t="str">
        <f t="shared" si="2"/>
        <v>West</v>
      </c>
      <c r="F62" t="s">
        <v>25</v>
      </c>
      <c r="G62" s="1">
        <v>45209</v>
      </c>
      <c r="H62" s="1">
        <v>45212</v>
      </c>
      <c r="I62" s="1">
        <f t="shared" si="0"/>
        <v>45212</v>
      </c>
      <c r="J62" s="2">
        <v>59.8</v>
      </c>
      <c r="K62" s="2">
        <v>196.89</v>
      </c>
      <c r="L62" t="s">
        <v>15</v>
      </c>
      <c r="M62" s="2">
        <v>1030</v>
      </c>
      <c r="N62" s="2">
        <v>3</v>
      </c>
      <c r="O62" s="2">
        <f t="shared" si="3"/>
        <v>343.33333333333331</v>
      </c>
      <c r="P62" s="2">
        <f t="shared" si="4"/>
        <v>1.7437824842974927</v>
      </c>
      <c r="Q62" s="3">
        <f t="shared" si="5"/>
        <v>0.19115533980582522</v>
      </c>
    </row>
    <row r="63" spans="1:17" hidden="1" x14ac:dyDescent="0.25">
      <c r="A63" t="s">
        <v>109</v>
      </c>
      <c r="B63" t="s">
        <v>30</v>
      </c>
      <c r="C63" t="s">
        <v>44</v>
      </c>
      <c r="D63" t="str">
        <f t="shared" si="1"/>
        <v>IL</v>
      </c>
      <c r="E63" t="str">
        <f t="shared" si="2"/>
        <v>Midwest</v>
      </c>
      <c r="F63" t="s">
        <v>42</v>
      </c>
      <c r="G63" s="1">
        <v>45142</v>
      </c>
      <c r="H63" s="1">
        <v>45145</v>
      </c>
      <c r="I63" s="1">
        <f t="shared" si="0"/>
        <v>45145</v>
      </c>
      <c r="J63" s="2">
        <v>9.8000000000000007</v>
      </c>
      <c r="K63" s="2">
        <v>93.3</v>
      </c>
      <c r="L63" t="s">
        <v>15</v>
      </c>
      <c r="M63" s="2">
        <v>708</v>
      </c>
      <c r="N63" s="2">
        <v>3</v>
      </c>
      <c r="O63" s="2">
        <f t="shared" si="3"/>
        <v>236</v>
      </c>
      <c r="P63" s="2">
        <f t="shared" si="4"/>
        <v>2.529474812433012</v>
      </c>
      <c r="Q63" s="3">
        <f t="shared" si="5"/>
        <v>0.13177966101694916</v>
      </c>
    </row>
    <row r="64" spans="1:17" hidden="1" x14ac:dyDescent="0.25">
      <c r="A64" t="s">
        <v>110</v>
      </c>
      <c r="B64" t="s">
        <v>49</v>
      </c>
      <c r="C64" t="s">
        <v>40</v>
      </c>
      <c r="D64" t="str">
        <f t="shared" si="1"/>
        <v>MI</v>
      </c>
      <c r="E64" t="str">
        <f t="shared" si="2"/>
        <v>Midwest</v>
      </c>
      <c r="F64" t="s">
        <v>32</v>
      </c>
      <c r="G64" s="1">
        <v>45069</v>
      </c>
      <c r="H64" s="1">
        <v>45087</v>
      </c>
      <c r="I64" s="1">
        <f t="shared" si="0"/>
        <v>45087</v>
      </c>
      <c r="J64" s="2">
        <v>61.9</v>
      </c>
      <c r="K64" s="2">
        <v>316.41000000000003</v>
      </c>
      <c r="L64" t="s">
        <v>47</v>
      </c>
      <c r="M64" s="2">
        <v>1914</v>
      </c>
      <c r="N64" s="2">
        <v>5</v>
      </c>
      <c r="O64" s="2">
        <f t="shared" si="3"/>
        <v>382.8</v>
      </c>
      <c r="P64" s="2">
        <f t="shared" si="4"/>
        <v>1.2098226983976486</v>
      </c>
      <c r="Q64" s="3">
        <f t="shared" si="5"/>
        <v>0.16531347962382448</v>
      </c>
    </row>
    <row r="65" spans="1:17" x14ac:dyDescent="0.25">
      <c r="A65" t="s">
        <v>111</v>
      </c>
      <c r="B65" t="s">
        <v>23</v>
      </c>
      <c r="C65" t="s">
        <v>70</v>
      </c>
      <c r="D65" t="str">
        <f t="shared" si="1"/>
        <v>CA</v>
      </c>
      <c r="E65" t="str">
        <f t="shared" si="2"/>
        <v>West</v>
      </c>
      <c r="F65" t="s">
        <v>14</v>
      </c>
      <c r="G65" s="1">
        <v>45123</v>
      </c>
      <c r="H65" s="1">
        <v>45126</v>
      </c>
      <c r="I65" s="1">
        <f t="shared" si="0"/>
        <v>45126</v>
      </c>
      <c r="J65" s="2">
        <v>25.6</v>
      </c>
      <c r="K65" s="2">
        <v>128.53</v>
      </c>
      <c r="L65" t="s">
        <v>15</v>
      </c>
      <c r="M65" s="2">
        <v>740</v>
      </c>
      <c r="N65" s="2">
        <v>3</v>
      </c>
      <c r="O65" s="2">
        <f t="shared" si="3"/>
        <v>246.66666666666666</v>
      </c>
      <c r="P65" s="2">
        <f t="shared" si="4"/>
        <v>1.9191369070774655</v>
      </c>
      <c r="Q65" s="3">
        <f t="shared" si="5"/>
        <v>0.17368918918918919</v>
      </c>
    </row>
    <row r="66" spans="1:17" x14ac:dyDescent="0.25">
      <c r="A66" t="s">
        <v>112</v>
      </c>
      <c r="B66" t="s">
        <v>35</v>
      </c>
      <c r="C66" t="s">
        <v>70</v>
      </c>
      <c r="D66" t="str">
        <f t="shared" si="1"/>
        <v>CA</v>
      </c>
      <c r="E66" t="str">
        <f t="shared" si="2"/>
        <v>West</v>
      </c>
      <c r="F66" t="s">
        <v>14</v>
      </c>
      <c r="G66" s="1">
        <v>45212</v>
      </c>
      <c r="H66" s="1">
        <v>45215</v>
      </c>
      <c r="I66" s="1">
        <f t="shared" ref="I66:I129" si="6">IF(H66="", G66 + N66, H66)</f>
        <v>45215</v>
      </c>
      <c r="J66" s="2">
        <v>67.599999999999994</v>
      </c>
      <c r="K66" s="2">
        <v>232.32</v>
      </c>
      <c r="L66" t="s">
        <v>15</v>
      </c>
      <c r="M66" s="2">
        <v>1007</v>
      </c>
      <c r="N66" s="2">
        <v>3</v>
      </c>
      <c r="O66" s="2">
        <f t="shared" si="3"/>
        <v>335.66666666666669</v>
      </c>
      <c r="P66" s="2">
        <f t="shared" si="4"/>
        <v>1.4448461891643711</v>
      </c>
      <c r="Q66" s="3">
        <f t="shared" si="5"/>
        <v>0.23070506454816286</v>
      </c>
    </row>
    <row r="67" spans="1:17" hidden="1" x14ac:dyDescent="0.25">
      <c r="A67" t="s">
        <v>113</v>
      </c>
      <c r="B67" t="s">
        <v>20</v>
      </c>
      <c r="C67" t="s">
        <v>54</v>
      </c>
      <c r="D67" t="str">
        <f t="shared" ref="D67:D128" si="7">IF(C67="Atlanta","GA",
IF(C67="Boston","MA",
IF(C67="Chicago","IL",
IF(C67="Dallas","TX",
IF(C67="Denver","CO",
IF(C67="Detroit","MI",
IF(C67="Houston","TX",
IF(C67="Los Angeles","CA",
IF(C67="Miami","FL",
IF(C67="Minneapolis","MN",
IF(C67="New York","NY",
IF(C67="Phoenix","AZ",
IF(C67="Portland","OR",
IF(C67="San Francisco","CA",
IF(C67="Seattle","WA","Unknown")))))))))))))))</f>
        <v>FL</v>
      </c>
      <c r="E67" t="str">
        <f t="shared" ref="E67:E128" si="8">IF(OR(D67="NY",D67="NJ",D67="PA",D67="MA",D67="CT",D67="RI",D67="VT",D67="NH",D67="ME"),"Northeast",
IF(OR(D67="FL",D67="GA",D67="AL",D67="MS",D67="SC",D67="NC",D67="TN",D67="KY"),"Southeast",
IF(OR(D67="IL",D67="IN",D67="OH",D67="MI",D67="WI",D67="MN",D67="IA",D67="MO",D67="KS",D67="NE",D67="ND",D67="SD"),"Midwest",
IF(OR(D67="TX",D67="OK",D67="NM",D67="AZ"),"Southwest",
IF(OR(D67="CA",D67="OR",D67="WA",D67="NV",D67="CO",D67="UT",D67="ID",D67="MT",D67="WY",D67="AK",D67="HI"),"West","Other")))))</f>
        <v>Southeast</v>
      </c>
      <c r="F67" t="s">
        <v>42</v>
      </c>
      <c r="G67" s="1">
        <v>45039</v>
      </c>
      <c r="H67" s="1">
        <v>45043</v>
      </c>
      <c r="I67" s="1">
        <f t="shared" si="6"/>
        <v>45043</v>
      </c>
      <c r="J67" s="2">
        <v>50.3</v>
      </c>
      <c r="K67" s="2">
        <v>152.13</v>
      </c>
      <c r="L67" t="s">
        <v>15</v>
      </c>
      <c r="M67" s="2">
        <v>864</v>
      </c>
      <c r="N67" s="2">
        <v>4</v>
      </c>
      <c r="O67" s="2">
        <f t="shared" ref="O67:O128" si="9">M67/N67</f>
        <v>216</v>
      </c>
      <c r="P67" s="2">
        <f t="shared" ref="P67:P128" si="10">O67/K67</f>
        <v>1.4198382961940446</v>
      </c>
      <c r="Q67" s="3">
        <f t="shared" ref="Q67:Q128" si="11">K67/M67</f>
        <v>0.17607638888888888</v>
      </c>
    </row>
    <row r="68" spans="1:17" hidden="1" x14ac:dyDescent="0.25">
      <c r="A68" t="s">
        <v>114</v>
      </c>
      <c r="B68" t="s">
        <v>27</v>
      </c>
      <c r="C68" t="s">
        <v>54</v>
      </c>
      <c r="D68" t="str">
        <f t="shared" si="7"/>
        <v>FL</v>
      </c>
      <c r="E68" t="str">
        <f t="shared" si="8"/>
        <v>Southeast</v>
      </c>
      <c r="F68" t="s">
        <v>37</v>
      </c>
      <c r="G68" s="1">
        <v>45019</v>
      </c>
      <c r="H68" s="1">
        <v>45025</v>
      </c>
      <c r="I68" s="1">
        <f t="shared" si="6"/>
        <v>45025</v>
      </c>
      <c r="J68" s="2">
        <v>15.9</v>
      </c>
      <c r="K68" s="2">
        <v>325.16000000000003</v>
      </c>
      <c r="L68" t="s">
        <v>15</v>
      </c>
      <c r="M68" s="2">
        <v>2463</v>
      </c>
      <c r="N68" s="2">
        <v>6</v>
      </c>
      <c r="O68" s="2">
        <f t="shared" si="9"/>
        <v>410.5</v>
      </c>
      <c r="P68" s="2">
        <f t="shared" si="10"/>
        <v>1.2624554065690736</v>
      </c>
      <c r="Q68" s="3">
        <f t="shared" si="11"/>
        <v>0.13201786439301666</v>
      </c>
    </row>
    <row r="69" spans="1:17" x14ac:dyDescent="0.25">
      <c r="A69" t="s">
        <v>115</v>
      </c>
      <c r="B69" t="s">
        <v>49</v>
      </c>
      <c r="C69" t="s">
        <v>24</v>
      </c>
      <c r="D69" t="str">
        <f t="shared" si="7"/>
        <v>WA</v>
      </c>
      <c r="E69" t="str">
        <f t="shared" si="8"/>
        <v>West</v>
      </c>
      <c r="F69" t="s">
        <v>18</v>
      </c>
      <c r="G69" s="1">
        <v>45088</v>
      </c>
      <c r="H69" s="1">
        <v>45091</v>
      </c>
      <c r="I69" s="1">
        <f t="shared" si="6"/>
        <v>45091</v>
      </c>
      <c r="J69" s="2">
        <v>42.3</v>
      </c>
      <c r="K69" s="2">
        <v>195.98</v>
      </c>
      <c r="L69" t="s">
        <v>15</v>
      </c>
      <c r="M69" s="2">
        <v>998</v>
      </c>
      <c r="N69" s="2">
        <v>3</v>
      </c>
      <c r="O69" s="2">
        <f t="shared" si="9"/>
        <v>332.66666666666669</v>
      </c>
      <c r="P69" s="2">
        <f t="shared" si="10"/>
        <v>1.6974521209647244</v>
      </c>
      <c r="Q69" s="3">
        <f t="shared" si="11"/>
        <v>0.19637274549098196</v>
      </c>
    </row>
    <row r="70" spans="1:17" hidden="1" x14ac:dyDescent="0.25">
      <c r="A70" t="s">
        <v>116</v>
      </c>
      <c r="B70" t="s">
        <v>49</v>
      </c>
      <c r="C70" t="s">
        <v>17</v>
      </c>
      <c r="D70" t="str">
        <f t="shared" si="7"/>
        <v>GA</v>
      </c>
      <c r="E70" t="str">
        <f t="shared" si="8"/>
        <v>Southeast</v>
      </c>
      <c r="F70" t="s">
        <v>32</v>
      </c>
      <c r="G70" s="1">
        <v>45170</v>
      </c>
      <c r="H70" s="1">
        <v>45178</v>
      </c>
      <c r="I70" s="1">
        <f t="shared" si="6"/>
        <v>45178</v>
      </c>
      <c r="J70" s="2">
        <v>26.2</v>
      </c>
      <c r="K70" s="2">
        <v>261.81</v>
      </c>
      <c r="L70" t="s">
        <v>15</v>
      </c>
      <c r="M70" s="2">
        <v>1801</v>
      </c>
      <c r="N70" s="2">
        <v>8</v>
      </c>
      <c r="O70" s="2">
        <f t="shared" si="9"/>
        <v>225.125</v>
      </c>
      <c r="P70" s="2">
        <f t="shared" si="10"/>
        <v>0.85987930178373628</v>
      </c>
      <c r="Q70" s="3">
        <f t="shared" si="11"/>
        <v>0.14536923931149362</v>
      </c>
    </row>
    <row r="71" spans="1:17" hidden="1" x14ac:dyDescent="0.25">
      <c r="A71" t="s">
        <v>117</v>
      </c>
      <c r="B71" t="s">
        <v>49</v>
      </c>
      <c r="C71" t="s">
        <v>21</v>
      </c>
      <c r="D71" t="str">
        <f t="shared" si="7"/>
        <v>TX</v>
      </c>
      <c r="E71" t="str">
        <f t="shared" si="8"/>
        <v>Southwest</v>
      </c>
      <c r="F71" t="s">
        <v>32</v>
      </c>
      <c r="G71" s="1">
        <v>45077</v>
      </c>
      <c r="H71" s="1">
        <v>45081</v>
      </c>
      <c r="I71" s="1">
        <f t="shared" si="6"/>
        <v>45081</v>
      </c>
      <c r="J71" s="2">
        <v>35.700000000000003</v>
      </c>
      <c r="K71" s="2">
        <v>180.2</v>
      </c>
      <c r="L71" t="s">
        <v>15</v>
      </c>
      <c r="M71" s="2">
        <v>989</v>
      </c>
      <c r="N71" s="2">
        <v>4</v>
      </c>
      <c r="O71" s="2">
        <f t="shared" si="9"/>
        <v>247.25</v>
      </c>
      <c r="P71" s="2">
        <f t="shared" si="10"/>
        <v>1.3720865704772476</v>
      </c>
      <c r="Q71" s="3">
        <f t="shared" si="11"/>
        <v>0.18220424671385235</v>
      </c>
    </row>
    <row r="72" spans="1:17" hidden="1" x14ac:dyDescent="0.25">
      <c r="A72" t="s">
        <v>118</v>
      </c>
      <c r="B72" t="s">
        <v>39</v>
      </c>
      <c r="C72" t="s">
        <v>44</v>
      </c>
      <c r="D72" t="str">
        <f t="shared" si="7"/>
        <v>IL</v>
      </c>
      <c r="E72" t="str">
        <f t="shared" si="8"/>
        <v>Midwest</v>
      </c>
      <c r="F72" t="s">
        <v>18</v>
      </c>
      <c r="G72" s="1">
        <v>45033</v>
      </c>
      <c r="H72" s="1">
        <v>45042</v>
      </c>
      <c r="I72" s="1">
        <f t="shared" si="6"/>
        <v>45042</v>
      </c>
      <c r="J72" s="2">
        <v>6.9</v>
      </c>
      <c r="K72" s="2">
        <v>56.51</v>
      </c>
      <c r="L72" t="s">
        <v>47</v>
      </c>
      <c r="M72" s="2">
        <v>383</v>
      </c>
      <c r="N72" s="2">
        <v>3</v>
      </c>
      <c r="O72" s="2">
        <f t="shared" si="9"/>
        <v>127.66666666666667</v>
      </c>
      <c r="P72" s="2">
        <f t="shared" si="10"/>
        <v>2.2591871645136554</v>
      </c>
      <c r="Q72" s="3">
        <f t="shared" si="11"/>
        <v>0.14754569190600522</v>
      </c>
    </row>
    <row r="73" spans="1:17" x14ac:dyDescent="0.25">
      <c r="A73" t="s">
        <v>120</v>
      </c>
      <c r="B73" t="s">
        <v>51</v>
      </c>
      <c r="C73" t="s">
        <v>70</v>
      </c>
      <c r="D73" t="str">
        <f t="shared" si="7"/>
        <v>CA</v>
      </c>
      <c r="E73" t="str">
        <f t="shared" si="8"/>
        <v>West</v>
      </c>
      <c r="F73" t="s">
        <v>42</v>
      </c>
      <c r="G73" s="1">
        <v>44989</v>
      </c>
      <c r="H73" s="1">
        <v>44998</v>
      </c>
      <c r="I73" s="1">
        <f t="shared" si="6"/>
        <v>44998</v>
      </c>
      <c r="J73" s="2">
        <v>10.8</v>
      </c>
      <c r="K73" s="2">
        <v>225.74</v>
      </c>
      <c r="L73" t="s">
        <v>47</v>
      </c>
      <c r="M73" s="2">
        <v>1727</v>
      </c>
      <c r="N73" s="2">
        <v>6</v>
      </c>
      <c r="O73" s="2">
        <f t="shared" si="9"/>
        <v>287.83333333333331</v>
      </c>
      <c r="P73" s="2">
        <f t="shared" si="10"/>
        <v>1.2750657098136498</v>
      </c>
      <c r="Q73" s="3">
        <f t="shared" si="11"/>
        <v>0.13071221771858715</v>
      </c>
    </row>
    <row r="74" spans="1:17" x14ac:dyDescent="0.25">
      <c r="A74" t="s">
        <v>121</v>
      </c>
      <c r="B74" t="s">
        <v>20</v>
      </c>
      <c r="C74" t="s">
        <v>24</v>
      </c>
      <c r="D74" t="str">
        <f t="shared" si="7"/>
        <v>WA</v>
      </c>
      <c r="E74" t="str">
        <f t="shared" si="8"/>
        <v>West</v>
      </c>
      <c r="F74" t="s">
        <v>59</v>
      </c>
      <c r="G74" s="1">
        <v>45180</v>
      </c>
      <c r="H74" s="1">
        <v>45183</v>
      </c>
      <c r="I74" s="1">
        <f t="shared" si="6"/>
        <v>45183</v>
      </c>
      <c r="J74" s="2">
        <v>0.6</v>
      </c>
      <c r="K74" s="2">
        <v>199.78</v>
      </c>
      <c r="L74" t="s">
        <v>62</v>
      </c>
      <c r="M74" s="2">
        <v>1135</v>
      </c>
      <c r="N74" s="2">
        <v>3</v>
      </c>
      <c r="O74" s="2">
        <f t="shared" si="9"/>
        <v>378.33333333333331</v>
      </c>
      <c r="P74" s="2">
        <f t="shared" si="10"/>
        <v>1.8937497914372476</v>
      </c>
      <c r="Q74" s="3">
        <f t="shared" si="11"/>
        <v>0.17601762114537445</v>
      </c>
    </row>
    <row r="75" spans="1:17" hidden="1" x14ac:dyDescent="0.25">
      <c r="A75" t="s">
        <v>122</v>
      </c>
      <c r="B75" t="s">
        <v>12</v>
      </c>
      <c r="C75" t="s">
        <v>52</v>
      </c>
      <c r="D75" t="str">
        <f t="shared" si="7"/>
        <v>AZ</v>
      </c>
      <c r="E75" t="str">
        <f t="shared" si="8"/>
        <v>Southwest</v>
      </c>
      <c r="F75" t="s">
        <v>14</v>
      </c>
      <c r="G75" s="1">
        <v>44984</v>
      </c>
      <c r="H75" s="1">
        <v>44987</v>
      </c>
      <c r="I75" s="1">
        <f t="shared" si="6"/>
        <v>44987</v>
      </c>
      <c r="J75" s="2">
        <v>93</v>
      </c>
      <c r="K75" s="2">
        <v>221.01</v>
      </c>
      <c r="L75" t="s">
        <v>15</v>
      </c>
      <c r="M75" s="2">
        <v>757</v>
      </c>
      <c r="N75" s="2">
        <v>3</v>
      </c>
      <c r="O75" s="2">
        <f t="shared" si="9"/>
        <v>252.33333333333334</v>
      </c>
      <c r="P75" s="2">
        <f t="shared" si="10"/>
        <v>1.1417281269324164</v>
      </c>
      <c r="Q75" s="3">
        <f t="shared" si="11"/>
        <v>0.29195508586525759</v>
      </c>
    </row>
    <row r="76" spans="1:17" hidden="1" x14ac:dyDescent="0.25">
      <c r="A76" t="s">
        <v>123</v>
      </c>
      <c r="B76" t="s">
        <v>39</v>
      </c>
      <c r="C76" t="s">
        <v>28</v>
      </c>
      <c r="D76" t="str">
        <f t="shared" si="7"/>
        <v>TX</v>
      </c>
      <c r="E76" t="str">
        <f t="shared" si="8"/>
        <v>Southwest</v>
      </c>
      <c r="F76" t="s">
        <v>25</v>
      </c>
      <c r="G76" s="1">
        <v>45138</v>
      </c>
      <c r="H76" s="1">
        <v>45142</v>
      </c>
      <c r="I76" s="1">
        <f t="shared" si="6"/>
        <v>45142</v>
      </c>
      <c r="J76" s="2">
        <v>35.299999999999997</v>
      </c>
      <c r="K76" s="2">
        <v>261.49</v>
      </c>
      <c r="L76" t="s">
        <v>15</v>
      </c>
      <c r="M76" s="2">
        <v>1673</v>
      </c>
      <c r="N76" s="2">
        <v>4</v>
      </c>
      <c r="O76" s="2">
        <f t="shared" si="9"/>
        <v>418.25</v>
      </c>
      <c r="P76" s="2">
        <f t="shared" si="10"/>
        <v>1.599487552105243</v>
      </c>
      <c r="Q76" s="3">
        <f t="shared" si="11"/>
        <v>0.15630005977286313</v>
      </c>
    </row>
    <row r="77" spans="1:17" hidden="1" x14ac:dyDescent="0.25">
      <c r="A77" t="s">
        <v>124</v>
      </c>
      <c r="B77" t="s">
        <v>56</v>
      </c>
      <c r="C77" t="s">
        <v>21</v>
      </c>
      <c r="D77" t="str">
        <f t="shared" si="7"/>
        <v>TX</v>
      </c>
      <c r="E77" t="str">
        <f t="shared" si="8"/>
        <v>Southwest</v>
      </c>
      <c r="F77" t="s">
        <v>37</v>
      </c>
      <c r="G77" s="1">
        <v>45242</v>
      </c>
      <c r="H77" s="1">
        <v>45243</v>
      </c>
      <c r="I77" s="1">
        <f t="shared" si="6"/>
        <v>45243</v>
      </c>
      <c r="J77" s="2">
        <v>25.4</v>
      </c>
      <c r="K77" s="2">
        <v>85.28</v>
      </c>
      <c r="L77" t="s">
        <v>15</v>
      </c>
      <c r="M77" s="2">
        <v>319</v>
      </c>
      <c r="N77" s="2">
        <v>1</v>
      </c>
      <c r="O77" s="2">
        <f t="shared" si="9"/>
        <v>319</v>
      </c>
      <c r="P77" s="2">
        <f t="shared" si="10"/>
        <v>3.7406191369606003</v>
      </c>
      <c r="Q77" s="3">
        <f t="shared" si="11"/>
        <v>0.26733542319749215</v>
      </c>
    </row>
    <row r="78" spans="1:17" x14ac:dyDescent="0.25">
      <c r="A78" t="s">
        <v>125</v>
      </c>
      <c r="B78" t="s">
        <v>35</v>
      </c>
      <c r="C78" t="s">
        <v>24</v>
      </c>
      <c r="D78" t="str">
        <f t="shared" si="7"/>
        <v>WA</v>
      </c>
      <c r="E78" t="str">
        <f t="shared" si="8"/>
        <v>West</v>
      </c>
      <c r="F78" t="s">
        <v>59</v>
      </c>
      <c r="G78" s="1">
        <v>45138</v>
      </c>
      <c r="H78" s="1">
        <v>45140</v>
      </c>
      <c r="I78" s="1">
        <f t="shared" si="6"/>
        <v>45140</v>
      </c>
      <c r="J78" s="2">
        <v>20.8</v>
      </c>
      <c r="K78" s="2">
        <v>130.21</v>
      </c>
      <c r="L78" t="s">
        <v>60</v>
      </c>
      <c r="M78" s="2">
        <v>994</v>
      </c>
      <c r="N78" s="2">
        <v>2</v>
      </c>
      <c r="O78" s="2">
        <f t="shared" si="9"/>
        <v>497</v>
      </c>
      <c r="P78" s="2">
        <f t="shared" si="10"/>
        <v>3.8169111435373626</v>
      </c>
      <c r="Q78" s="3">
        <f t="shared" si="11"/>
        <v>0.13099597585513079</v>
      </c>
    </row>
    <row r="79" spans="1:17" x14ac:dyDescent="0.25">
      <c r="A79" t="s">
        <v>126</v>
      </c>
      <c r="B79" t="s">
        <v>20</v>
      </c>
      <c r="C79" t="s">
        <v>36</v>
      </c>
      <c r="D79" t="str">
        <f t="shared" si="7"/>
        <v>OR</v>
      </c>
      <c r="E79" t="str">
        <f t="shared" si="8"/>
        <v>West</v>
      </c>
      <c r="F79" t="s">
        <v>14</v>
      </c>
      <c r="G79" s="1">
        <v>45259</v>
      </c>
      <c r="H79" s="1">
        <v>45262</v>
      </c>
      <c r="I79" s="1">
        <f t="shared" si="6"/>
        <v>45262</v>
      </c>
      <c r="J79" s="2">
        <v>10.9</v>
      </c>
      <c r="K79" s="2">
        <v>119.38</v>
      </c>
      <c r="L79" t="s">
        <v>15</v>
      </c>
      <c r="M79" s="2">
        <v>612</v>
      </c>
      <c r="N79" s="2">
        <v>3</v>
      </c>
      <c r="O79" s="2">
        <f t="shared" si="9"/>
        <v>204</v>
      </c>
      <c r="P79" s="2">
        <f t="shared" si="10"/>
        <v>1.7088289495727929</v>
      </c>
      <c r="Q79" s="3">
        <f t="shared" si="11"/>
        <v>0.19506535947712417</v>
      </c>
    </row>
    <row r="80" spans="1:17" hidden="1" x14ac:dyDescent="0.25">
      <c r="A80" t="s">
        <v>127</v>
      </c>
      <c r="B80" t="s">
        <v>27</v>
      </c>
      <c r="C80" t="s">
        <v>40</v>
      </c>
      <c r="D80" t="str">
        <f t="shared" si="7"/>
        <v>MI</v>
      </c>
      <c r="E80" t="str">
        <f t="shared" si="8"/>
        <v>Midwest</v>
      </c>
      <c r="F80" t="s">
        <v>14</v>
      </c>
      <c r="G80" s="1">
        <v>45107</v>
      </c>
      <c r="H80" s="1">
        <v>45117</v>
      </c>
      <c r="I80" s="1">
        <f t="shared" si="6"/>
        <v>45117</v>
      </c>
      <c r="J80" s="2">
        <v>22.4</v>
      </c>
      <c r="K80" s="2">
        <v>309.17</v>
      </c>
      <c r="L80" t="s">
        <v>47</v>
      </c>
      <c r="M80" s="2">
        <v>2214</v>
      </c>
      <c r="N80" s="2">
        <v>7</v>
      </c>
      <c r="O80" s="2">
        <f t="shared" si="9"/>
        <v>316.28571428571428</v>
      </c>
      <c r="P80" s="2">
        <f t="shared" si="10"/>
        <v>1.023015539301078</v>
      </c>
      <c r="Q80" s="3">
        <f t="shared" si="11"/>
        <v>0.13964317976513099</v>
      </c>
    </row>
    <row r="81" spans="1:17" x14ac:dyDescent="0.25">
      <c r="A81" t="s">
        <v>128</v>
      </c>
      <c r="B81" t="s">
        <v>20</v>
      </c>
      <c r="C81" t="s">
        <v>70</v>
      </c>
      <c r="D81" t="str">
        <f t="shared" si="7"/>
        <v>CA</v>
      </c>
      <c r="E81" t="str">
        <f t="shared" si="8"/>
        <v>West</v>
      </c>
      <c r="F81" t="s">
        <v>42</v>
      </c>
      <c r="G81" s="1">
        <v>45020</v>
      </c>
      <c r="H81" s="1">
        <v>45023</v>
      </c>
      <c r="I81" s="1">
        <f t="shared" si="6"/>
        <v>45023</v>
      </c>
      <c r="J81" s="2">
        <v>15.1</v>
      </c>
      <c r="K81" s="2">
        <v>152.16</v>
      </c>
      <c r="L81" t="s">
        <v>15</v>
      </c>
      <c r="M81" s="2">
        <v>1051</v>
      </c>
      <c r="N81" s="2">
        <v>3</v>
      </c>
      <c r="O81" s="2">
        <f t="shared" si="9"/>
        <v>350.33333333333331</v>
      </c>
      <c r="P81" s="2">
        <f t="shared" si="10"/>
        <v>2.3024009814230633</v>
      </c>
      <c r="Q81" s="3">
        <f t="shared" si="11"/>
        <v>0.14477640342530923</v>
      </c>
    </row>
    <row r="82" spans="1:17" hidden="1" x14ac:dyDescent="0.25">
      <c r="A82" t="s">
        <v>129</v>
      </c>
      <c r="B82" t="s">
        <v>27</v>
      </c>
      <c r="C82" t="s">
        <v>31</v>
      </c>
      <c r="D82" t="str">
        <f t="shared" si="7"/>
        <v>NY</v>
      </c>
      <c r="E82" t="str">
        <f t="shared" si="8"/>
        <v>Northeast</v>
      </c>
      <c r="F82" t="s">
        <v>18</v>
      </c>
      <c r="G82" s="1">
        <v>44999</v>
      </c>
      <c r="H82" s="1">
        <v>45004</v>
      </c>
      <c r="I82" s="1">
        <f t="shared" si="6"/>
        <v>45004</v>
      </c>
      <c r="J82" s="2">
        <v>22.9</v>
      </c>
      <c r="K82" s="2">
        <v>289.37</v>
      </c>
      <c r="L82" t="s">
        <v>15</v>
      </c>
      <c r="M82" s="2">
        <v>1714</v>
      </c>
      <c r="N82" s="2">
        <v>5</v>
      </c>
      <c r="O82" s="2">
        <f t="shared" si="9"/>
        <v>342.8</v>
      </c>
      <c r="P82" s="2">
        <f t="shared" si="10"/>
        <v>1.1846424992224487</v>
      </c>
      <c r="Q82" s="3">
        <f t="shared" si="11"/>
        <v>0.16882730455075845</v>
      </c>
    </row>
    <row r="83" spans="1:17" x14ac:dyDescent="0.25">
      <c r="A83" t="s">
        <v>130</v>
      </c>
      <c r="B83" t="s">
        <v>35</v>
      </c>
      <c r="C83" t="s">
        <v>81</v>
      </c>
      <c r="D83" t="str">
        <f t="shared" si="7"/>
        <v>CO</v>
      </c>
      <c r="E83" t="str">
        <f t="shared" si="8"/>
        <v>West</v>
      </c>
      <c r="F83" t="s">
        <v>25</v>
      </c>
      <c r="G83" s="1">
        <v>45053</v>
      </c>
      <c r="H83" s="1">
        <v>45055</v>
      </c>
      <c r="I83" s="1">
        <f t="shared" si="6"/>
        <v>45055</v>
      </c>
      <c r="J83" s="2">
        <v>14.1</v>
      </c>
      <c r="K83" s="2">
        <v>144.13999999999999</v>
      </c>
      <c r="L83" t="s">
        <v>15</v>
      </c>
      <c r="M83" s="2">
        <v>1000</v>
      </c>
      <c r="N83" s="2">
        <v>2</v>
      </c>
      <c r="O83" s="2">
        <f t="shared" si="9"/>
        <v>500</v>
      </c>
      <c r="P83" s="2">
        <f t="shared" si="10"/>
        <v>3.4688497294297216</v>
      </c>
      <c r="Q83" s="3">
        <f t="shared" si="11"/>
        <v>0.14413999999999999</v>
      </c>
    </row>
    <row r="84" spans="1:17" hidden="1" x14ac:dyDescent="0.25">
      <c r="A84" t="s">
        <v>131</v>
      </c>
      <c r="B84" t="s">
        <v>27</v>
      </c>
      <c r="C84" t="s">
        <v>52</v>
      </c>
      <c r="D84" t="str">
        <f t="shared" si="7"/>
        <v>AZ</v>
      </c>
      <c r="E84" t="str">
        <f t="shared" si="8"/>
        <v>Southwest</v>
      </c>
      <c r="F84" t="s">
        <v>42</v>
      </c>
      <c r="G84" s="1">
        <v>45234</v>
      </c>
      <c r="H84" s="1">
        <v>45242</v>
      </c>
      <c r="I84" s="1">
        <f t="shared" si="6"/>
        <v>45242</v>
      </c>
      <c r="J84" s="2">
        <v>9.3000000000000007</v>
      </c>
      <c r="K84" s="2">
        <v>333.26</v>
      </c>
      <c r="L84" t="s">
        <v>15</v>
      </c>
      <c r="M84" s="2">
        <v>2210</v>
      </c>
      <c r="N84" s="2">
        <v>8</v>
      </c>
      <c r="O84" s="2">
        <f t="shared" si="9"/>
        <v>276.25</v>
      </c>
      <c r="P84" s="2">
        <f t="shared" si="10"/>
        <v>0.82893236512032653</v>
      </c>
      <c r="Q84" s="3">
        <f t="shared" si="11"/>
        <v>0.15079638009049773</v>
      </c>
    </row>
    <row r="85" spans="1:17" hidden="1" x14ac:dyDescent="0.25">
      <c r="A85" t="s">
        <v>132</v>
      </c>
      <c r="B85" t="s">
        <v>35</v>
      </c>
      <c r="C85" t="s">
        <v>17</v>
      </c>
      <c r="D85" t="str">
        <f t="shared" si="7"/>
        <v>GA</v>
      </c>
      <c r="E85" t="str">
        <f t="shared" si="8"/>
        <v>Southeast</v>
      </c>
      <c r="F85" t="s">
        <v>32</v>
      </c>
      <c r="G85" s="1">
        <v>45109</v>
      </c>
      <c r="H85" s="1">
        <v>45113</v>
      </c>
      <c r="I85" s="1">
        <f t="shared" si="6"/>
        <v>45113</v>
      </c>
      <c r="J85" s="2">
        <v>22.9</v>
      </c>
      <c r="K85" s="2">
        <v>233.89</v>
      </c>
      <c r="L85" t="s">
        <v>15</v>
      </c>
      <c r="M85" s="2">
        <v>1510</v>
      </c>
      <c r="N85" s="2">
        <v>4</v>
      </c>
      <c r="O85" s="2">
        <f t="shared" si="9"/>
        <v>377.5</v>
      </c>
      <c r="P85" s="2">
        <f t="shared" si="10"/>
        <v>1.6140065842917612</v>
      </c>
      <c r="Q85" s="3">
        <f t="shared" si="11"/>
        <v>0.15489403973509933</v>
      </c>
    </row>
    <row r="86" spans="1:17" x14ac:dyDescent="0.25">
      <c r="A86" t="s">
        <v>133</v>
      </c>
      <c r="B86" t="s">
        <v>35</v>
      </c>
      <c r="C86" t="s">
        <v>70</v>
      </c>
      <c r="D86" t="str">
        <f t="shared" si="7"/>
        <v>CA</v>
      </c>
      <c r="E86" t="str">
        <f t="shared" si="8"/>
        <v>West</v>
      </c>
      <c r="F86" t="s">
        <v>14</v>
      </c>
      <c r="G86" s="1">
        <v>45022</v>
      </c>
      <c r="H86" s="1">
        <v>45028</v>
      </c>
      <c r="I86" s="1">
        <f t="shared" si="6"/>
        <v>45028</v>
      </c>
      <c r="J86" s="2">
        <v>31.7</v>
      </c>
      <c r="K86" s="2">
        <v>282.19</v>
      </c>
      <c r="L86" t="s">
        <v>15</v>
      </c>
      <c r="M86" s="2">
        <v>1777</v>
      </c>
      <c r="N86" s="2">
        <v>6</v>
      </c>
      <c r="O86" s="2">
        <f t="shared" si="9"/>
        <v>296.16666666666669</v>
      </c>
      <c r="P86" s="2">
        <f t="shared" si="10"/>
        <v>1.0495292769646929</v>
      </c>
      <c r="Q86" s="3">
        <f t="shared" si="11"/>
        <v>0.15880135059088352</v>
      </c>
    </row>
    <row r="87" spans="1:17" hidden="1" x14ac:dyDescent="0.25">
      <c r="A87" t="s">
        <v>134</v>
      </c>
      <c r="B87" t="s">
        <v>49</v>
      </c>
      <c r="C87" t="s">
        <v>57</v>
      </c>
      <c r="D87" t="str">
        <f t="shared" si="7"/>
        <v>MN</v>
      </c>
      <c r="E87" t="str">
        <f t="shared" si="8"/>
        <v>Midwest</v>
      </c>
      <c r="F87" t="s">
        <v>18</v>
      </c>
      <c r="G87" s="1">
        <v>45252</v>
      </c>
      <c r="H87" s="1">
        <v>45259</v>
      </c>
      <c r="I87" s="1">
        <f t="shared" si="6"/>
        <v>45259</v>
      </c>
      <c r="J87" s="2">
        <v>13.5</v>
      </c>
      <c r="K87" s="2">
        <v>422.32</v>
      </c>
      <c r="L87" t="s">
        <v>15</v>
      </c>
      <c r="M87" s="2">
        <v>2388</v>
      </c>
      <c r="N87" s="2">
        <v>7</v>
      </c>
      <c r="O87" s="2">
        <f t="shared" si="9"/>
        <v>341.14285714285717</v>
      </c>
      <c r="P87" s="2">
        <f t="shared" si="10"/>
        <v>0.80778285930776939</v>
      </c>
      <c r="Q87" s="3">
        <f t="shared" si="11"/>
        <v>0.17685092127303181</v>
      </c>
    </row>
    <row r="88" spans="1:17" hidden="1" x14ac:dyDescent="0.25">
      <c r="A88" t="s">
        <v>135</v>
      </c>
      <c r="B88" t="s">
        <v>35</v>
      </c>
      <c r="C88" t="s">
        <v>44</v>
      </c>
      <c r="D88" t="str">
        <f t="shared" si="7"/>
        <v>IL</v>
      </c>
      <c r="E88" t="str">
        <f t="shared" si="8"/>
        <v>Midwest</v>
      </c>
      <c r="F88" t="s">
        <v>25</v>
      </c>
      <c r="G88" s="1">
        <v>45251</v>
      </c>
      <c r="H88" s="1">
        <v>45260</v>
      </c>
      <c r="I88" s="1">
        <f t="shared" si="6"/>
        <v>45260</v>
      </c>
      <c r="J88" s="2">
        <v>17.100000000000001</v>
      </c>
      <c r="K88" s="2">
        <v>214.99</v>
      </c>
      <c r="L88" t="s">
        <v>47</v>
      </c>
      <c r="M88" s="2">
        <v>1284</v>
      </c>
      <c r="N88" s="2">
        <v>4</v>
      </c>
      <c r="O88" s="2">
        <f t="shared" si="9"/>
        <v>321</v>
      </c>
      <c r="P88" s="2">
        <f t="shared" si="10"/>
        <v>1.4930927019861389</v>
      </c>
      <c r="Q88" s="3">
        <f t="shared" si="11"/>
        <v>0.16743769470404984</v>
      </c>
    </row>
    <row r="89" spans="1:17" hidden="1" x14ac:dyDescent="0.25">
      <c r="A89" t="s">
        <v>136</v>
      </c>
      <c r="B89" t="s">
        <v>39</v>
      </c>
      <c r="C89" t="s">
        <v>54</v>
      </c>
      <c r="D89" t="str">
        <f t="shared" si="7"/>
        <v>FL</v>
      </c>
      <c r="E89" t="str">
        <f t="shared" si="8"/>
        <v>Southeast</v>
      </c>
      <c r="F89" t="s">
        <v>59</v>
      </c>
      <c r="G89" s="1">
        <v>45098</v>
      </c>
      <c r="H89" s="1">
        <v>45101</v>
      </c>
      <c r="I89" s="1">
        <f t="shared" si="6"/>
        <v>45101</v>
      </c>
      <c r="J89" s="2">
        <v>37</v>
      </c>
      <c r="K89" s="2">
        <v>184.07</v>
      </c>
      <c r="L89" t="s">
        <v>15</v>
      </c>
      <c r="M89" s="2">
        <v>1198</v>
      </c>
      <c r="N89" s="2">
        <v>3</v>
      </c>
      <c r="O89" s="2">
        <f t="shared" si="9"/>
        <v>399.33333333333331</v>
      </c>
      <c r="P89" s="2">
        <f t="shared" si="10"/>
        <v>2.169464515311204</v>
      </c>
      <c r="Q89" s="3">
        <f t="shared" si="11"/>
        <v>0.15364774624373956</v>
      </c>
    </row>
    <row r="90" spans="1:17" x14ac:dyDescent="0.25">
      <c r="A90" t="s">
        <v>137</v>
      </c>
      <c r="B90" t="s">
        <v>51</v>
      </c>
      <c r="C90" t="s">
        <v>36</v>
      </c>
      <c r="D90" t="str">
        <f t="shared" si="7"/>
        <v>OR</v>
      </c>
      <c r="E90" t="str">
        <f t="shared" si="8"/>
        <v>West</v>
      </c>
      <c r="F90" t="s">
        <v>42</v>
      </c>
      <c r="G90" s="1">
        <v>45240</v>
      </c>
      <c r="H90" s="1">
        <v>45244</v>
      </c>
      <c r="I90" s="1">
        <f t="shared" si="6"/>
        <v>45244</v>
      </c>
      <c r="J90" s="2">
        <v>127.8</v>
      </c>
      <c r="K90" s="2">
        <v>247.54</v>
      </c>
      <c r="L90" t="s">
        <v>15</v>
      </c>
      <c r="M90" s="2">
        <v>1482</v>
      </c>
      <c r="N90" s="2">
        <v>4</v>
      </c>
      <c r="O90" s="2">
        <f t="shared" si="9"/>
        <v>370.5</v>
      </c>
      <c r="P90" s="2">
        <f t="shared" si="10"/>
        <v>1.4967278015674235</v>
      </c>
      <c r="Q90" s="3">
        <f t="shared" si="11"/>
        <v>0.1670310391363023</v>
      </c>
    </row>
    <row r="91" spans="1:17" hidden="1" x14ac:dyDescent="0.25">
      <c r="A91" t="s">
        <v>138</v>
      </c>
      <c r="B91" t="s">
        <v>12</v>
      </c>
      <c r="C91" t="s">
        <v>44</v>
      </c>
      <c r="D91" t="str">
        <f t="shared" si="7"/>
        <v>IL</v>
      </c>
      <c r="E91" t="str">
        <f t="shared" si="8"/>
        <v>Midwest</v>
      </c>
      <c r="F91" t="s">
        <v>25</v>
      </c>
      <c r="G91" s="1">
        <v>44953</v>
      </c>
      <c r="H91" s="1">
        <v>44955</v>
      </c>
      <c r="I91" s="1">
        <f t="shared" si="6"/>
        <v>44955</v>
      </c>
      <c r="J91" s="2">
        <v>10.8</v>
      </c>
      <c r="K91" s="2">
        <v>83.32</v>
      </c>
      <c r="L91" t="s">
        <v>67</v>
      </c>
      <c r="M91" s="2">
        <v>530</v>
      </c>
      <c r="N91" s="2">
        <v>2</v>
      </c>
      <c r="O91" s="2">
        <f t="shared" si="9"/>
        <v>265</v>
      </c>
      <c r="P91" s="2">
        <f t="shared" si="10"/>
        <v>3.1805088814210278</v>
      </c>
      <c r="Q91" s="3">
        <f t="shared" si="11"/>
        <v>0.15720754716981131</v>
      </c>
    </row>
    <row r="92" spans="1:17" x14ac:dyDescent="0.25">
      <c r="A92" t="s">
        <v>139</v>
      </c>
      <c r="B92" t="s">
        <v>30</v>
      </c>
      <c r="C92" t="s">
        <v>70</v>
      </c>
      <c r="D92" t="str">
        <f t="shared" si="7"/>
        <v>CA</v>
      </c>
      <c r="E92" t="str">
        <f t="shared" si="8"/>
        <v>West</v>
      </c>
      <c r="F92" t="s">
        <v>37</v>
      </c>
      <c r="G92" s="1">
        <v>45258</v>
      </c>
      <c r="H92" s="1">
        <v>45269</v>
      </c>
      <c r="I92" s="1">
        <f t="shared" si="6"/>
        <v>45269</v>
      </c>
      <c r="J92" s="2">
        <v>8.5</v>
      </c>
      <c r="K92" s="2">
        <v>151.63999999999999</v>
      </c>
      <c r="L92" t="s">
        <v>47</v>
      </c>
      <c r="M92" s="2">
        <v>920</v>
      </c>
      <c r="N92" s="2">
        <v>4</v>
      </c>
      <c r="O92" s="2">
        <f t="shared" si="9"/>
        <v>230</v>
      </c>
      <c r="P92" s="2">
        <f t="shared" si="10"/>
        <v>1.5167501978369824</v>
      </c>
      <c r="Q92" s="3">
        <f t="shared" si="11"/>
        <v>0.16482608695652173</v>
      </c>
    </row>
    <row r="93" spans="1:17" x14ac:dyDescent="0.25">
      <c r="A93" t="s">
        <v>140</v>
      </c>
      <c r="B93" t="s">
        <v>56</v>
      </c>
      <c r="C93" t="s">
        <v>70</v>
      </c>
      <c r="D93" t="str">
        <f t="shared" si="7"/>
        <v>CA</v>
      </c>
      <c r="E93" t="str">
        <f t="shared" si="8"/>
        <v>West</v>
      </c>
      <c r="F93" t="s">
        <v>42</v>
      </c>
      <c r="G93" s="1">
        <v>45042</v>
      </c>
      <c r="H93" s="1">
        <v>45047</v>
      </c>
      <c r="I93" s="1">
        <f t="shared" si="6"/>
        <v>45047</v>
      </c>
      <c r="J93" s="2">
        <v>16</v>
      </c>
      <c r="K93" s="2">
        <v>277.61</v>
      </c>
      <c r="L93" t="s">
        <v>15</v>
      </c>
      <c r="M93" s="2">
        <v>1950</v>
      </c>
      <c r="N93" s="2">
        <v>5</v>
      </c>
      <c r="O93" s="2">
        <f t="shared" si="9"/>
        <v>390</v>
      </c>
      <c r="P93" s="2">
        <f t="shared" si="10"/>
        <v>1.4048485285112207</v>
      </c>
      <c r="Q93" s="3">
        <f t="shared" si="11"/>
        <v>0.14236410256410256</v>
      </c>
    </row>
    <row r="94" spans="1:17" hidden="1" x14ac:dyDescent="0.25">
      <c r="A94" t="s">
        <v>141</v>
      </c>
      <c r="B94" t="s">
        <v>12</v>
      </c>
      <c r="C94" t="s">
        <v>21</v>
      </c>
      <c r="D94" t="str">
        <f t="shared" si="7"/>
        <v>TX</v>
      </c>
      <c r="E94" t="str">
        <f t="shared" si="8"/>
        <v>Southwest</v>
      </c>
      <c r="F94" t="s">
        <v>14</v>
      </c>
      <c r="G94" s="1">
        <v>44988</v>
      </c>
      <c r="H94" s="1">
        <v>44993</v>
      </c>
      <c r="I94" s="1">
        <f t="shared" si="6"/>
        <v>44993</v>
      </c>
      <c r="J94" s="2">
        <v>32.9</v>
      </c>
      <c r="K94" s="2">
        <v>337.04</v>
      </c>
      <c r="L94" t="s">
        <v>15</v>
      </c>
      <c r="M94" s="2">
        <v>2233</v>
      </c>
      <c r="N94" s="2">
        <v>5</v>
      </c>
      <c r="O94" s="2">
        <f t="shared" si="9"/>
        <v>446.6</v>
      </c>
      <c r="P94" s="2">
        <f t="shared" si="10"/>
        <v>1.3250652741514359</v>
      </c>
      <c r="Q94" s="3">
        <f t="shared" si="11"/>
        <v>0.15093596059113301</v>
      </c>
    </row>
    <row r="95" spans="1:17" x14ac:dyDescent="0.25">
      <c r="A95" t="s">
        <v>142</v>
      </c>
      <c r="B95" t="s">
        <v>30</v>
      </c>
      <c r="C95" t="s">
        <v>13</v>
      </c>
      <c r="D95" t="str">
        <f t="shared" si="7"/>
        <v>CA</v>
      </c>
      <c r="E95" t="str">
        <f t="shared" si="8"/>
        <v>West</v>
      </c>
      <c r="F95" t="s">
        <v>25</v>
      </c>
      <c r="G95" s="1">
        <v>45033</v>
      </c>
      <c r="H95" s="1">
        <v>45040</v>
      </c>
      <c r="I95" s="1">
        <f t="shared" si="6"/>
        <v>45040</v>
      </c>
      <c r="J95" s="2">
        <v>29.5</v>
      </c>
      <c r="K95" s="2">
        <v>167.82</v>
      </c>
      <c r="L95" t="s">
        <v>15</v>
      </c>
      <c r="M95" s="2">
        <v>1022</v>
      </c>
      <c r="N95" s="2">
        <v>7</v>
      </c>
      <c r="O95" s="2">
        <f t="shared" si="9"/>
        <v>146</v>
      </c>
      <c r="P95" s="2">
        <f t="shared" si="10"/>
        <v>0.86997974019783109</v>
      </c>
      <c r="Q95" s="3">
        <f t="shared" si="11"/>
        <v>0.16420743639921723</v>
      </c>
    </row>
    <row r="96" spans="1:17" hidden="1" x14ac:dyDescent="0.25">
      <c r="A96" t="s">
        <v>143</v>
      </c>
      <c r="B96" t="s">
        <v>12</v>
      </c>
      <c r="C96" t="s">
        <v>40</v>
      </c>
      <c r="D96" t="str">
        <f t="shared" si="7"/>
        <v>MI</v>
      </c>
      <c r="E96" t="str">
        <f t="shared" si="8"/>
        <v>Midwest</v>
      </c>
      <c r="F96" t="s">
        <v>37</v>
      </c>
      <c r="G96" s="1">
        <v>45108</v>
      </c>
      <c r="H96" s="1">
        <v>45111</v>
      </c>
      <c r="I96" s="1">
        <f t="shared" si="6"/>
        <v>45111</v>
      </c>
      <c r="J96" s="2">
        <v>18.600000000000001</v>
      </c>
      <c r="K96" s="2">
        <v>191.08</v>
      </c>
      <c r="L96" t="s">
        <v>15</v>
      </c>
      <c r="M96" s="2">
        <v>1447</v>
      </c>
      <c r="N96" s="2">
        <v>3</v>
      </c>
      <c r="O96" s="2">
        <f t="shared" si="9"/>
        <v>482.33333333333331</v>
      </c>
      <c r="P96" s="2">
        <f t="shared" si="10"/>
        <v>2.5242481334170677</v>
      </c>
      <c r="Q96" s="3">
        <f t="shared" si="11"/>
        <v>0.13205252246026261</v>
      </c>
    </row>
    <row r="97" spans="1:17" hidden="1" x14ac:dyDescent="0.25">
      <c r="A97" t="s">
        <v>144</v>
      </c>
      <c r="B97" t="s">
        <v>12</v>
      </c>
      <c r="C97" t="s">
        <v>17</v>
      </c>
      <c r="D97" t="str">
        <f t="shared" si="7"/>
        <v>GA</v>
      </c>
      <c r="E97" t="str">
        <f t="shared" si="8"/>
        <v>Southeast</v>
      </c>
      <c r="F97" t="s">
        <v>18</v>
      </c>
      <c r="G97" s="1">
        <v>45158</v>
      </c>
      <c r="H97" s="1">
        <v>45159</v>
      </c>
      <c r="I97" s="1">
        <f t="shared" si="6"/>
        <v>45159</v>
      </c>
      <c r="J97" s="2">
        <v>9.6</v>
      </c>
      <c r="K97" s="2">
        <v>42.77</v>
      </c>
      <c r="L97" t="s">
        <v>15</v>
      </c>
      <c r="M97" s="2">
        <v>241</v>
      </c>
      <c r="N97" s="2">
        <v>1</v>
      </c>
      <c r="O97" s="2">
        <f t="shared" si="9"/>
        <v>241</v>
      </c>
      <c r="P97" s="2">
        <f t="shared" si="10"/>
        <v>5.6347907411737195</v>
      </c>
      <c r="Q97" s="3">
        <f t="shared" si="11"/>
        <v>0.17746887966804981</v>
      </c>
    </row>
    <row r="98" spans="1:17" hidden="1" x14ac:dyDescent="0.25">
      <c r="A98" t="s">
        <v>145</v>
      </c>
      <c r="B98" t="s">
        <v>12</v>
      </c>
      <c r="C98" t="s">
        <v>17</v>
      </c>
      <c r="D98" t="str">
        <f t="shared" si="7"/>
        <v>GA</v>
      </c>
      <c r="E98" t="str">
        <f t="shared" si="8"/>
        <v>Southeast</v>
      </c>
      <c r="F98" t="s">
        <v>37</v>
      </c>
      <c r="G98" s="1">
        <v>45188</v>
      </c>
      <c r="H98" s="1">
        <v>45193</v>
      </c>
      <c r="I98" s="1">
        <f t="shared" si="6"/>
        <v>45193</v>
      </c>
      <c r="J98" s="2">
        <v>80.400000000000006</v>
      </c>
      <c r="K98" s="2">
        <v>259.98</v>
      </c>
      <c r="L98" t="s">
        <v>15</v>
      </c>
      <c r="M98" s="2">
        <v>1554</v>
      </c>
      <c r="N98" s="2">
        <v>5</v>
      </c>
      <c r="O98" s="2">
        <f t="shared" si="9"/>
        <v>310.8</v>
      </c>
      <c r="P98" s="2">
        <f t="shared" si="10"/>
        <v>1.1954765751211631</v>
      </c>
      <c r="Q98" s="3">
        <f t="shared" si="11"/>
        <v>0.16729729729729731</v>
      </c>
    </row>
    <row r="99" spans="1:17" hidden="1" x14ac:dyDescent="0.25">
      <c r="A99" t="s">
        <v>146</v>
      </c>
      <c r="B99" t="s">
        <v>23</v>
      </c>
      <c r="C99" t="s">
        <v>54</v>
      </c>
      <c r="D99" t="str">
        <f t="shared" si="7"/>
        <v>FL</v>
      </c>
      <c r="E99" t="str">
        <f t="shared" si="8"/>
        <v>Southeast</v>
      </c>
      <c r="F99" t="s">
        <v>25</v>
      </c>
      <c r="G99" s="1">
        <v>45056</v>
      </c>
      <c r="H99" s="1">
        <v>45061</v>
      </c>
      <c r="I99" s="1">
        <f t="shared" si="6"/>
        <v>45061</v>
      </c>
      <c r="J99" s="2">
        <v>11.1</v>
      </c>
      <c r="K99" s="2">
        <v>273.63</v>
      </c>
      <c r="L99" t="s">
        <v>15</v>
      </c>
      <c r="M99" s="2">
        <v>2053</v>
      </c>
      <c r="N99" s="2">
        <v>5</v>
      </c>
      <c r="O99" s="2">
        <f t="shared" si="9"/>
        <v>410.6</v>
      </c>
      <c r="P99" s="2">
        <f t="shared" si="10"/>
        <v>1.5005664583561744</v>
      </c>
      <c r="Q99" s="3">
        <f t="shared" si="11"/>
        <v>0.13328300048709205</v>
      </c>
    </row>
    <row r="100" spans="1:17" hidden="1" x14ac:dyDescent="0.25">
      <c r="A100" t="s">
        <v>147</v>
      </c>
      <c r="B100" t="s">
        <v>49</v>
      </c>
      <c r="C100" t="s">
        <v>52</v>
      </c>
      <c r="D100" t="str">
        <f t="shared" si="7"/>
        <v>AZ</v>
      </c>
      <c r="E100" t="str">
        <f t="shared" si="8"/>
        <v>Southwest</v>
      </c>
      <c r="F100" t="s">
        <v>42</v>
      </c>
      <c r="G100" s="1">
        <v>45125</v>
      </c>
      <c r="H100" s="1">
        <v>45128</v>
      </c>
      <c r="I100" s="1">
        <f t="shared" si="6"/>
        <v>45128</v>
      </c>
      <c r="J100" s="2">
        <v>14.6</v>
      </c>
      <c r="K100" s="2">
        <v>141.34</v>
      </c>
      <c r="L100" t="s">
        <v>15</v>
      </c>
      <c r="M100" s="2">
        <v>1158</v>
      </c>
      <c r="N100" s="2">
        <v>3</v>
      </c>
      <c r="O100" s="2">
        <f t="shared" si="9"/>
        <v>386</v>
      </c>
      <c r="P100" s="2">
        <f t="shared" si="10"/>
        <v>2.7310032545634639</v>
      </c>
      <c r="Q100" s="3">
        <f t="shared" si="11"/>
        <v>0.12205526770293609</v>
      </c>
    </row>
    <row r="101" spans="1:17" hidden="1" x14ac:dyDescent="0.25">
      <c r="A101" t="s">
        <v>148</v>
      </c>
      <c r="B101" t="s">
        <v>35</v>
      </c>
      <c r="C101" t="s">
        <v>17</v>
      </c>
      <c r="D101" t="str">
        <f t="shared" si="7"/>
        <v>GA</v>
      </c>
      <c r="E101" t="str">
        <f t="shared" si="8"/>
        <v>Southeast</v>
      </c>
      <c r="F101" t="s">
        <v>37</v>
      </c>
      <c r="G101" s="1">
        <v>45026</v>
      </c>
      <c r="H101" s="1">
        <v>45033</v>
      </c>
      <c r="I101" s="1">
        <f t="shared" si="6"/>
        <v>45033</v>
      </c>
      <c r="J101" s="2">
        <v>11.9</v>
      </c>
      <c r="K101" s="2">
        <v>277.05</v>
      </c>
      <c r="L101" t="s">
        <v>15</v>
      </c>
      <c r="M101" s="2">
        <v>2109</v>
      </c>
      <c r="N101" s="2">
        <v>7</v>
      </c>
      <c r="O101" s="2">
        <f t="shared" si="9"/>
        <v>301.28571428571428</v>
      </c>
      <c r="P101" s="2">
        <f t="shared" si="10"/>
        <v>1.0874777631680717</v>
      </c>
      <c r="Q101" s="3">
        <f t="shared" si="11"/>
        <v>0.13136557610241822</v>
      </c>
    </row>
    <row r="102" spans="1:17" hidden="1" x14ac:dyDescent="0.25">
      <c r="A102" t="s">
        <v>150</v>
      </c>
      <c r="B102" t="s">
        <v>23</v>
      </c>
      <c r="C102" t="s">
        <v>21</v>
      </c>
      <c r="D102" t="str">
        <f t="shared" si="7"/>
        <v>TX</v>
      </c>
      <c r="E102" t="str">
        <f t="shared" si="8"/>
        <v>Southwest</v>
      </c>
      <c r="F102" t="s">
        <v>18</v>
      </c>
      <c r="G102" s="1">
        <v>45124</v>
      </c>
      <c r="H102" s="1">
        <v>45131</v>
      </c>
      <c r="I102" s="1">
        <f t="shared" si="6"/>
        <v>45131</v>
      </c>
      <c r="J102" s="2">
        <v>8.6</v>
      </c>
      <c r="K102" s="2">
        <v>352.85</v>
      </c>
      <c r="L102" t="s">
        <v>15</v>
      </c>
      <c r="M102" s="2">
        <v>2465</v>
      </c>
      <c r="N102" s="2">
        <v>7</v>
      </c>
      <c r="O102" s="2">
        <f t="shared" si="9"/>
        <v>352.14285714285717</v>
      </c>
      <c r="P102" s="2">
        <f t="shared" si="10"/>
        <v>0.99799591084839778</v>
      </c>
      <c r="Q102" s="3">
        <f t="shared" si="11"/>
        <v>0.14314401622718054</v>
      </c>
    </row>
    <row r="103" spans="1:17" hidden="1" x14ac:dyDescent="0.25">
      <c r="A103" t="s">
        <v>151</v>
      </c>
      <c r="B103" t="s">
        <v>23</v>
      </c>
      <c r="C103" t="s">
        <v>31</v>
      </c>
      <c r="D103" t="str">
        <f t="shared" si="7"/>
        <v>NY</v>
      </c>
      <c r="E103" t="str">
        <f t="shared" si="8"/>
        <v>Northeast</v>
      </c>
      <c r="F103" t="s">
        <v>37</v>
      </c>
      <c r="G103" s="1">
        <v>44940</v>
      </c>
      <c r="H103" s="1">
        <v>44951</v>
      </c>
      <c r="I103" s="1">
        <f t="shared" si="6"/>
        <v>44951</v>
      </c>
      <c r="J103" s="2">
        <v>6.3</v>
      </c>
      <c r="K103" s="2">
        <v>283.56</v>
      </c>
      <c r="L103" t="s">
        <v>15</v>
      </c>
      <c r="M103" s="2">
        <v>2366</v>
      </c>
      <c r="N103" s="2">
        <v>11</v>
      </c>
      <c r="O103" s="2">
        <f t="shared" si="9"/>
        <v>215.09090909090909</v>
      </c>
      <c r="P103" s="2">
        <f t="shared" si="10"/>
        <v>0.75853755498275177</v>
      </c>
      <c r="Q103" s="3">
        <f t="shared" si="11"/>
        <v>0.11984784446322908</v>
      </c>
    </row>
    <row r="104" spans="1:17" hidden="1" x14ac:dyDescent="0.25">
      <c r="A104" t="s">
        <v>152</v>
      </c>
      <c r="B104" t="s">
        <v>49</v>
      </c>
      <c r="C104" t="s">
        <v>31</v>
      </c>
      <c r="D104" t="str">
        <f t="shared" si="7"/>
        <v>NY</v>
      </c>
      <c r="E104" t="str">
        <f t="shared" si="8"/>
        <v>Northeast</v>
      </c>
      <c r="F104" t="s">
        <v>32</v>
      </c>
      <c r="G104" s="1">
        <v>45273</v>
      </c>
      <c r="H104" s="1">
        <v>45276</v>
      </c>
      <c r="I104" s="1">
        <f t="shared" si="6"/>
        <v>45276</v>
      </c>
      <c r="J104" s="2">
        <v>16.600000000000001</v>
      </c>
      <c r="K104" s="2">
        <v>121.29</v>
      </c>
      <c r="L104" t="s">
        <v>15</v>
      </c>
      <c r="M104" s="2">
        <v>543</v>
      </c>
      <c r="N104" s="2">
        <v>3</v>
      </c>
      <c r="O104" s="2">
        <f t="shared" si="9"/>
        <v>181</v>
      </c>
      <c r="P104" s="2">
        <f t="shared" si="10"/>
        <v>1.4922912029021353</v>
      </c>
      <c r="Q104" s="3">
        <f t="shared" si="11"/>
        <v>0.22337016574585636</v>
      </c>
    </row>
    <row r="105" spans="1:17" hidden="1" x14ac:dyDescent="0.25">
      <c r="A105" t="s">
        <v>153</v>
      </c>
      <c r="B105" t="s">
        <v>12</v>
      </c>
      <c r="C105" t="s">
        <v>31</v>
      </c>
      <c r="D105" t="str">
        <f t="shared" si="7"/>
        <v>NY</v>
      </c>
      <c r="E105" t="str">
        <f t="shared" si="8"/>
        <v>Northeast</v>
      </c>
      <c r="F105" t="s">
        <v>18</v>
      </c>
      <c r="G105" s="1">
        <v>45039</v>
      </c>
      <c r="H105" s="1">
        <v>45052</v>
      </c>
      <c r="I105" s="1">
        <f t="shared" si="6"/>
        <v>45052</v>
      </c>
      <c r="J105" s="2">
        <v>40.700000000000003</v>
      </c>
      <c r="K105" s="2">
        <v>270.27</v>
      </c>
      <c r="L105" t="s">
        <v>47</v>
      </c>
      <c r="M105" s="2">
        <v>1682</v>
      </c>
      <c r="N105" s="2">
        <v>6</v>
      </c>
      <c r="O105" s="2">
        <f t="shared" si="9"/>
        <v>280.33333333333331</v>
      </c>
      <c r="P105" s="2">
        <f t="shared" si="10"/>
        <v>1.0372343705677038</v>
      </c>
      <c r="Q105" s="3">
        <f t="shared" si="11"/>
        <v>0.16068370986920333</v>
      </c>
    </row>
    <row r="106" spans="1:17" x14ac:dyDescent="0.25">
      <c r="A106" t="s">
        <v>154</v>
      </c>
      <c r="B106" t="s">
        <v>39</v>
      </c>
      <c r="C106" t="s">
        <v>81</v>
      </c>
      <c r="D106" t="str">
        <f t="shared" si="7"/>
        <v>CO</v>
      </c>
      <c r="E106" t="str">
        <f t="shared" si="8"/>
        <v>West</v>
      </c>
      <c r="F106" t="s">
        <v>25</v>
      </c>
      <c r="G106" s="1">
        <v>45157</v>
      </c>
      <c r="H106" s="1">
        <v>45160</v>
      </c>
      <c r="I106" s="1">
        <f t="shared" si="6"/>
        <v>45160</v>
      </c>
      <c r="J106" s="2">
        <v>22.6</v>
      </c>
      <c r="K106" s="2">
        <v>149.52000000000001</v>
      </c>
      <c r="L106" t="s">
        <v>15</v>
      </c>
      <c r="M106" s="2">
        <v>1030</v>
      </c>
      <c r="N106" s="2">
        <v>3</v>
      </c>
      <c r="O106" s="2">
        <f t="shared" si="9"/>
        <v>343.33333333333331</v>
      </c>
      <c r="P106" s="2">
        <f t="shared" si="10"/>
        <v>2.2962368467986445</v>
      </c>
      <c r="Q106" s="3">
        <f t="shared" si="11"/>
        <v>0.14516504854368933</v>
      </c>
    </row>
    <row r="107" spans="1:17" hidden="1" x14ac:dyDescent="0.25">
      <c r="A107" t="s">
        <v>155</v>
      </c>
      <c r="B107" t="s">
        <v>51</v>
      </c>
      <c r="C107" t="s">
        <v>44</v>
      </c>
      <c r="D107" t="str">
        <f t="shared" si="7"/>
        <v>IL</v>
      </c>
      <c r="E107" t="str">
        <f t="shared" si="8"/>
        <v>Midwest</v>
      </c>
      <c r="F107" t="s">
        <v>14</v>
      </c>
      <c r="G107" s="1">
        <v>45137</v>
      </c>
      <c r="H107" s="1">
        <v>45140</v>
      </c>
      <c r="I107" s="1">
        <f t="shared" si="6"/>
        <v>45140</v>
      </c>
      <c r="J107" s="2">
        <v>44.3</v>
      </c>
      <c r="K107" s="2">
        <v>140.74</v>
      </c>
      <c r="L107" t="s">
        <v>15</v>
      </c>
      <c r="M107" s="2">
        <v>790</v>
      </c>
      <c r="N107" s="2">
        <v>3</v>
      </c>
      <c r="O107" s="2">
        <f t="shared" si="9"/>
        <v>263.33333333333331</v>
      </c>
      <c r="P107" s="2">
        <f t="shared" si="10"/>
        <v>1.8710624792762065</v>
      </c>
      <c r="Q107" s="3">
        <f t="shared" si="11"/>
        <v>0.17815189873417722</v>
      </c>
    </row>
    <row r="108" spans="1:17" hidden="1" x14ac:dyDescent="0.25">
      <c r="A108" t="s">
        <v>156</v>
      </c>
      <c r="B108" t="s">
        <v>12</v>
      </c>
      <c r="C108" t="s">
        <v>57</v>
      </c>
      <c r="D108" t="str">
        <f t="shared" si="7"/>
        <v>MN</v>
      </c>
      <c r="E108" t="str">
        <f t="shared" si="8"/>
        <v>Midwest</v>
      </c>
      <c r="F108" t="s">
        <v>42</v>
      </c>
      <c r="G108" s="1">
        <v>45153</v>
      </c>
      <c r="H108" s="1">
        <v>45157</v>
      </c>
      <c r="I108" s="1">
        <f t="shared" si="6"/>
        <v>45157</v>
      </c>
      <c r="J108" s="2">
        <v>12.8</v>
      </c>
      <c r="K108" s="2">
        <v>198.31</v>
      </c>
      <c r="L108" t="s">
        <v>15</v>
      </c>
      <c r="M108" s="2">
        <v>1534</v>
      </c>
      <c r="N108" s="2">
        <v>4</v>
      </c>
      <c r="O108" s="2">
        <f t="shared" si="9"/>
        <v>383.5</v>
      </c>
      <c r="P108" s="2">
        <f t="shared" si="10"/>
        <v>1.9338409560788663</v>
      </c>
      <c r="Q108" s="3">
        <f t="shared" si="11"/>
        <v>0.12927640156453715</v>
      </c>
    </row>
    <row r="109" spans="1:17" hidden="1" x14ac:dyDescent="0.25">
      <c r="A109" t="s">
        <v>157</v>
      </c>
      <c r="B109" t="s">
        <v>56</v>
      </c>
      <c r="C109" t="s">
        <v>52</v>
      </c>
      <c r="D109" t="str">
        <f t="shared" si="7"/>
        <v>AZ</v>
      </c>
      <c r="E109" t="str">
        <f t="shared" si="8"/>
        <v>Southwest</v>
      </c>
      <c r="F109" t="s">
        <v>42</v>
      </c>
      <c r="G109" s="1">
        <v>45273</v>
      </c>
      <c r="H109" s="1">
        <v>45275</v>
      </c>
      <c r="I109" s="1">
        <f t="shared" si="6"/>
        <v>45275</v>
      </c>
      <c r="J109" s="2">
        <v>16.5</v>
      </c>
      <c r="K109" s="2">
        <v>73.12</v>
      </c>
      <c r="L109" t="s">
        <v>15</v>
      </c>
      <c r="M109" s="2">
        <v>371</v>
      </c>
      <c r="N109" s="2">
        <v>2</v>
      </c>
      <c r="O109" s="2">
        <f t="shared" si="9"/>
        <v>185.5</v>
      </c>
      <c r="P109" s="2">
        <f t="shared" si="10"/>
        <v>2.5369256017505468</v>
      </c>
      <c r="Q109" s="3">
        <f t="shared" si="11"/>
        <v>0.19708894878706201</v>
      </c>
    </row>
    <row r="110" spans="1:17" hidden="1" x14ac:dyDescent="0.25">
      <c r="A110" t="s">
        <v>158</v>
      </c>
      <c r="B110" t="s">
        <v>35</v>
      </c>
      <c r="C110" t="s">
        <v>21</v>
      </c>
      <c r="D110" t="str">
        <f t="shared" si="7"/>
        <v>TX</v>
      </c>
      <c r="E110" t="str">
        <f t="shared" si="8"/>
        <v>Southwest</v>
      </c>
      <c r="F110" t="s">
        <v>18</v>
      </c>
      <c r="G110" s="1">
        <v>45191</v>
      </c>
      <c r="H110" s="1">
        <v>45198</v>
      </c>
      <c r="I110" s="1">
        <f t="shared" si="6"/>
        <v>45198</v>
      </c>
      <c r="J110" s="2">
        <v>46.1</v>
      </c>
      <c r="K110" s="2">
        <v>409.06</v>
      </c>
      <c r="L110" t="s">
        <v>15</v>
      </c>
      <c r="M110" s="2">
        <v>2306</v>
      </c>
      <c r="N110" s="2">
        <v>7</v>
      </c>
      <c r="O110" s="2">
        <f t="shared" si="9"/>
        <v>329.42857142857144</v>
      </c>
      <c r="P110" s="2">
        <f t="shared" si="10"/>
        <v>0.80533068847741518</v>
      </c>
      <c r="Q110" s="3">
        <f t="shared" si="11"/>
        <v>0.17738941890719861</v>
      </c>
    </row>
    <row r="111" spans="1:17" hidden="1" x14ac:dyDescent="0.25">
      <c r="A111" t="s">
        <v>159</v>
      </c>
      <c r="B111" t="s">
        <v>27</v>
      </c>
      <c r="C111" t="s">
        <v>31</v>
      </c>
      <c r="D111" t="str">
        <f t="shared" si="7"/>
        <v>NY</v>
      </c>
      <c r="E111" t="str">
        <f t="shared" si="8"/>
        <v>Northeast</v>
      </c>
      <c r="F111" t="s">
        <v>32</v>
      </c>
      <c r="G111" s="1">
        <v>45070</v>
      </c>
      <c r="H111" s="1">
        <v>45075</v>
      </c>
      <c r="I111" s="1">
        <f t="shared" si="6"/>
        <v>45075</v>
      </c>
      <c r="J111" s="2">
        <v>19.2</v>
      </c>
      <c r="K111" s="2">
        <v>273.26</v>
      </c>
      <c r="L111" t="s">
        <v>15</v>
      </c>
      <c r="M111" s="2">
        <v>1810</v>
      </c>
      <c r="N111" s="2">
        <v>5</v>
      </c>
      <c r="O111" s="2">
        <f t="shared" si="9"/>
        <v>362</v>
      </c>
      <c r="P111" s="2">
        <f t="shared" si="10"/>
        <v>1.3247456634706873</v>
      </c>
      <c r="Q111" s="3">
        <f t="shared" si="11"/>
        <v>0.15097237569060773</v>
      </c>
    </row>
    <row r="112" spans="1:17" hidden="1" x14ac:dyDescent="0.25">
      <c r="A112" t="s">
        <v>160</v>
      </c>
      <c r="B112" t="s">
        <v>39</v>
      </c>
      <c r="C112" t="s">
        <v>44</v>
      </c>
      <c r="D112" t="str">
        <f t="shared" si="7"/>
        <v>IL</v>
      </c>
      <c r="E112" t="str">
        <f t="shared" si="8"/>
        <v>Midwest</v>
      </c>
      <c r="F112" t="s">
        <v>37</v>
      </c>
      <c r="G112" s="1">
        <v>44959</v>
      </c>
      <c r="H112" s="1">
        <v>44973</v>
      </c>
      <c r="I112" s="1">
        <f t="shared" si="6"/>
        <v>44973</v>
      </c>
      <c r="J112" s="2">
        <v>7.6</v>
      </c>
      <c r="K112" s="2">
        <v>41.42</v>
      </c>
      <c r="L112" t="s">
        <v>47</v>
      </c>
      <c r="M112" s="2">
        <v>277</v>
      </c>
      <c r="N112" s="2">
        <v>2</v>
      </c>
      <c r="O112" s="2">
        <f t="shared" si="9"/>
        <v>138.5</v>
      </c>
      <c r="P112" s="2">
        <f t="shared" si="10"/>
        <v>3.3437952679864797</v>
      </c>
      <c r="Q112" s="3">
        <f t="shared" si="11"/>
        <v>0.14953068592057761</v>
      </c>
    </row>
    <row r="113" spans="1:17" hidden="1" x14ac:dyDescent="0.25">
      <c r="A113" t="s">
        <v>161</v>
      </c>
      <c r="B113" t="s">
        <v>35</v>
      </c>
      <c r="C113" t="s">
        <v>44</v>
      </c>
      <c r="D113" t="str">
        <f t="shared" si="7"/>
        <v>IL</v>
      </c>
      <c r="E113" t="str">
        <f t="shared" si="8"/>
        <v>Midwest</v>
      </c>
      <c r="F113" t="s">
        <v>59</v>
      </c>
      <c r="G113" s="1">
        <v>45084</v>
      </c>
      <c r="H113" s="1">
        <v>45090</v>
      </c>
      <c r="I113" s="1">
        <f t="shared" si="6"/>
        <v>45090</v>
      </c>
      <c r="J113" s="2">
        <v>38.1</v>
      </c>
      <c r="K113" s="2">
        <v>272.16000000000003</v>
      </c>
      <c r="L113" t="s">
        <v>15</v>
      </c>
      <c r="M113" s="2">
        <v>1953</v>
      </c>
      <c r="N113" s="2">
        <v>6</v>
      </c>
      <c r="O113" s="2">
        <f t="shared" si="9"/>
        <v>325.5</v>
      </c>
      <c r="P113" s="2">
        <f t="shared" si="10"/>
        <v>1.1959876543209875</v>
      </c>
      <c r="Q113" s="3">
        <f t="shared" si="11"/>
        <v>0.13935483870967744</v>
      </c>
    </row>
    <row r="114" spans="1:17" x14ac:dyDescent="0.25">
      <c r="A114" t="s">
        <v>162</v>
      </c>
      <c r="B114" t="s">
        <v>27</v>
      </c>
      <c r="C114" t="s">
        <v>70</v>
      </c>
      <c r="D114" t="str">
        <f t="shared" si="7"/>
        <v>CA</v>
      </c>
      <c r="E114" t="str">
        <f t="shared" si="8"/>
        <v>West</v>
      </c>
      <c r="F114" t="s">
        <v>32</v>
      </c>
      <c r="G114" s="1">
        <v>45019</v>
      </c>
      <c r="H114" s="1">
        <v>44989</v>
      </c>
      <c r="I114" s="1">
        <f t="shared" si="6"/>
        <v>44989</v>
      </c>
      <c r="J114" s="2">
        <v>23.2</v>
      </c>
      <c r="K114" s="2">
        <v>270.43</v>
      </c>
      <c r="L114" t="s">
        <v>15</v>
      </c>
      <c r="M114" s="2">
        <v>1800</v>
      </c>
      <c r="N114" s="2">
        <v>4</v>
      </c>
      <c r="O114" s="2">
        <f t="shared" si="9"/>
        <v>450</v>
      </c>
      <c r="P114" s="2">
        <f t="shared" si="10"/>
        <v>1.6640165662093702</v>
      </c>
      <c r="Q114" s="3">
        <f t="shared" si="11"/>
        <v>0.15023888888888889</v>
      </c>
    </row>
    <row r="115" spans="1:17" x14ac:dyDescent="0.25">
      <c r="A115" t="s">
        <v>163</v>
      </c>
      <c r="B115" t="s">
        <v>51</v>
      </c>
      <c r="C115" t="s">
        <v>36</v>
      </c>
      <c r="D115" t="str">
        <f t="shared" si="7"/>
        <v>OR</v>
      </c>
      <c r="E115" t="str">
        <f t="shared" si="8"/>
        <v>West</v>
      </c>
      <c r="F115" t="s">
        <v>42</v>
      </c>
      <c r="G115" s="1">
        <v>45127</v>
      </c>
      <c r="H115" s="1">
        <v>45132</v>
      </c>
      <c r="I115" s="1">
        <f t="shared" si="6"/>
        <v>45132</v>
      </c>
      <c r="J115" s="2">
        <v>22.8</v>
      </c>
      <c r="K115" s="2">
        <v>267.89</v>
      </c>
      <c r="L115" t="s">
        <v>15</v>
      </c>
      <c r="M115" s="2">
        <v>1951</v>
      </c>
      <c r="N115" s="2">
        <v>5</v>
      </c>
      <c r="O115" s="2">
        <f t="shared" si="9"/>
        <v>390.2</v>
      </c>
      <c r="P115" s="2">
        <f t="shared" si="10"/>
        <v>1.4565679943260295</v>
      </c>
      <c r="Q115" s="3">
        <f t="shared" si="11"/>
        <v>0.13730907227063044</v>
      </c>
    </row>
    <row r="116" spans="1:17" hidden="1" x14ac:dyDescent="0.25">
      <c r="A116" t="s">
        <v>164</v>
      </c>
      <c r="B116" t="s">
        <v>23</v>
      </c>
      <c r="C116" t="s">
        <v>21</v>
      </c>
      <c r="D116" t="str">
        <f t="shared" si="7"/>
        <v>TX</v>
      </c>
      <c r="E116" t="str">
        <f t="shared" si="8"/>
        <v>Southwest</v>
      </c>
      <c r="F116" t="s">
        <v>32</v>
      </c>
      <c r="G116" s="1">
        <v>44931</v>
      </c>
      <c r="H116" s="1">
        <v>44938</v>
      </c>
      <c r="I116" s="1">
        <f t="shared" si="6"/>
        <v>44938</v>
      </c>
      <c r="J116" s="2">
        <v>18.8</v>
      </c>
      <c r="K116" s="2">
        <v>249.35</v>
      </c>
      <c r="L116" t="s">
        <v>15</v>
      </c>
      <c r="M116" s="2">
        <v>1744</v>
      </c>
      <c r="N116" s="2">
        <v>7</v>
      </c>
      <c r="O116" s="2">
        <f t="shared" si="9"/>
        <v>249.14285714285714</v>
      </c>
      <c r="P116" s="2">
        <f t="shared" si="10"/>
        <v>0.99916926866997047</v>
      </c>
      <c r="Q116" s="3">
        <f t="shared" si="11"/>
        <v>0.14297591743119265</v>
      </c>
    </row>
    <row r="117" spans="1:17" hidden="1" x14ac:dyDescent="0.25">
      <c r="A117" t="s">
        <v>165</v>
      </c>
      <c r="B117" t="s">
        <v>35</v>
      </c>
      <c r="C117" t="s">
        <v>57</v>
      </c>
      <c r="D117" t="str">
        <f t="shared" si="7"/>
        <v>MN</v>
      </c>
      <c r="E117" t="str">
        <f t="shared" si="8"/>
        <v>Midwest</v>
      </c>
      <c r="F117" t="s">
        <v>37</v>
      </c>
      <c r="G117" s="1">
        <v>45064</v>
      </c>
      <c r="H117" s="1">
        <v>45068</v>
      </c>
      <c r="I117" s="1">
        <f t="shared" si="6"/>
        <v>45068</v>
      </c>
      <c r="J117" s="2">
        <v>14</v>
      </c>
      <c r="K117" s="2">
        <v>171.55</v>
      </c>
      <c r="L117" t="s">
        <v>15</v>
      </c>
      <c r="M117" s="2">
        <v>1323</v>
      </c>
      <c r="N117" s="2">
        <v>4</v>
      </c>
      <c r="O117" s="2">
        <f t="shared" si="9"/>
        <v>330.75</v>
      </c>
      <c r="P117" s="2">
        <f t="shared" si="10"/>
        <v>1.9280093267269016</v>
      </c>
      <c r="Q117" s="3">
        <f t="shared" si="11"/>
        <v>0.1296674225245654</v>
      </c>
    </row>
    <row r="118" spans="1:17" x14ac:dyDescent="0.25">
      <c r="A118" t="s">
        <v>166</v>
      </c>
      <c r="B118" t="s">
        <v>56</v>
      </c>
      <c r="C118" t="s">
        <v>81</v>
      </c>
      <c r="D118" t="str">
        <f t="shared" si="7"/>
        <v>CO</v>
      </c>
      <c r="E118" t="str">
        <f t="shared" si="8"/>
        <v>West</v>
      </c>
      <c r="F118" t="s">
        <v>25</v>
      </c>
      <c r="G118" s="1">
        <v>45009</v>
      </c>
      <c r="H118" s="1">
        <v>45017</v>
      </c>
      <c r="I118" s="1">
        <f t="shared" si="6"/>
        <v>45017</v>
      </c>
      <c r="J118" s="2">
        <v>17.600000000000001</v>
      </c>
      <c r="K118" s="2">
        <v>215.18</v>
      </c>
      <c r="L118" t="s">
        <v>47</v>
      </c>
      <c r="M118" s="2">
        <v>1646</v>
      </c>
      <c r="N118" s="2">
        <v>4</v>
      </c>
      <c r="O118" s="2">
        <f t="shared" si="9"/>
        <v>411.5</v>
      </c>
      <c r="P118" s="2">
        <f t="shared" si="10"/>
        <v>1.9123524491123709</v>
      </c>
      <c r="Q118" s="3">
        <f t="shared" si="11"/>
        <v>0.13072904009720535</v>
      </c>
    </row>
    <row r="119" spans="1:17" hidden="1" x14ac:dyDescent="0.25">
      <c r="A119" t="s">
        <v>167</v>
      </c>
      <c r="B119" t="s">
        <v>56</v>
      </c>
      <c r="C119" t="s">
        <v>57</v>
      </c>
      <c r="D119" t="str">
        <f t="shared" si="7"/>
        <v>MN</v>
      </c>
      <c r="E119" t="str">
        <f t="shared" si="8"/>
        <v>Midwest</v>
      </c>
      <c r="F119" t="s">
        <v>18</v>
      </c>
      <c r="G119" s="1">
        <v>45117</v>
      </c>
      <c r="H119" s="1">
        <v>45118</v>
      </c>
      <c r="I119" s="1">
        <f t="shared" si="6"/>
        <v>45118</v>
      </c>
      <c r="J119" s="2">
        <v>21.6</v>
      </c>
      <c r="K119" s="2">
        <v>64.739999999999995</v>
      </c>
      <c r="L119" t="s">
        <v>15</v>
      </c>
      <c r="M119" s="2">
        <v>261</v>
      </c>
      <c r="N119" s="2">
        <v>1</v>
      </c>
      <c r="O119" s="2">
        <f t="shared" si="9"/>
        <v>261</v>
      </c>
      <c r="P119" s="2">
        <f t="shared" si="10"/>
        <v>4.0315106580166828</v>
      </c>
      <c r="Q119" s="3">
        <f t="shared" si="11"/>
        <v>0.24804597701149422</v>
      </c>
    </row>
    <row r="120" spans="1:17" x14ac:dyDescent="0.25">
      <c r="A120" t="s">
        <v>168</v>
      </c>
      <c r="B120" t="s">
        <v>49</v>
      </c>
      <c r="C120" t="s">
        <v>81</v>
      </c>
      <c r="D120" t="str">
        <f t="shared" si="7"/>
        <v>CO</v>
      </c>
      <c r="E120" t="str">
        <f t="shared" si="8"/>
        <v>West</v>
      </c>
      <c r="F120" t="s">
        <v>37</v>
      </c>
      <c r="G120" s="1">
        <v>45195</v>
      </c>
      <c r="H120" s="1">
        <v>45201</v>
      </c>
      <c r="I120" s="1">
        <f t="shared" si="6"/>
        <v>45201</v>
      </c>
      <c r="J120" s="2">
        <v>8.1999999999999993</v>
      </c>
      <c r="K120" s="2">
        <v>278.33999999999997</v>
      </c>
      <c r="L120" t="s">
        <v>15</v>
      </c>
      <c r="M120" s="2">
        <v>2330</v>
      </c>
      <c r="N120" s="2">
        <v>6</v>
      </c>
      <c r="O120" s="2">
        <f t="shared" si="9"/>
        <v>388.33333333333331</v>
      </c>
      <c r="P120" s="2">
        <f t="shared" si="10"/>
        <v>1.3951761634451869</v>
      </c>
      <c r="Q120" s="3">
        <f t="shared" si="11"/>
        <v>0.11945922746781115</v>
      </c>
    </row>
    <row r="121" spans="1:17" hidden="1" x14ac:dyDescent="0.25">
      <c r="A121" t="s">
        <v>169</v>
      </c>
      <c r="B121" t="s">
        <v>35</v>
      </c>
      <c r="C121" t="s">
        <v>21</v>
      </c>
      <c r="D121" t="str">
        <f t="shared" si="7"/>
        <v>TX</v>
      </c>
      <c r="E121" t="str">
        <f t="shared" si="8"/>
        <v>Southwest</v>
      </c>
      <c r="F121" t="s">
        <v>32</v>
      </c>
      <c r="G121" s="1">
        <v>44991</v>
      </c>
      <c r="H121" s="1">
        <v>44996</v>
      </c>
      <c r="I121" s="1">
        <f t="shared" si="6"/>
        <v>44996</v>
      </c>
      <c r="J121" s="2">
        <v>25.1</v>
      </c>
      <c r="K121" s="2">
        <v>165.41</v>
      </c>
      <c r="L121" t="s">
        <v>15</v>
      </c>
      <c r="M121" s="2">
        <v>973</v>
      </c>
      <c r="N121" s="2">
        <v>5</v>
      </c>
      <c r="O121" s="2">
        <f t="shared" si="9"/>
        <v>194.6</v>
      </c>
      <c r="P121" s="2">
        <f t="shared" si="10"/>
        <v>1.1764705882352942</v>
      </c>
      <c r="Q121" s="3">
        <f t="shared" si="11"/>
        <v>0.16999999999999998</v>
      </c>
    </row>
    <row r="122" spans="1:17" hidden="1" x14ac:dyDescent="0.25">
      <c r="A122" t="s">
        <v>170</v>
      </c>
      <c r="B122" t="s">
        <v>39</v>
      </c>
      <c r="C122" t="s">
        <v>31</v>
      </c>
      <c r="D122" t="str">
        <f t="shared" si="7"/>
        <v>NY</v>
      </c>
      <c r="E122" t="str">
        <f t="shared" si="8"/>
        <v>Northeast</v>
      </c>
      <c r="F122" t="s">
        <v>37</v>
      </c>
      <c r="G122" s="1">
        <v>45064</v>
      </c>
      <c r="H122" s="1">
        <v>45071</v>
      </c>
      <c r="I122" s="1">
        <f t="shared" si="6"/>
        <v>45071</v>
      </c>
      <c r="J122" s="2">
        <v>14.4</v>
      </c>
      <c r="K122" s="2">
        <v>280.58999999999997</v>
      </c>
      <c r="L122" t="s">
        <v>15</v>
      </c>
      <c r="M122" s="2">
        <v>2399</v>
      </c>
      <c r="N122" s="2">
        <v>7</v>
      </c>
      <c r="O122" s="2">
        <f t="shared" si="9"/>
        <v>342.71428571428572</v>
      </c>
      <c r="P122" s="2">
        <f t="shared" si="10"/>
        <v>1.2214059150870871</v>
      </c>
      <c r="Q122" s="3">
        <f t="shared" si="11"/>
        <v>0.11696123384743642</v>
      </c>
    </row>
    <row r="123" spans="1:17" hidden="1" x14ac:dyDescent="0.25">
      <c r="A123" t="s">
        <v>171</v>
      </c>
      <c r="B123" t="s">
        <v>30</v>
      </c>
      <c r="C123" t="s">
        <v>52</v>
      </c>
      <c r="D123" t="str">
        <f t="shared" si="7"/>
        <v>AZ</v>
      </c>
      <c r="E123" t="str">
        <f t="shared" si="8"/>
        <v>Southwest</v>
      </c>
      <c r="F123" t="s">
        <v>25</v>
      </c>
      <c r="G123" s="1">
        <v>45148</v>
      </c>
      <c r="H123" s="1">
        <v>45152</v>
      </c>
      <c r="I123" s="1">
        <f t="shared" si="6"/>
        <v>45152</v>
      </c>
      <c r="J123" s="2">
        <v>50.1</v>
      </c>
      <c r="K123" s="2">
        <v>210.77</v>
      </c>
      <c r="L123" t="s">
        <v>15</v>
      </c>
      <c r="M123" s="2">
        <v>1297</v>
      </c>
      <c r="N123" s="2">
        <v>4</v>
      </c>
      <c r="O123" s="2">
        <f t="shared" si="9"/>
        <v>324.25</v>
      </c>
      <c r="P123" s="2">
        <f t="shared" si="10"/>
        <v>1.5384067941357877</v>
      </c>
      <c r="Q123" s="3">
        <f t="shared" si="11"/>
        <v>0.16250578257517348</v>
      </c>
    </row>
    <row r="124" spans="1:17" x14ac:dyDescent="0.25">
      <c r="A124" t="s">
        <v>172</v>
      </c>
      <c r="B124" t="s">
        <v>30</v>
      </c>
      <c r="C124" t="s">
        <v>13</v>
      </c>
      <c r="D124" t="str">
        <f t="shared" si="7"/>
        <v>CA</v>
      </c>
      <c r="E124" t="str">
        <f t="shared" si="8"/>
        <v>West</v>
      </c>
      <c r="F124" t="s">
        <v>59</v>
      </c>
      <c r="G124" s="1">
        <v>45021</v>
      </c>
      <c r="H124" s="1">
        <v>45027</v>
      </c>
      <c r="I124" s="1">
        <f t="shared" si="6"/>
        <v>45027</v>
      </c>
      <c r="J124" s="2">
        <v>20.3</v>
      </c>
      <c r="K124" s="2">
        <v>150.38</v>
      </c>
      <c r="L124" t="s">
        <v>15</v>
      </c>
      <c r="M124" s="2">
        <v>1200</v>
      </c>
      <c r="N124" s="2">
        <v>6</v>
      </c>
      <c r="O124" s="2">
        <f t="shared" si="9"/>
        <v>200</v>
      </c>
      <c r="P124" s="2">
        <f t="shared" si="10"/>
        <v>1.3299640909695438</v>
      </c>
      <c r="Q124" s="3">
        <f t="shared" si="11"/>
        <v>0.12531666666666666</v>
      </c>
    </row>
    <row r="125" spans="1:17" hidden="1" x14ac:dyDescent="0.25">
      <c r="A125" t="s">
        <v>173</v>
      </c>
      <c r="B125" t="s">
        <v>35</v>
      </c>
      <c r="C125" t="s">
        <v>54</v>
      </c>
      <c r="D125" t="str">
        <f t="shared" si="7"/>
        <v>FL</v>
      </c>
      <c r="E125" t="str">
        <f t="shared" si="8"/>
        <v>Southeast</v>
      </c>
      <c r="F125" t="s">
        <v>59</v>
      </c>
      <c r="G125" s="1">
        <v>45105</v>
      </c>
      <c r="H125" s="1">
        <v>45109</v>
      </c>
      <c r="I125" s="1">
        <f t="shared" si="6"/>
        <v>45109</v>
      </c>
      <c r="J125" s="2">
        <v>11.8</v>
      </c>
      <c r="K125" s="2">
        <v>180.52</v>
      </c>
      <c r="L125" t="s">
        <v>15</v>
      </c>
      <c r="M125" s="2">
        <v>1350</v>
      </c>
      <c r="N125" s="2">
        <v>4</v>
      </c>
      <c r="O125" s="2">
        <f t="shared" si="9"/>
        <v>337.5</v>
      </c>
      <c r="P125" s="2">
        <f t="shared" si="10"/>
        <v>1.8695989364059382</v>
      </c>
      <c r="Q125" s="3">
        <f t="shared" si="11"/>
        <v>0.13371851851851851</v>
      </c>
    </row>
    <row r="126" spans="1:17" hidden="1" x14ac:dyDescent="0.25">
      <c r="A126" t="s">
        <v>174</v>
      </c>
      <c r="B126" t="s">
        <v>49</v>
      </c>
      <c r="C126" t="s">
        <v>54</v>
      </c>
      <c r="D126" t="str">
        <f t="shared" si="7"/>
        <v>FL</v>
      </c>
      <c r="E126" t="str">
        <f t="shared" si="8"/>
        <v>Southeast</v>
      </c>
      <c r="F126" t="s">
        <v>14</v>
      </c>
      <c r="G126" s="1">
        <v>45171</v>
      </c>
      <c r="H126" s="1">
        <v>45178</v>
      </c>
      <c r="I126" s="1">
        <f t="shared" si="6"/>
        <v>45178</v>
      </c>
      <c r="J126" s="2">
        <v>90.2</v>
      </c>
      <c r="K126" s="2">
        <v>384.64</v>
      </c>
      <c r="L126" t="s">
        <v>15</v>
      </c>
      <c r="M126" s="2">
        <v>2188</v>
      </c>
      <c r="N126" s="2">
        <v>7</v>
      </c>
      <c r="O126" s="2">
        <f t="shared" si="9"/>
        <v>312.57142857142856</v>
      </c>
      <c r="P126" s="2">
        <f t="shared" si="10"/>
        <v>0.81263370572854765</v>
      </c>
      <c r="Q126" s="3">
        <f t="shared" si="11"/>
        <v>0.17579524680073125</v>
      </c>
    </row>
    <row r="127" spans="1:17" hidden="1" x14ac:dyDescent="0.25">
      <c r="A127" t="s">
        <v>175</v>
      </c>
      <c r="B127" t="s">
        <v>20</v>
      </c>
      <c r="C127" t="s">
        <v>54</v>
      </c>
      <c r="D127" t="str">
        <f t="shared" si="7"/>
        <v>FL</v>
      </c>
      <c r="E127" t="str">
        <f t="shared" si="8"/>
        <v>Southeast</v>
      </c>
      <c r="F127" t="s">
        <v>14</v>
      </c>
      <c r="G127" s="1">
        <v>45204</v>
      </c>
      <c r="H127" s="1">
        <v>45212</v>
      </c>
      <c r="I127" s="1">
        <f t="shared" si="6"/>
        <v>45212</v>
      </c>
      <c r="J127" s="2">
        <v>30.1</v>
      </c>
      <c r="K127" s="2">
        <v>156.74</v>
      </c>
      <c r="L127" t="s">
        <v>15</v>
      </c>
      <c r="M127" s="2">
        <v>1075</v>
      </c>
      <c r="N127" s="2">
        <v>8</v>
      </c>
      <c r="O127" s="2">
        <f t="shared" si="9"/>
        <v>134.375</v>
      </c>
      <c r="P127" s="2">
        <f t="shared" si="10"/>
        <v>0.85731147122623452</v>
      </c>
      <c r="Q127" s="3">
        <f t="shared" si="11"/>
        <v>0.1458046511627907</v>
      </c>
    </row>
    <row r="128" spans="1:17" hidden="1" x14ac:dyDescent="0.25">
      <c r="A128" t="s">
        <v>176</v>
      </c>
      <c r="B128" t="s">
        <v>23</v>
      </c>
      <c r="C128" t="s">
        <v>54</v>
      </c>
      <c r="D128" t="str">
        <f t="shared" si="7"/>
        <v>FL</v>
      </c>
      <c r="E128" t="str">
        <f t="shared" si="8"/>
        <v>Southeast</v>
      </c>
      <c r="F128" t="s">
        <v>42</v>
      </c>
      <c r="G128" s="1">
        <v>45217</v>
      </c>
      <c r="H128" s="1">
        <v>45226</v>
      </c>
      <c r="I128" s="1">
        <f t="shared" si="6"/>
        <v>45226</v>
      </c>
      <c r="J128" s="2">
        <v>3.2</v>
      </c>
      <c r="K128" s="2">
        <v>159.82</v>
      </c>
      <c r="L128" t="s">
        <v>15</v>
      </c>
      <c r="M128" s="2">
        <v>1260</v>
      </c>
      <c r="N128" s="2">
        <v>9</v>
      </c>
      <c r="O128" s="2">
        <f t="shared" si="9"/>
        <v>140</v>
      </c>
      <c r="P128" s="2">
        <f t="shared" si="10"/>
        <v>0.87598548366912776</v>
      </c>
      <c r="Q128" s="3">
        <f t="shared" si="11"/>
        <v>0.12684126984126984</v>
      </c>
    </row>
    <row r="129" spans="1:17" hidden="1" x14ac:dyDescent="0.25">
      <c r="A129" t="s">
        <v>177</v>
      </c>
      <c r="B129" t="s">
        <v>12</v>
      </c>
      <c r="C129" t="s">
        <v>54</v>
      </c>
      <c r="D129" t="str">
        <f t="shared" ref="D129:D188" si="12">IF(C129="Atlanta","GA",
IF(C129="Boston","MA",
IF(C129="Chicago","IL",
IF(C129="Dallas","TX",
IF(C129="Denver","CO",
IF(C129="Detroit","MI",
IF(C129="Houston","TX",
IF(C129="Los Angeles","CA",
IF(C129="Miami","FL",
IF(C129="Minneapolis","MN",
IF(C129="New York","NY",
IF(C129="Phoenix","AZ",
IF(C129="Portland","OR",
IF(C129="San Francisco","CA",
IF(C129="Seattle","WA","Unknown")))))))))))))))</f>
        <v>FL</v>
      </c>
      <c r="E129" t="str">
        <f t="shared" ref="E129:E188" si="13">IF(OR(D129="NY",D129="NJ",D129="PA",D129="MA",D129="CT",D129="RI",D129="VT",D129="NH",D129="ME"),"Northeast",
IF(OR(D129="FL",D129="GA",D129="AL",D129="MS",D129="SC",D129="NC",D129="TN",D129="KY"),"Southeast",
IF(OR(D129="IL",D129="IN",D129="OH",D129="MI",D129="WI",D129="MN",D129="IA",D129="MO",D129="KS",D129="NE",D129="ND",D129="SD"),"Midwest",
IF(OR(D129="TX",D129="OK",D129="NM",D129="AZ"),"Southwest",
IF(OR(D129="CA",D129="OR",D129="WA",D129="NV",D129="CO",D129="UT",D129="ID",D129="MT",D129="WY",D129="AK",D129="HI"),"West","Other")))))</f>
        <v>Southeast</v>
      </c>
      <c r="F129" t="s">
        <v>42</v>
      </c>
      <c r="G129" s="1">
        <v>45033</v>
      </c>
      <c r="H129" s="1">
        <v>45038</v>
      </c>
      <c r="I129" s="1">
        <f t="shared" si="6"/>
        <v>45038</v>
      </c>
      <c r="J129" s="2">
        <v>31.9</v>
      </c>
      <c r="K129" s="2">
        <v>260.72000000000003</v>
      </c>
      <c r="L129" t="s">
        <v>15</v>
      </c>
      <c r="M129" s="2">
        <v>1926</v>
      </c>
      <c r="N129" s="2">
        <v>5</v>
      </c>
      <c r="O129" s="2">
        <f t="shared" ref="O129:O188" si="14">M129/N129</f>
        <v>385.2</v>
      </c>
      <c r="P129" s="2">
        <f t="shared" ref="P129:P188" si="15">O129/K129</f>
        <v>1.4774470696532678</v>
      </c>
      <c r="Q129" s="3">
        <f t="shared" ref="Q129:Q188" si="16">K129/M129</f>
        <v>0.1353686396677051</v>
      </c>
    </row>
    <row r="130" spans="1:17" hidden="1" x14ac:dyDescent="0.25">
      <c r="A130" t="s">
        <v>178</v>
      </c>
      <c r="B130" t="s">
        <v>12</v>
      </c>
      <c r="C130" t="s">
        <v>52</v>
      </c>
      <c r="D130" t="str">
        <f t="shared" si="12"/>
        <v>AZ</v>
      </c>
      <c r="E130" t="str">
        <f t="shared" si="13"/>
        <v>Southwest</v>
      </c>
      <c r="F130" t="s">
        <v>42</v>
      </c>
      <c r="G130" s="1">
        <v>45261</v>
      </c>
      <c r="H130" s="1">
        <v>45266</v>
      </c>
      <c r="I130" s="1">
        <f t="shared" ref="I130:I193" si="17">IF(H130="", G130 + N130, H130)</f>
        <v>45266</v>
      </c>
      <c r="J130" s="2">
        <v>15.1</v>
      </c>
      <c r="K130" s="2">
        <v>321.82</v>
      </c>
      <c r="L130" t="s">
        <v>15</v>
      </c>
      <c r="M130" s="2">
        <v>2204</v>
      </c>
      <c r="N130" s="2">
        <v>5</v>
      </c>
      <c r="O130" s="2">
        <f t="shared" si="14"/>
        <v>440.8</v>
      </c>
      <c r="P130" s="2">
        <f t="shared" si="15"/>
        <v>1.3697097756509851</v>
      </c>
      <c r="Q130" s="3">
        <f t="shared" si="16"/>
        <v>0.146016333938294</v>
      </c>
    </row>
    <row r="131" spans="1:17" x14ac:dyDescent="0.25">
      <c r="A131" t="s">
        <v>179</v>
      </c>
      <c r="B131" t="s">
        <v>27</v>
      </c>
      <c r="C131" t="s">
        <v>24</v>
      </c>
      <c r="D131" t="str">
        <f t="shared" si="12"/>
        <v>WA</v>
      </c>
      <c r="E131" t="str">
        <f t="shared" si="13"/>
        <v>West</v>
      </c>
      <c r="F131" t="s">
        <v>25</v>
      </c>
      <c r="G131" s="1">
        <v>45072</v>
      </c>
      <c r="H131" s="1">
        <v>45079</v>
      </c>
      <c r="I131" s="1">
        <f t="shared" si="17"/>
        <v>45079</v>
      </c>
      <c r="J131" s="2">
        <v>19.2</v>
      </c>
      <c r="K131" s="2">
        <v>253.39</v>
      </c>
      <c r="L131" t="s">
        <v>67</v>
      </c>
      <c r="M131" s="2">
        <v>2048</v>
      </c>
      <c r="N131" s="2">
        <v>7</v>
      </c>
      <c r="O131" s="2">
        <f t="shared" si="14"/>
        <v>292.57142857142856</v>
      </c>
      <c r="P131" s="2">
        <f t="shared" si="15"/>
        <v>1.1546289457809249</v>
      </c>
      <c r="Q131" s="3">
        <f t="shared" si="16"/>
        <v>0.12372558593749999</v>
      </c>
    </row>
    <row r="132" spans="1:17" hidden="1" x14ac:dyDescent="0.25">
      <c r="A132" t="s">
        <v>181</v>
      </c>
      <c r="B132" t="s">
        <v>51</v>
      </c>
      <c r="C132" t="s">
        <v>17</v>
      </c>
      <c r="D132" t="str">
        <f t="shared" si="12"/>
        <v>GA</v>
      </c>
      <c r="E132" t="str">
        <f t="shared" si="13"/>
        <v>Southeast</v>
      </c>
      <c r="F132" t="s">
        <v>14</v>
      </c>
      <c r="G132" s="1">
        <v>45283</v>
      </c>
      <c r="H132" s="1">
        <v>45286</v>
      </c>
      <c r="I132" s="1">
        <f t="shared" si="17"/>
        <v>45286</v>
      </c>
      <c r="J132" s="2">
        <v>26.4</v>
      </c>
      <c r="K132" s="2">
        <v>186.75</v>
      </c>
      <c r="L132" t="s">
        <v>15</v>
      </c>
      <c r="M132" s="2">
        <v>870</v>
      </c>
      <c r="N132" s="2">
        <v>3</v>
      </c>
      <c r="O132" s="2">
        <f t="shared" si="14"/>
        <v>290</v>
      </c>
      <c r="P132" s="2">
        <f t="shared" si="15"/>
        <v>1.5528781793842035</v>
      </c>
      <c r="Q132" s="3">
        <f t="shared" si="16"/>
        <v>0.21465517241379312</v>
      </c>
    </row>
    <row r="133" spans="1:17" x14ac:dyDescent="0.25">
      <c r="A133" t="s">
        <v>182</v>
      </c>
      <c r="B133" t="s">
        <v>27</v>
      </c>
      <c r="C133" t="s">
        <v>36</v>
      </c>
      <c r="D133" t="str">
        <f t="shared" si="12"/>
        <v>OR</v>
      </c>
      <c r="E133" t="str">
        <f t="shared" si="13"/>
        <v>West</v>
      </c>
      <c r="F133" t="s">
        <v>42</v>
      </c>
      <c r="G133" s="1">
        <v>44929</v>
      </c>
      <c r="H133" s="1">
        <v>44936</v>
      </c>
      <c r="I133" s="1">
        <f t="shared" si="17"/>
        <v>44936</v>
      </c>
      <c r="J133" s="2">
        <v>24.4</v>
      </c>
      <c r="K133" s="2">
        <v>313.23</v>
      </c>
      <c r="L133" t="s">
        <v>15</v>
      </c>
      <c r="M133" s="2">
        <v>2314</v>
      </c>
      <c r="N133" s="2">
        <v>7</v>
      </c>
      <c r="O133" s="2">
        <f t="shared" si="14"/>
        <v>330.57142857142856</v>
      </c>
      <c r="P133" s="2">
        <f t="shared" si="15"/>
        <v>1.055363242893173</v>
      </c>
      <c r="Q133" s="3">
        <f t="shared" si="16"/>
        <v>0.13536300777873814</v>
      </c>
    </row>
    <row r="134" spans="1:17" x14ac:dyDescent="0.25">
      <c r="A134" t="s">
        <v>183</v>
      </c>
      <c r="B134" t="s">
        <v>20</v>
      </c>
      <c r="C134" t="s">
        <v>13</v>
      </c>
      <c r="D134" t="str">
        <f t="shared" si="12"/>
        <v>CA</v>
      </c>
      <c r="E134" t="str">
        <f t="shared" si="13"/>
        <v>West</v>
      </c>
      <c r="F134" t="s">
        <v>18</v>
      </c>
      <c r="G134" s="1">
        <v>45185</v>
      </c>
      <c r="H134" s="1">
        <v>45188</v>
      </c>
      <c r="I134" s="1">
        <f t="shared" si="17"/>
        <v>45188</v>
      </c>
      <c r="J134" s="2">
        <v>59.4</v>
      </c>
      <c r="K134" s="2">
        <v>234.64</v>
      </c>
      <c r="L134" t="s">
        <v>15</v>
      </c>
      <c r="M134" s="2">
        <v>1070</v>
      </c>
      <c r="N134" s="2">
        <v>3</v>
      </c>
      <c r="O134" s="2">
        <f t="shared" si="14"/>
        <v>356.66666666666669</v>
      </c>
      <c r="P134" s="2">
        <f t="shared" si="15"/>
        <v>1.5200590976247303</v>
      </c>
      <c r="Q134" s="3">
        <f t="shared" si="16"/>
        <v>0.21928971962616822</v>
      </c>
    </row>
    <row r="135" spans="1:17" hidden="1" x14ac:dyDescent="0.25">
      <c r="A135" t="s">
        <v>184</v>
      </c>
      <c r="B135" t="s">
        <v>35</v>
      </c>
      <c r="C135" t="s">
        <v>54</v>
      </c>
      <c r="D135" t="str">
        <f t="shared" si="12"/>
        <v>FL</v>
      </c>
      <c r="E135" t="str">
        <f t="shared" si="13"/>
        <v>Southeast</v>
      </c>
      <c r="F135" t="s">
        <v>32</v>
      </c>
      <c r="G135" s="1">
        <v>45234</v>
      </c>
      <c r="H135" s="1">
        <v>45240</v>
      </c>
      <c r="I135" s="1">
        <f t="shared" si="17"/>
        <v>45240</v>
      </c>
      <c r="J135" s="2">
        <v>15.9</v>
      </c>
      <c r="K135" s="2">
        <v>257.13</v>
      </c>
      <c r="L135" t="s">
        <v>15</v>
      </c>
      <c r="M135" s="2">
        <v>1350</v>
      </c>
      <c r="N135" s="2">
        <v>6</v>
      </c>
      <c r="O135" s="2">
        <f t="shared" si="14"/>
        <v>225</v>
      </c>
      <c r="P135" s="2">
        <f t="shared" si="15"/>
        <v>0.87504375218760944</v>
      </c>
      <c r="Q135" s="3">
        <f t="shared" si="16"/>
        <v>0.19046666666666667</v>
      </c>
    </row>
    <row r="136" spans="1:17" hidden="1" x14ac:dyDescent="0.25">
      <c r="A136" t="s">
        <v>185</v>
      </c>
      <c r="B136" t="s">
        <v>56</v>
      </c>
      <c r="C136" t="s">
        <v>46</v>
      </c>
      <c r="D136" t="str">
        <f t="shared" si="12"/>
        <v>MA</v>
      </c>
      <c r="E136" t="str">
        <f t="shared" si="13"/>
        <v>Northeast</v>
      </c>
      <c r="F136" t="s">
        <v>37</v>
      </c>
      <c r="G136" s="1">
        <v>44967</v>
      </c>
      <c r="H136" s="1">
        <v>44971</v>
      </c>
      <c r="I136" s="1">
        <f t="shared" si="17"/>
        <v>44971</v>
      </c>
      <c r="J136" s="2">
        <v>17.5</v>
      </c>
      <c r="K136" s="2">
        <v>208.17</v>
      </c>
      <c r="L136" t="s">
        <v>15</v>
      </c>
      <c r="M136" s="2">
        <v>1476</v>
      </c>
      <c r="N136" s="2">
        <v>4</v>
      </c>
      <c r="O136" s="2">
        <f t="shared" si="14"/>
        <v>369</v>
      </c>
      <c r="P136" s="2">
        <f t="shared" si="15"/>
        <v>1.7725897103329011</v>
      </c>
      <c r="Q136" s="3">
        <f t="shared" si="16"/>
        <v>0.14103658536585365</v>
      </c>
    </row>
    <row r="137" spans="1:17" hidden="1" x14ac:dyDescent="0.25">
      <c r="A137" t="s">
        <v>186</v>
      </c>
      <c r="B137" t="s">
        <v>51</v>
      </c>
      <c r="C137" t="s">
        <v>21</v>
      </c>
      <c r="D137" t="str">
        <f t="shared" si="12"/>
        <v>TX</v>
      </c>
      <c r="E137" t="str">
        <f t="shared" si="13"/>
        <v>Southwest</v>
      </c>
      <c r="F137" t="s">
        <v>25</v>
      </c>
      <c r="G137" s="1">
        <v>45238</v>
      </c>
      <c r="H137" s="1">
        <v>45241</v>
      </c>
      <c r="I137" s="1">
        <f t="shared" si="17"/>
        <v>45241</v>
      </c>
      <c r="J137" s="2">
        <v>66.5</v>
      </c>
      <c r="K137" s="2">
        <v>199.04</v>
      </c>
      <c r="L137" t="s">
        <v>15</v>
      </c>
      <c r="M137" s="2">
        <v>672</v>
      </c>
      <c r="N137" s="2">
        <v>3</v>
      </c>
      <c r="O137" s="2">
        <f t="shared" si="14"/>
        <v>224</v>
      </c>
      <c r="P137" s="2">
        <f t="shared" si="15"/>
        <v>1.1254019292604502</v>
      </c>
      <c r="Q137" s="3">
        <f t="shared" si="16"/>
        <v>0.29619047619047617</v>
      </c>
    </row>
    <row r="138" spans="1:17" hidden="1" x14ac:dyDescent="0.25">
      <c r="A138" t="s">
        <v>187</v>
      </c>
      <c r="B138" t="s">
        <v>35</v>
      </c>
      <c r="C138" t="s">
        <v>21</v>
      </c>
      <c r="D138" t="str">
        <f t="shared" si="12"/>
        <v>TX</v>
      </c>
      <c r="E138" t="str">
        <f t="shared" si="13"/>
        <v>Southwest</v>
      </c>
      <c r="F138" t="s">
        <v>59</v>
      </c>
      <c r="G138" s="1">
        <v>44995</v>
      </c>
      <c r="H138" s="1">
        <v>44998</v>
      </c>
      <c r="I138" s="1">
        <f t="shared" si="17"/>
        <v>44998</v>
      </c>
      <c r="J138" s="2">
        <v>19.399999999999999</v>
      </c>
      <c r="K138" s="2">
        <v>169.99</v>
      </c>
      <c r="L138" t="s">
        <v>15</v>
      </c>
      <c r="M138" s="2">
        <v>1300</v>
      </c>
      <c r="N138" s="2">
        <v>3</v>
      </c>
      <c r="O138" s="2">
        <f t="shared" si="14"/>
        <v>433.33333333333331</v>
      </c>
      <c r="P138" s="2">
        <f t="shared" si="15"/>
        <v>2.549169558993666</v>
      </c>
      <c r="Q138" s="3">
        <f t="shared" si="16"/>
        <v>0.13076153846153846</v>
      </c>
    </row>
    <row r="139" spans="1:17" x14ac:dyDescent="0.25">
      <c r="A139" t="s">
        <v>188</v>
      </c>
      <c r="B139" t="s">
        <v>49</v>
      </c>
      <c r="C139" t="s">
        <v>36</v>
      </c>
      <c r="D139" t="str">
        <f t="shared" si="12"/>
        <v>OR</v>
      </c>
      <c r="E139" t="str">
        <f t="shared" si="13"/>
        <v>West</v>
      </c>
      <c r="F139" t="s">
        <v>59</v>
      </c>
      <c r="G139" s="1">
        <v>45262</v>
      </c>
      <c r="H139" s="1">
        <v>45264</v>
      </c>
      <c r="I139" s="1">
        <f t="shared" si="17"/>
        <v>45264</v>
      </c>
      <c r="J139" s="2">
        <v>48</v>
      </c>
      <c r="K139" s="2">
        <v>133.97999999999999</v>
      </c>
      <c r="L139" t="s">
        <v>15</v>
      </c>
      <c r="M139" s="2">
        <v>593</v>
      </c>
      <c r="N139" s="2">
        <v>2</v>
      </c>
      <c r="O139" s="2">
        <f t="shared" si="14"/>
        <v>296.5</v>
      </c>
      <c r="P139" s="2">
        <f t="shared" si="15"/>
        <v>2.2130168681892823</v>
      </c>
      <c r="Q139" s="3">
        <f t="shared" si="16"/>
        <v>0.22593591905564922</v>
      </c>
    </row>
    <row r="140" spans="1:17" hidden="1" x14ac:dyDescent="0.25">
      <c r="A140" t="s">
        <v>189</v>
      </c>
      <c r="B140" t="s">
        <v>23</v>
      </c>
      <c r="C140" t="s">
        <v>44</v>
      </c>
      <c r="D140" t="str">
        <f t="shared" si="12"/>
        <v>IL</v>
      </c>
      <c r="E140" t="str">
        <f t="shared" si="13"/>
        <v>Midwest</v>
      </c>
      <c r="F140" t="s">
        <v>59</v>
      </c>
      <c r="G140" s="1">
        <v>45214</v>
      </c>
      <c r="H140" s="1">
        <v>45219</v>
      </c>
      <c r="I140" s="1">
        <f t="shared" si="17"/>
        <v>45219</v>
      </c>
      <c r="J140" s="2">
        <v>18.399999999999999</v>
      </c>
      <c r="K140" s="2">
        <v>237.17</v>
      </c>
      <c r="L140" t="s">
        <v>15</v>
      </c>
      <c r="M140" s="2">
        <v>1939</v>
      </c>
      <c r="N140" s="2">
        <v>5</v>
      </c>
      <c r="O140" s="2">
        <f t="shared" si="14"/>
        <v>387.8</v>
      </c>
      <c r="P140" s="2">
        <f t="shared" si="15"/>
        <v>1.6351140532107773</v>
      </c>
      <c r="Q140" s="3">
        <f t="shared" si="16"/>
        <v>0.12231562661165549</v>
      </c>
    </row>
    <row r="141" spans="1:17" hidden="1" x14ac:dyDescent="0.25">
      <c r="A141" t="s">
        <v>190</v>
      </c>
      <c r="B141" t="s">
        <v>51</v>
      </c>
      <c r="C141" t="s">
        <v>44</v>
      </c>
      <c r="D141" t="str">
        <f t="shared" si="12"/>
        <v>IL</v>
      </c>
      <c r="E141" t="str">
        <f t="shared" si="13"/>
        <v>Midwest</v>
      </c>
      <c r="F141" t="s">
        <v>25</v>
      </c>
      <c r="G141" s="1">
        <v>44932</v>
      </c>
      <c r="H141" s="1">
        <v>44935</v>
      </c>
      <c r="I141" s="1">
        <f t="shared" si="17"/>
        <v>44935</v>
      </c>
      <c r="J141" s="2">
        <v>38.9</v>
      </c>
      <c r="K141" s="2">
        <v>137.82</v>
      </c>
      <c r="L141" t="s">
        <v>15</v>
      </c>
      <c r="M141" s="2">
        <v>790</v>
      </c>
      <c r="N141" s="2">
        <v>3</v>
      </c>
      <c r="O141" s="2">
        <f t="shared" si="14"/>
        <v>263.33333333333331</v>
      </c>
      <c r="P141" s="2">
        <f t="shared" si="15"/>
        <v>1.9107047840178009</v>
      </c>
      <c r="Q141" s="3">
        <f t="shared" si="16"/>
        <v>0.17445569620253162</v>
      </c>
    </row>
    <row r="142" spans="1:17" x14ac:dyDescent="0.25">
      <c r="A142" t="s">
        <v>191</v>
      </c>
      <c r="B142" t="s">
        <v>20</v>
      </c>
      <c r="C142" t="s">
        <v>13</v>
      </c>
      <c r="D142" t="str">
        <f t="shared" si="12"/>
        <v>CA</v>
      </c>
      <c r="E142" t="str">
        <f t="shared" si="13"/>
        <v>West</v>
      </c>
      <c r="F142" t="s">
        <v>25</v>
      </c>
      <c r="G142" s="1">
        <v>44962</v>
      </c>
      <c r="H142" s="1">
        <v>44969</v>
      </c>
      <c r="I142" s="1">
        <f t="shared" si="17"/>
        <v>44969</v>
      </c>
      <c r="J142" s="2">
        <v>36.6</v>
      </c>
      <c r="K142" s="2">
        <v>310.16000000000003</v>
      </c>
      <c r="L142" t="s">
        <v>15</v>
      </c>
      <c r="M142" s="2">
        <v>2497</v>
      </c>
      <c r="N142" s="2">
        <v>7</v>
      </c>
      <c r="O142" s="2">
        <f t="shared" si="14"/>
        <v>356.71428571428572</v>
      </c>
      <c r="P142" s="2">
        <f t="shared" si="15"/>
        <v>1.1500976454548804</v>
      </c>
      <c r="Q142" s="3">
        <f t="shared" si="16"/>
        <v>0.12421305566680017</v>
      </c>
    </row>
    <row r="143" spans="1:17" hidden="1" x14ac:dyDescent="0.25">
      <c r="A143" t="s">
        <v>192</v>
      </c>
      <c r="B143" t="s">
        <v>49</v>
      </c>
      <c r="C143" t="s">
        <v>31</v>
      </c>
      <c r="D143" t="str">
        <f t="shared" si="12"/>
        <v>NY</v>
      </c>
      <c r="E143" t="str">
        <f t="shared" si="13"/>
        <v>Northeast</v>
      </c>
      <c r="F143" t="s">
        <v>59</v>
      </c>
      <c r="G143" s="1">
        <v>45051</v>
      </c>
      <c r="H143" s="1">
        <v>45053</v>
      </c>
      <c r="I143" s="1">
        <f t="shared" si="17"/>
        <v>45053</v>
      </c>
      <c r="J143" s="2">
        <v>19.2</v>
      </c>
      <c r="K143" s="2">
        <v>81.430000000000007</v>
      </c>
      <c r="L143" t="s">
        <v>15</v>
      </c>
      <c r="M143" s="2">
        <v>510</v>
      </c>
      <c r="N143" s="2">
        <v>2</v>
      </c>
      <c r="O143" s="2">
        <f t="shared" si="14"/>
        <v>255</v>
      </c>
      <c r="P143" s="2">
        <f t="shared" si="15"/>
        <v>3.1315240083507305</v>
      </c>
      <c r="Q143" s="3">
        <f t="shared" si="16"/>
        <v>0.15966666666666668</v>
      </c>
    </row>
    <row r="144" spans="1:17" hidden="1" x14ac:dyDescent="0.25">
      <c r="A144" t="s">
        <v>193</v>
      </c>
      <c r="B144" t="s">
        <v>39</v>
      </c>
      <c r="C144" t="s">
        <v>17</v>
      </c>
      <c r="D144" t="str">
        <f t="shared" si="12"/>
        <v>GA</v>
      </c>
      <c r="E144" t="str">
        <f t="shared" si="13"/>
        <v>Southeast</v>
      </c>
      <c r="F144" t="s">
        <v>14</v>
      </c>
      <c r="G144" s="1">
        <v>45110</v>
      </c>
      <c r="H144" s="1">
        <v>45117</v>
      </c>
      <c r="I144" s="1">
        <f t="shared" si="17"/>
        <v>45117</v>
      </c>
      <c r="J144" s="2">
        <v>23.4</v>
      </c>
      <c r="K144" s="2">
        <v>142.13</v>
      </c>
      <c r="L144" t="s">
        <v>47</v>
      </c>
      <c r="M144" s="2">
        <v>800</v>
      </c>
      <c r="N144" s="2">
        <v>3</v>
      </c>
      <c r="O144" s="2">
        <f t="shared" si="14"/>
        <v>266.66666666666669</v>
      </c>
      <c r="P144" s="2">
        <f t="shared" si="15"/>
        <v>1.8762166092075332</v>
      </c>
      <c r="Q144" s="3">
        <f t="shared" si="16"/>
        <v>0.1776625</v>
      </c>
    </row>
    <row r="145" spans="1:17" x14ac:dyDescent="0.25">
      <c r="A145" t="s">
        <v>195</v>
      </c>
      <c r="B145" t="s">
        <v>30</v>
      </c>
      <c r="C145" t="s">
        <v>13</v>
      </c>
      <c r="D145" t="str">
        <f t="shared" si="12"/>
        <v>CA</v>
      </c>
      <c r="E145" t="str">
        <f t="shared" si="13"/>
        <v>West</v>
      </c>
      <c r="F145" t="s">
        <v>14</v>
      </c>
      <c r="G145" s="1">
        <v>45121</v>
      </c>
      <c r="H145" s="1">
        <v>45126</v>
      </c>
      <c r="I145" s="1">
        <f t="shared" si="17"/>
        <v>45126</v>
      </c>
      <c r="J145" s="2">
        <v>66.8</v>
      </c>
      <c r="K145" s="2">
        <v>336.2</v>
      </c>
      <c r="L145" t="s">
        <v>15</v>
      </c>
      <c r="M145" s="2">
        <v>2262</v>
      </c>
      <c r="N145" s="2">
        <v>5</v>
      </c>
      <c r="O145" s="2">
        <f t="shared" si="14"/>
        <v>452.4</v>
      </c>
      <c r="P145" s="2">
        <f t="shared" si="15"/>
        <v>1.3456276026174896</v>
      </c>
      <c r="Q145" s="3">
        <f t="shared" si="16"/>
        <v>0.14862953138815208</v>
      </c>
    </row>
    <row r="146" spans="1:17" hidden="1" x14ac:dyDescent="0.25">
      <c r="A146" t="s">
        <v>196</v>
      </c>
      <c r="B146" t="s">
        <v>51</v>
      </c>
      <c r="C146" t="s">
        <v>57</v>
      </c>
      <c r="D146" t="str">
        <f t="shared" si="12"/>
        <v>MN</v>
      </c>
      <c r="E146" t="str">
        <f t="shared" si="13"/>
        <v>Midwest</v>
      </c>
      <c r="F146" t="s">
        <v>37</v>
      </c>
      <c r="G146" s="1">
        <v>45132</v>
      </c>
      <c r="H146" s="1">
        <v>45138</v>
      </c>
      <c r="I146" s="1">
        <f t="shared" si="17"/>
        <v>45138</v>
      </c>
      <c r="J146" s="2">
        <v>25.8</v>
      </c>
      <c r="K146" s="2">
        <v>258.31</v>
      </c>
      <c r="L146" t="s">
        <v>15</v>
      </c>
      <c r="M146" s="2">
        <v>2078</v>
      </c>
      <c r="N146" s="2">
        <v>6</v>
      </c>
      <c r="O146" s="2">
        <f t="shared" si="14"/>
        <v>346.33333333333331</v>
      </c>
      <c r="P146" s="2">
        <f t="shared" si="15"/>
        <v>1.340766262759217</v>
      </c>
      <c r="Q146" s="3">
        <f t="shared" si="16"/>
        <v>0.1243070259865255</v>
      </c>
    </row>
    <row r="147" spans="1:17" hidden="1" x14ac:dyDescent="0.25">
      <c r="A147" t="s">
        <v>197</v>
      </c>
      <c r="B147" t="s">
        <v>20</v>
      </c>
      <c r="C147" t="s">
        <v>31</v>
      </c>
      <c r="D147" t="str">
        <f t="shared" si="12"/>
        <v>NY</v>
      </c>
      <c r="E147" t="str">
        <f t="shared" si="13"/>
        <v>Northeast</v>
      </c>
      <c r="F147" t="s">
        <v>18</v>
      </c>
      <c r="G147" s="1">
        <v>45068</v>
      </c>
      <c r="H147" s="1">
        <v>45084</v>
      </c>
      <c r="I147" s="1">
        <f t="shared" si="17"/>
        <v>45084</v>
      </c>
      <c r="J147" s="2">
        <v>38.200000000000003</v>
      </c>
      <c r="K147" s="2">
        <v>151.35</v>
      </c>
      <c r="L147" t="s">
        <v>60</v>
      </c>
      <c r="M147" s="2">
        <v>775</v>
      </c>
      <c r="N147" s="2">
        <v>3</v>
      </c>
      <c r="O147" s="2">
        <f t="shared" si="14"/>
        <v>258.33333333333331</v>
      </c>
      <c r="P147" s="2">
        <f t="shared" si="15"/>
        <v>1.7068604779209338</v>
      </c>
      <c r="Q147" s="3">
        <f t="shared" si="16"/>
        <v>0.19529032258064516</v>
      </c>
    </row>
    <row r="148" spans="1:17" hidden="1" x14ac:dyDescent="0.25">
      <c r="A148" t="s">
        <v>198</v>
      </c>
      <c r="B148" t="s">
        <v>27</v>
      </c>
      <c r="C148" t="s">
        <v>52</v>
      </c>
      <c r="D148" t="str">
        <f t="shared" si="12"/>
        <v>AZ</v>
      </c>
      <c r="E148" t="str">
        <f t="shared" si="13"/>
        <v>Southwest</v>
      </c>
      <c r="F148" t="s">
        <v>42</v>
      </c>
      <c r="G148" s="1">
        <v>45073</v>
      </c>
      <c r="H148" s="1">
        <v>45078</v>
      </c>
      <c r="I148" s="1">
        <f t="shared" si="17"/>
        <v>45078</v>
      </c>
      <c r="J148" s="2">
        <v>11.6</v>
      </c>
      <c r="K148" s="2">
        <v>278.85000000000002</v>
      </c>
      <c r="L148" t="s">
        <v>15</v>
      </c>
      <c r="M148" s="2">
        <v>2080</v>
      </c>
      <c r="N148" s="2">
        <v>5</v>
      </c>
      <c r="O148" s="2">
        <f t="shared" si="14"/>
        <v>416</v>
      </c>
      <c r="P148" s="2">
        <f t="shared" si="15"/>
        <v>1.4918414918414917</v>
      </c>
      <c r="Q148" s="3">
        <f t="shared" si="16"/>
        <v>0.1340625</v>
      </c>
    </row>
    <row r="149" spans="1:17" x14ac:dyDescent="0.25">
      <c r="A149" t="s">
        <v>199</v>
      </c>
      <c r="B149" t="s">
        <v>30</v>
      </c>
      <c r="C149" t="s">
        <v>13</v>
      </c>
      <c r="D149" t="str">
        <f t="shared" si="12"/>
        <v>CA</v>
      </c>
      <c r="E149" t="str">
        <f t="shared" si="13"/>
        <v>West</v>
      </c>
      <c r="F149" t="s">
        <v>14</v>
      </c>
      <c r="G149" s="1">
        <v>45245</v>
      </c>
      <c r="H149" s="1">
        <v>45260</v>
      </c>
      <c r="I149" s="1">
        <f t="shared" si="17"/>
        <v>45260</v>
      </c>
      <c r="J149" s="2">
        <v>21.8</v>
      </c>
      <c r="K149" s="2">
        <v>123.4</v>
      </c>
      <c r="L149" t="s">
        <v>47</v>
      </c>
      <c r="M149" s="2">
        <v>573</v>
      </c>
      <c r="N149" s="2">
        <v>2</v>
      </c>
      <c r="O149" s="2">
        <f t="shared" si="14"/>
        <v>286.5</v>
      </c>
      <c r="P149" s="2">
        <f t="shared" si="15"/>
        <v>2.3217179902755265</v>
      </c>
      <c r="Q149" s="3">
        <f t="shared" si="16"/>
        <v>0.21535776614310648</v>
      </c>
    </row>
    <row r="150" spans="1:17" x14ac:dyDescent="0.25">
      <c r="A150" t="s">
        <v>200</v>
      </c>
      <c r="B150" t="s">
        <v>39</v>
      </c>
      <c r="C150" t="s">
        <v>24</v>
      </c>
      <c r="D150" t="str">
        <f t="shared" si="12"/>
        <v>WA</v>
      </c>
      <c r="E150" t="str">
        <f t="shared" si="13"/>
        <v>West</v>
      </c>
      <c r="F150" t="s">
        <v>32</v>
      </c>
      <c r="G150" s="1">
        <v>45015</v>
      </c>
      <c r="H150" s="1">
        <v>45018</v>
      </c>
      <c r="I150" s="1">
        <f t="shared" si="17"/>
        <v>45018</v>
      </c>
      <c r="J150" s="2">
        <v>11.5</v>
      </c>
      <c r="K150" s="2">
        <v>167.08</v>
      </c>
      <c r="L150" t="s">
        <v>15</v>
      </c>
      <c r="M150" s="2">
        <v>1125</v>
      </c>
      <c r="N150" s="2">
        <v>3</v>
      </c>
      <c r="O150" s="2">
        <f t="shared" si="14"/>
        <v>375</v>
      </c>
      <c r="P150" s="2">
        <f t="shared" si="15"/>
        <v>2.2444338041656691</v>
      </c>
      <c r="Q150" s="3">
        <f t="shared" si="16"/>
        <v>0.14851555555555557</v>
      </c>
    </row>
    <row r="151" spans="1:17" hidden="1" x14ac:dyDescent="0.25">
      <c r="A151" t="s">
        <v>201</v>
      </c>
      <c r="B151" t="s">
        <v>12</v>
      </c>
      <c r="C151" t="s">
        <v>44</v>
      </c>
      <c r="D151" t="str">
        <f t="shared" si="12"/>
        <v>IL</v>
      </c>
      <c r="E151" t="str">
        <f t="shared" si="13"/>
        <v>Midwest</v>
      </c>
      <c r="F151" t="s">
        <v>42</v>
      </c>
      <c r="G151" s="1">
        <v>45232</v>
      </c>
      <c r="H151" s="1">
        <v>45247</v>
      </c>
      <c r="I151" s="1">
        <f t="shared" si="17"/>
        <v>45247</v>
      </c>
      <c r="J151" s="2">
        <v>45</v>
      </c>
      <c r="K151" s="2">
        <v>118.74</v>
      </c>
      <c r="L151" t="s">
        <v>47</v>
      </c>
      <c r="M151" s="2">
        <v>382</v>
      </c>
      <c r="N151" s="2">
        <v>5</v>
      </c>
      <c r="O151" s="2">
        <f t="shared" si="14"/>
        <v>76.400000000000006</v>
      </c>
      <c r="P151" s="2">
        <f t="shared" si="15"/>
        <v>0.64342260400875873</v>
      </c>
      <c r="Q151" s="3">
        <f t="shared" si="16"/>
        <v>0.31083769633507852</v>
      </c>
    </row>
    <row r="152" spans="1:17" hidden="1" x14ac:dyDescent="0.25">
      <c r="A152" t="s">
        <v>202</v>
      </c>
      <c r="B152" t="s">
        <v>12</v>
      </c>
      <c r="C152" t="s">
        <v>57</v>
      </c>
      <c r="D152" t="str">
        <f t="shared" si="12"/>
        <v>MN</v>
      </c>
      <c r="E152" t="str">
        <f t="shared" si="13"/>
        <v>Midwest</v>
      </c>
      <c r="F152" t="s">
        <v>18</v>
      </c>
      <c r="G152" s="1">
        <v>45061</v>
      </c>
      <c r="H152" s="1">
        <v>45067</v>
      </c>
      <c r="I152" s="1">
        <f t="shared" si="17"/>
        <v>45067</v>
      </c>
      <c r="J152" s="2">
        <v>55.3</v>
      </c>
      <c r="K152" s="2">
        <v>362.11</v>
      </c>
      <c r="L152" t="s">
        <v>15</v>
      </c>
      <c r="M152" s="2">
        <v>2192</v>
      </c>
      <c r="N152" s="2">
        <v>6</v>
      </c>
      <c r="O152" s="2">
        <f t="shared" si="14"/>
        <v>365.33333333333331</v>
      </c>
      <c r="P152" s="2">
        <f t="shared" si="15"/>
        <v>1.0089015308423774</v>
      </c>
      <c r="Q152" s="3">
        <f t="shared" si="16"/>
        <v>0.16519616788321168</v>
      </c>
    </row>
    <row r="153" spans="1:17" x14ac:dyDescent="0.25">
      <c r="A153" t="s">
        <v>203</v>
      </c>
      <c r="B153" t="s">
        <v>27</v>
      </c>
      <c r="C153" t="s">
        <v>24</v>
      </c>
      <c r="D153" t="str">
        <f t="shared" si="12"/>
        <v>WA</v>
      </c>
      <c r="E153" t="str">
        <f t="shared" si="13"/>
        <v>West</v>
      </c>
      <c r="F153" t="s">
        <v>59</v>
      </c>
      <c r="G153" s="1">
        <v>45129</v>
      </c>
      <c r="H153" s="1">
        <v>45134</v>
      </c>
      <c r="I153" s="1">
        <f t="shared" si="17"/>
        <v>45134</v>
      </c>
      <c r="J153" s="2">
        <v>12.2</v>
      </c>
      <c r="K153" s="2">
        <v>278.14999999999998</v>
      </c>
      <c r="L153" t="s">
        <v>15</v>
      </c>
      <c r="M153" s="2">
        <v>2161</v>
      </c>
      <c r="N153" s="2">
        <v>5</v>
      </c>
      <c r="O153" s="2">
        <f t="shared" si="14"/>
        <v>432.2</v>
      </c>
      <c r="P153" s="2">
        <f t="shared" si="15"/>
        <v>1.5538378572712566</v>
      </c>
      <c r="Q153" s="3">
        <f t="shared" si="16"/>
        <v>0.12871355853771402</v>
      </c>
    </row>
    <row r="154" spans="1:17" hidden="1" x14ac:dyDescent="0.25">
      <c r="A154" t="s">
        <v>204</v>
      </c>
      <c r="B154" t="s">
        <v>20</v>
      </c>
      <c r="C154" t="s">
        <v>31</v>
      </c>
      <c r="D154" t="str">
        <f t="shared" si="12"/>
        <v>NY</v>
      </c>
      <c r="E154" t="str">
        <f t="shared" si="13"/>
        <v>Northeast</v>
      </c>
      <c r="F154" t="s">
        <v>32</v>
      </c>
      <c r="G154" s="1">
        <v>44992</v>
      </c>
      <c r="H154" s="1">
        <v>44997</v>
      </c>
      <c r="I154" s="1">
        <f t="shared" si="17"/>
        <v>44997</v>
      </c>
      <c r="J154" s="2">
        <v>54.9</v>
      </c>
      <c r="K154" s="2">
        <v>332.76</v>
      </c>
      <c r="L154" t="s">
        <v>15</v>
      </c>
      <c r="M154" s="2">
        <v>2244</v>
      </c>
      <c r="N154" s="2">
        <v>5</v>
      </c>
      <c r="O154" s="2">
        <f t="shared" si="14"/>
        <v>448.8</v>
      </c>
      <c r="P154" s="2">
        <f t="shared" si="15"/>
        <v>1.3487197980526506</v>
      </c>
      <c r="Q154" s="3">
        <f t="shared" si="16"/>
        <v>0.14828877005347593</v>
      </c>
    </row>
    <row r="155" spans="1:17" x14ac:dyDescent="0.25">
      <c r="A155" t="s">
        <v>205</v>
      </c>
      <c r="B155" t="s">
        <v>49</v>
      </c>
      <c r="C155" t="s">
        <v>24</v>
      </c>
      <c r="D155" t="str">
        <f t="shared" si="12"/>
        <v>WA</v>
      </c>
      <c r="E155" t="str">
        <f t="shared" si="13"/>
        <v>West</v>
      </c>
      <c r="F155" t="s">
        <v>42</v>
      </c>
      <c r="G155" s="1">
        <v>45050</v>
      </c>
      <c r="H155" s="1">
        <v>45052</v>
      </c>
      <c r="I155" s="1">
        <f t="shared" si="17"/>
        <v>45052</v>
      </c>
      <c r="J155" s="2">
        <v>11.9</v>
      </c>
      <c r="K155" s="2">
        <v>83.93</v>
      </c>
      <c r="L155" t="s">
        <v>15</v>
      </c>
      <c r="M155" s="2">
        <v>561</v>
      </c>
      <c r="N155" s="2">
        <v>2</v>
      </c>
      <c r="O155" s="2">
        <f t="shared" si="14"/>
        <v>280.5</v>
      </c>
      <c r="P155" s="2">
        <f t="shared" si="15"/>
        <v>3.3420707732634334</v>
      </c>
      <c r="Q155" s="3">
        <f t="shared" si="16"/>
        <v>0.14960784313725492</v>
      </c>
    </row>
    <row r="156" spans="1:17" hidden="1" x14ac:dyDescent="0.25">
      <c r="A156" t="s">
        <v>206</v>
      </c>
      <c r="B156" t="s">
        <v>51</v>
      </c>
      <c r="C156" t="s">
        <v>52</v>
      </c>
      <c r="D156" t="str">
        <f t="shared" si="12"/>
        <v>AZ</v>
      </c>
      <c r="E156" t="str">
        <f t="shared" si="13"/>
        <v>Southwest</v>
      </c>
      <c r="F156" t="s">
        <v>37</v>
      </c>
      <c r="G156" s="1">
        <v>45267</v>
      </c>
      <c r="H156" s="1">
        <v>45269</v>
      </c>
      <c r="I156" s="1">
        <f t="shared" si="17"/>
        <v>45269</v>
      </c>
      <c r="J156" s="2">
        <v>11.5</v>
      </c>
      <c r="K156" s="2">
        <v>69.7</v>
      </c>
      <c r="L156" t="s">
        <v>15</v>
      </c>
      <c r="M156" s="2">
        <v>388</v>
      </c>
      <c r="N156" s="2">
        <v>2</v>
      </c>
      <c r="O156" s="2">
        <f t="shared" si="14"/>
        <v>194</v>
      </c>
      <c r="P156" s="2">
        <f t="shared" si="15"/>
        <v>2.7833572453371591</v>
      </c>
      <c r="Q156" s="3">
        <f t="shared" si="16"/>
        <v>0.17963917525773196</v>
      </c>
    </row>
    <row r="157" spans="1:17" x14ac:dyDescent="0.25">
      <c r="A157" t="s">
        <v>207</v>
      </c>
      <c r="B157" t="s">
        <v>39</v>
      </c>
      <c r="C157" t="s">
        <v>36</v>
      </c>
      <c r="D157" t="str">
        <f t="shared" si="12"/>
        <v>OR</v>
      </c>
      <c r="E157" t="str">
        <f t="shared" si="13"/>
        <v>West</v>
      </c>
      <c r="F157" t="s">
        <v>14</v>
      </c>
      <c r="G157" s="1">
        <v>45060</v>
      </c>
      <c r="H157" s="1">
        <v>45069</v>
      </c>
      <c r="I157" s="1">
        <f t="shared" si="17"/>
        <v>45069</v>
      </c>
      <c r="J157" s="2">
        <v>32.200000000000003</v>
      </c>
      <c r="K157" s="2">
        <v>334.49</v>
      </c>
      <c r="L157" t="s">
        <v>15</v>
      </c>
      <c r="M157" s="2">
        <v>2453</v>
      </c>
      <c r="N157" s="2">
        <v>9</v>
      </c>
      <c r="O157" s="2">
        <f t="shared" si="14"/>
        <v>272.55555555555554</v>
      </c>
      <c r="P157" s="2">
        <f t="shared" si="15"/>
        <v>0.81483917473035228</v>
      </c>
      <c r="Q157" s="3">
        <f t="shared" si="16"/>
        <v>0.13635955972278843</v>
      </c>
    </row>
    <row r="158" spans="1:17" hidden="1" x14ac:dyDescent="0.25">
      <c r="A158" t="s">
        <v>208</v>
      </c>
      <c r="B158" t="s">
        <v>20</v>
      </c>
      <c r="C158" t="s">
        <v>17</v>
      </c>
      <c r="D158" t="str">
        <f t="shared" si="12"/>
        <v>GA</v>
      </c>
      <c r="E158" t="str">
        <f t="shared" si="13"/>
        <v>Southeast</v>
      </c>
      <c r="F158" t="s">
        <v>14</v>
      </c>
      <c r="G158" s="1">
        <v>45242</v>
      </c>
      <c r="H158" s="1">
        <v>45246</v>
      </c>
      <c r="I158" s="1">
        <f t="shared" si="17"/>
        <v>45246</v>
      </c>
      <c r="J158" s="2">
        <v>22.1</v>
      </c>
      <c r="K158" s="2">
        <v>169.82</v>
      </c>
      <c r="L158" t="s">
        <v>15</v>
      </c>
      <c r="M158" s="2">
        <v>821</v>
      </c>
      <c r="N158" s="2">
        <v>4</v>
      </c>
      <c r="O158" s="2">
        <f t="shared" si="14"/>
        <v>205.25</v>
      </c>
      <c r="P158" s="2">
        <f t="shared" si="15"/>
        <v>1.2086326698857615</v>
      </c>
      <c r="Q158" s="3">
        <f t="shared" si="16"/>
        <v>0.20684531059683312</v>
      </c>
    </row>
    <row r="159" spans="1:17" hidden="1" x14ac:dyDescent="0.25">
      <c r="A159" t="s">
        <v>209</v>
      </c>
      <c r="B159" t="s">
        <v>39</v>
      </c>
      <c r="C159" t="s">
        <v>44</v>
      </c>
      <c r="D159" t="str">
        <f t="shared" si="12"/>
        <v>IL</v>
      </c>
      <c r="E159" t="str">
        <f t="shared" si="13"/>
        <v>Midwest</v>
      </c>
      <c r="F159" t="s">
        <v>42</v>
      </c>
      <c r="G159" s="1">
        <v>45188</v>
      </c>
      <c r="H159" s="1">
        <v>45192</v>
      </c>
      <c r="I159" s="1">
        <f t="shared" si="17"/>
        <v>45192</v>
      </c>
      <c r="J159" s="2">
        <v>23.8</v>
      </c>
      <c r="K159" s="2">
        <v>206.9</v>
      </c>
      <c r="L159" t="s">
        <v>15</v>
      </c>
      <c r="M159" s="2">
        <v>1566</v>
      </c>
      <c r="N159" s="2">
        <v>4</v>
      </c>
      <c r="O159" s="2">
        <f t="shared" si="14"/>
        <v>391.5</v>
      </c>
      <c r="P159" s="2">
        <f t="shared" si="15"/>
        <v>1.8922184630256162</v>
      </c>
      <c r="Q159" s="3">
        <f t="shared" si="16"/>
        <v>0.13212005108556832</v>
      </c>
    </row>
    <row r="160" spans="1:17" hidden="1" x14ac:dyDescent="0.25">
      <c r="A160" t="s">
        <v>210</v>
      </c>
      <c r="B160" t="s">
        <v>23</v>
      </c>
      <c r="C160" t="s">
        <v>21</v>
      </c>
      <c r="D160" t="str">
        <f t="shared" si="12"/>
        <v>TX</v>
      </c>
      <c r="E160" t="str">
        <f t="shared" si="13"/>
        <v>Southwest</v>
      </c>
      <c r="F160" t="s">
        <v>59</v>
      </c>
      <c r="G160" s="1">
        <v>44999</v>
      </c>
      <c r="H160" s="1">
        <v>45001</v>
      </c>
      <c r="I160" s="1">
        <f t="shared" si="17"/>
        <v>45001</v>
      </c>
      <c r="J160" s="2">
        <v>22.1</v>
      </c>
      <c r="K160" s="2">
        <v>79.13</v>
      </c>
      <c r="L160" t="s">
        <v>15</v>
      </c>
      <c r="M160" s="2">
        <v>465</v>
      </c>
      <c r="N160" s="2">
        <v>2</v>
      </c>
      <c r="O160" s="2">
        <f t="shared" si="14"/>
        <v>232.5</v>
      </c>
      <c r="P160" s="2">
        <f t="shared" si="15"/>
        <v>2.9382029571591053</v>
      </c>
      <c r="Q160" s="3">
        <f t="shared" si="16"/>
        <v>0.17017204301075267</v>
      </c>
    </row>
    <row r="161" spans="1:17" hidden="1" x14ac:dyDescent="0.25">
      <c r="A161" t="s">
        <v>211</v>
      </c>
      <c r="B161" t="s">
        <v>35</v>
      </c>
      <c r="C161" t="s">
        <v>54</v>
      </c>
      <c r="D161" t="str">
        <f t="shared" si="12"/>
        <v>FL</v>
      </c>
      <c r="E161" t="str">
        <f t="shared" si="13"/>
        <v>Southeast</v>
      </c>
      <c r="F161" t="s">
        <v>37</v>
      </c>
      <c r="G161" s="1">
        <v>45216</v>
      </c>
      <c r="H161" s="1">
        <v>45220</v>
      </c>
      <c r="I161" s="1">
        <f t="shared" si="17"/>
        <v>45220</v>
      </c>
      <c r="J161" s="2">
        <v>19.7</v>
      </c>
      <c r="K161" s="2">
        <v>196.56</v>
      </c>
      <c r="L161" t="s">
        <v>15</v>
      </c>
      <c r="M161" s="2">
        <v>1350</v>
      </c>
      <c r="N161" s="2">
        <v>4</v>
      </c>
      <c r="O161" s="2">
        <f t="shared" si="14"/>
        <v>337.5</v>
      </c>
      <c r="P161" s="2">
        <f t="shared" si="15"/>
        <v>1.7170329670329669</v>
      </c>
      <c r="Q161" s="3">
        <f t="shared" si="16"/>
        <v>0.14560000000000001</v>
      </c>
    </row>
    <row r="162" spans="1:17" hidden="1" x14ac:dyDescent="0.25">
      <c r="A162" t="s">
        <v>212</v>
      </c>
      <c r="B162" t="s">
        <v>35</v>
      </c>
      <c r="C162" t="s">
        <v>17</v>
      </c>
      <c r="D162" t="str">
        <f t="shared" si="12"/>
        <v>GA</v>
      </c>
      <c r="E162" t="str">
        <f t="shared" si="13"/>
        <v>Southeast</v>
      </c>
      <c r="F162" t="s">
        <v>59</v>
      </c>
      <c r="G162" s="1">
        <v>45188</v>
      </c>
      <c r="H162" s="1">
        <v>45190</v>
      </c>
      <c r="I162" s="1">
        <f t="shared" si="17"/>
        <v>45190</v>
      </c>
      <c r="J162" s="2">
        <v>14.6</v>
      </c>
      <c r="K162" s="2">
        <v>94.67</v>
      </c>
      <c r="L162" t="s">
        <v>15</v>
      </c>
      <c r="M162" s="2">
        <v>648</v>
      </c>
      <c r="N162" s="2">
        <v>2</v>
      </c>
      <c r="O162" s="2">
        <f t="shared" si="14"/>
        <v>324</v>
      </c>
      <c r="P162" s="2">
        <f t="shared" si="15"/>
        <v>3.422414703707616</v>
      </c>
      <c r="Q162" s="3">
        <f t="shared" si="16"/>
        <v>0.14609567901234569</v>
      </c>
    </row>
    <row r="163" spans="1:17" x14ac:dyDescent="0.25">
      <c r="A163" t="s">
        <v>213</v>
      </c>
      <c r="B163" t="s">
        <v>20</v>
      </c>
      <c r="C163" t="s">
        <v>81</v>
      </c>
      <c r="D163" t="str">
        <f t="shared" si="12"/>
        <v>CO</v>
      </c>
      <c r="E163" t="str">
        <f t="shared" si="13"/>
        <v>West</v>
      </c>
      <c r="F163" t="s">
        <v>25</v>
      </c>
      <c r="G163" s="1">
        <v>45249</v>
      </c>
      <c r="H163" s="1">
        <v>45251</v>
      </c>
      <c r="I163" s="1">
        <f t="shared" si="17"/>
        <v>45251</v>
      </c>
      <c r="J163" s="2">
        <v>23.3</v>
      </c>
      <c r="K163" s="2">
        <v>117.91</v>
      </c>
      <c r="L163" t="s">
        <v>15</v>
      </c>
      <c r="M163" s="2">
        <v>586</v>
      </c>
      <c r="N163" s="2">
        <v>2</v>
      </c>
      <c r="O163" s="2">
        <f t="shared" si="14"/>
        <v>293</v>
      </c>
      <c r="P163" s="2">
        <f t="shared" si="15"/>
        <v>2.4849461453651092</v>
      </c>
      <c r="Q163" s="3">
        <f t="shared" si="16"/>
        <v>0.20121160409556313</v>
      </c>
    </row>
    <row r="164" spans="1:17" hidden="1" x14ac:dyDescent="0.25">
      <c r="A164" t="s">
        <v>214</v>
      </c>
      <c r="B164" t="s">
        <v>49</v>
      </c>
      <c r="C164" t="s">
        <v>57</v>
      </c>
      <c r="D164" t="str">
        <f t="shared" si="12"/>
        <v>MN</v>
      </c>
      <c r="E164" t="str">
        <f t="shared" si="13"/>
        <v>Midwest</v>
      </c>
      <c r="F164" t="s">
        <v>32</v>
      </c>
      <c r="G164" s="1">
        <v>45052</v>
      </c>
      <c r="H164" s="1">
        <v>45057</v>
      </c>
      <c r="I164" s="1">
        <f t="shared" si="17"/>
        <v>45057</v>
      </c>
      <c r="J164" s="2">
        <v>20.2</v>
      </c>
      <c r="K164" s="2">
        <v>309.57</v>
      </c>
      <c r="L164" t="s">
        <v>15</v>
      </c>
      <c r="M164" s="2">
        <v>1964</v>
      </c>
      <c r="N164" s="2">
        <v>5</v>
      </c>
      <c r="O164" s="2">
        <f t="shared" si="14"/>
        <v>392.8</v>
      </c>
      <c r="P164" s="2">
        <f t="shared" si="15"/>
        <v>1.2688568013696417</v>
      </c>
      <c r="Q164" s="3">
        <f t="shared" si="16"/>
        <v>0.15762219959266802</v>
      </c>
    </row>
    <row r="165" spans="1:17" hidden="1" x14ac:dyDescent="0.25">
      <c r="A165" t="s">
        <v>215</v>
      </c>
      <c r="B165" t="s">
        <v>20</v>
      </c>
      <c r="C165" t="s">
        <v>54</v>
      </c>
      <c r="D165" t="str">
        <f t="shared" si="12"/>
        <v>FL</v>
      </c>
      <c r="E165" t="str">
        <f t="shared" si="13"/>
        <v>Southeast</v>
      </c>
      <c r="F165" t="s">
        <v>14</v>
      </c>
      <c r="G165" s="1">
        <v>45161</v>
      </c>
      <c r="H165" s="1">
        <v>45163</v>
      </c>
      <c r="I165" s="1">
        <f t="shared" si="17"/>
        <v>45163</v>
      </c>
      <c r="J165" s="2">
        <v>5.7</v>
      </c>
      <c r="K165" s="2">
        <v>24.11</v>
      </c>
      <c r="L165" t="s">
        <v>15</v>
      </c>
      <c r="M165" s="2">
        <v>143</v>
      </c>
      <c r="N165" s="2">
        <v>2</v>
      </c>
      <c r="O165" s="2">
        <f t="shared" si="14"/>
        <v>71.5</v>
      </c>
      <c r="P165" s="2">
        <f t="shared" si="15"/>
        <v>2.9655744504355042</v>
      </c>
      <c r="Q165" s="3">
        <f t="shared" si="16"/>
        <v>0.16860139860139861</v>
      </c>
    </row>
    <row r="166" spans="1:17" hidden="1" x14ac:dyDescent="0.25">
      <c r="A166" t="s">
        <v>216</v>
      </c>
      <c r="B166" t="s">
        <v>35</v>
      </c>
      <c r="C166" t="s">
        <v>21</v>
      </c>
      <c r="D166" t="str">
        <f t="shared" si="12"/>
        <v>TX</v>
      </c>
      <c r="E166" t="str">
        <f t="shared" si="13"/>
        <v>Southwest</v>
      </c>
      <c r="F166" t="s">
        <v>37</v>
      </c>
      <c r="G166" s="1">
        <v>45132</v>
      </c>
      <c r="H166" s="1">
        <v>45136</v>
      </c>
      <c r="I166" s="1">
        <f t="shared" si="17"/>
        <v>45136</v>
      </c>
      <c r="J166" s="2">
        <v>7.5</v>
      </c>
      <c r="K166" s="2">
        <v>157.13</v>
      </c>
      <c r="L166" t="s">
        <v>15</v>
      </c>
      <c r="M166" s="2">
        <v>1262</v>
      </c>
      <c r="N166" s="2">
        <v>4</v>
      </c>
      <c r="O166" s="2">
        <f t="shared" si="14"/>
        <v>315.5</v>
      </c>
      <c r="P166" s="2">
        <f t="shared" si="15"/>
        <v>2.0078915547635718</v>
      </c>
      <c r="Q166" s="3">
        <f t="shared" si="16"/>
        <v>0.12450871632329635</v>
      </c>
    </row>
    <row r="167" spans="1:17" hidden="1" x14ac:dyDescent="0.25">
      <c r="A167" t="s">
        <v>217</v>
      </c>
      <c r="B167" t="s">
        <v>56</v>
      </c>
      <c r="C167" t="s">
        <v>52</v>
      </c>
      <c r="D167" t="str">
        <f t="shared" si="12"/>
        <v>AZ</v>
      </c>
      <c r="E167" t="str">
        <f t="shared" si="13"/>
        <v>Southwest</v>
      </c>
      <c r="F167" t="s">
        <v>32</v>
      </c>
      <c r="G167" s="1">
        <v>45170</v>
      </c>
      <c r="H167" s="1">
        <v>45175</v>
      </c>
      <c r="I167" s="1">
        <f t="shared" si="17"/>
        <v>45175</v>
      </c>
      <c r="J167" s="2">
        <v>84.2</v>
      </c>
      <c r="K167" s="2">
        <v>414.53</v>
      </c>
      <c r="L167" t="s">
        <v>15</v>
      </c>
      <c r="M167" s="2">
        <v>2302</v>
      </c>
      <c r="N167" s="2">
        <v>5</v>
      </c>
      <c r="O167" s="2">
        <f t="shared" si="14"/>
        <v>460.4</v>
      </c>
      <c r="P167" s="2">
        <f t="shared" si="15"/>
        <v>1.1106554411019709</v>
      </c>
      <c r="Q167" s="3">
        <f t="shared" si="16"/>
        <v>0.18007384882710686</v>
      </c>
    </row>
    <row r="168" spans="1:17" hidden="1" x14ac:dyDescent="0.25">
      <c r="A168" t="s">
        <v>218</v>
      </c>
      <c r="B168" t="s">
        <v>12</v>
      </c>
      <c r="C168" t="s">
        <v>17</v>
      </c>
      <c r="D168" t="str">
        <f t="shared" si="12"/>
        <v>GA</v>
      </c>
      <c r="E168" t="str">
        <f t="shared" si="13"/>
        <v>Southeast</v>
      </c>
      <c r="F168" t="s">
        <v>59</v>
      </c>
      <c r="G168" s="1">
        <v>45194</v>
      </c>
      <c r="H168" s="1">
        <v>45197</v>
      </c>
      <c r="I168" s="1">
        <f t="shared" si="17"/>
        <v>45197</v>
      </c>
      <c r="J168" s="2">
        <v>18.2</v>
      </c>
      <c r="K168" s="2">
        <v>103.05</v>
      </c>
      <c r="L168" t="s">
        <v>15</v>
      </c>
      <c r="M168" s="2">
        <v>679</v>
      </c>
      <c r="N168" s="2">
        <v>3</v>
      </c>
      <c r="O168" s="2">
        <f t="shared" si="14"/>
        <v>226.33333333333334</v>
      </c>
      <c r="P168" s="2">
        <f t="shared" si="15"/>
        <v>2.1963448164321528</v>
      </c>
      <c r="Q168" s="3">
        <f t="shared" si="16"/>
        <v>0.15176730486008835</v>
      </c>
    </row>
    <row r="169" spans="1:17" hidden="1" x14ac:dyDescent="0.25">
      <c r="A169" t="s">
        <v>219</v>
      </c>
      <c r="B169" t="s">
        <v>20</v>
      </c>
      <c r="C169" t="s">
        <v>44</v>
      </c>
      <c r="D169" t="str">
        <f t="shared" si="12"/>
        <v>IL</v>
      </c>
      <c r="E169" t="str">
        <f t="shared" si="13"/>
        <v>Midwest</v>
      </c>
      <c r="F169" t="s">
        <v>37</v>
      </c>
      <c r="G169" s="1">
        <v>45184</v>
      </c>
      <c r="H169" s="1">
        <v>45186</v>
      </c>
      <c r="I169" s="1">
        <f t="shared" si="17"/>
        <v>45186</v>
      </c>
      <c r="J169" s="2">
        <v>12.9</v>
      </c>
      <c r="K169" s="2">
        <v>114.88</v>
      </c>
      <c r="L169" t="s">
        <v>15</v>
      </c>
      <c r="M169" s="2">
        <v>755</v>
      </c>
      <c r="N169" s="2">
        <v>2</v>
      </c>
      <c r="O169" s="2">
        <f t="shared" si="14"/>
        <v>377.5</v>
      </c>
      <c r="P169" s="2">
        <f t="shared" si="15"/>
        <v>3.2860376044568245</v>
      </c>
      <c r="Q169" s="3">
        <f t="shared" si="16"/>
        <v>0.15215894039735098</v>
      </c>
    </row>
    <row r="170" spans="1:17" hidden="1" x14ac:dyDescent="0.25">
      <c r="A170" t="s">
        <v>220</v>
      </c>
      <c r="B170" t="s">
        <v>49</v>
      </c>
      <c r="C170" t="s">
        <v>31</v>
      </c>
      <c r="D170" t="str">
        <f t="shared" si="12"/>
        <v>NY</v>
      </c>
      <c r="E170" t="str">
        <f t="shared" si="13"/>
        <v>Northeast</v>
      </c>
      <c r="F170" t="s">
        <v>37</v>
      </c>
      <c r="G170" s="1">
        <v>45039</v>
      </c>
      <c r="H170" s="1">
        <v>45047</v>
      </c>
      <c r="I170" s="1">
        <f t="shared" si="17"/>
        <v>45047</v>
      </c>
      <c r="J170" s="2">
        <v>35.1</v>
      </c>
      <c r="K170" s="2">
        <v>272.06</v>
      </c>
      <c r="L170" t="s">
        <v>15</v>
      </c>
      <c r="M170" s="2">
        <v>2056</v>
      </c>
      <c r="N170" s="2">
        <v>8</v>
      </c>
      <c r="O170" s="2">
        <f t="shared" si="14"/>
        <v>257</v>
      </c>
      <c r="P170" s="2">
        <f t="shared" si="15"/>
        <v>0.94464456369918404</v>
      </c>
      <c r="Q170" s="3">
        <f t="shared" si="16"/>
        <v>0.1323249027237354</v>
      </c>
    </row>
    <row r="171" spans="1:17" hidden="1" x14ac:dyDescent="0.25">
      <c r="A171" t="s">
        <v>221</v>
      </c>
      <c r="B171" t="s">
        <v>12</v>
      </c>
      <c r="C171" t="s">
        <v>40</v>
      </c>
      <c r="D171" t="str">
        <f t="shared" si="12"/>
        <v>MI</v>
      </c>
      <c r="E171" t="str">
        <f t="shared" si="13"/>
        <v>Midwest</v>
      </c>
      <c r="F171" t="s">
        <v>14</v>
      </c>
      <c r="G171" s="1">
        <v>45135</v>
      </c>
      <c r="H171" s="1">
        <v>45139</v>
      </c>
      <c r="I171" s="1">
        <f t="shared" si="17"/>
        <v>45139</v>
      </c>
      <c r="J171" s="2">
        <v>6.6</v>
      </c>
      <c r="K171" s="2">
        <v>156.36000000000001</v>
      </c>
      <c r="L171" t="s">
        <v>62</v>
      </c>
      <c r="M171" s="2">
        <v>1222</v>
      </c>
      <c r="N171" s="2">
        <v>4</v>
      </c>
      <c r="O171" s="2">
        <f t="shared" si="14"/>
        <v>305.5</v>
      </c>
      <c r="P171" s="2">
        <f t="shared" si="15"/>
        <v>1.9538245075466869</v>
      </c>
      <c r="Q171" s="3">
        <f t="shared" si="16"/>
        <v>0.1279541734860884</v>
      </c>
    </row>
    <row r="172" spans="1:17" hidden="1" x14ac:dyDescent="0.25">
      <c r="A172" t="s">
        <v>222</v>
      </c>
      <c r="B172" t="s">
        <v>20</v>
      </c>
      <c r="C172" t="s">
        <v>21</v>
      </c>
      <c r="D172" t="str">
        <f t="shared" si="12"/>
        <v>TX</v>
      </c>
      <c r="E172" t="str">
        <f t="shared" si="13"/>
        <v>Southwest</v>
      </c>
      <c r="F172" t="s">
        <v>32</v>
      </c>
      <c r="G172" s="1">
        <v>44931</v>
      </c>
      <c r="H172" s="1">
        <v>44949</v>
      </c>
      <c r="I172" s="1">
        <f t="shared" si="17"/>
        <v>44949</v>
      </c>
      <c r="J172" s="2">
        <v>11.5</v>
      </c>
      <c r="K172" s="2">
        <v>244.22</v>
      </c>
      <c r="L172" t="s">
        <v>47</v>
      </c>
      <c r="M172" s="2">
        <v>1814</v>
      </c>
      <c r="N172" s="2">
        <v>8</v>
      </c>
      <c r="O172" s="2">
        <f t="shared" si="14"/>
        <v>226.75</v>
      </c>
      <c r="P172" s="2">
        <f t="shared" si="15"/>
        <v>0.92846613708950942</v>
      </c>
      <c r="Q172" s="3">
        <f t="shared" si="16"/>
        <v>0.13463065049614112</v>
      </c>
    </row>
    <row r="173" spans="1:17" hidden="1" x14ac:dyDescent="0.25">
      <c r="A173" t="s">
        <v>223</v>
      </c>
      <c r="B173" t="s">
        <v>12</v>
      </c>
      <c r="C173" t="s">
        <v>57</v>
      </c>
      <c r="D173" t="str">
        <f t="shared" si="12"/>
        <v>MN</v>
      </c>
      <c r="E173" t="str">
        <f t="shared" si="13"/>
        <v>Midwest</v>
      </c>
      <c r="F173" t="s">
        <v>59</v>
      </c>
      <c r="G173" s="1">
        <v>45126</v>
      </c>
      <c r="H173" s="1">
        <v>45132</v>
      </c>
      <c r="I173" s="1">
        <f t="shared" si="17"/>
        <v>45132</v>
      </c>
      <c r="J173" s="2">
        <v>11.6</v>
      </c>
      <c r="K173" s="2">
        <v>184.5</v>
      </c>
      <c r="L173" t="s">
        <v>15</v>
      </c>
      <c r="M173" s="2">
        <v>1454</v>
      </c>
      <c r="N173" s="2">
        <v>6</v>
      </c>
      <c r="O173" s="2">
        <f t="shared" si="14"/>
        <v>242.33333333333334</v>
      </c>
      <c r="P173" s="2">
        <f t="shared" si="15"/>
        <v>1.3134598012646794</v>
      </c>
      <c r="Q173" s="3">
        <f t="shared" si="16"/>
        <v>0.12689133425034388</v>
      </c>
    </row>
    <row r="174" spans="1:17" hidden="1" x14ac:dyDescent="0.25">
      <c r="A174" t="s">
        <v>224</v>
      </c>
      <c r="B174" t="s">
        <v>51</v>
      </c>
      <c r="C174" t="s">
        <v>54</v>
      </c>
      <c r="D174" t="str">
        <f t="shared" si="12"/>
        <v>FL</v>
      </c>
      <c r="E174" t="str">
        <f t="shared" si="13"/>
        <v>Southeast</v>
      </c>
      <c r="F174" t="s">
        <v>59</v>
      </c>
      <c r="G174" s="1">
        <v>45094</v>
      </c>
      <c r="H174" s="1">
        <v>45096</v>
      </c>
      <c r="I174" s="1">
        <f t="shared" si="17"/>
        <v>45096</v>
      </c>
      <c r="J174" s="2">
        <v>105</v>
      </c>
      <c r="K174" s="2">
        <v>180.26</v>
      </c>
      <c r="L174" t="s">
        <v>67</v>
      </c>
      <c r="M174" s="2">
        <v>543</v>
      </c>
      <c r="N174" s="2">
        <v>2</v>
      </c>
      <c r="O174" s="2">
        <f t="shared" si="14"/>
        <v>271.5</v>
      </c>
      <c r="P174" s="2">
        <f t="shared" si="15"/>
        <v>1.5061577721069568</v>
      </c>
      <c r="Q174" s="3">
        <f t="shared" si="16"/>
        <v>0.33197053406998156</v>
      </c>
    </row>
    <row r="175" spans="1:17" hidden="1" x14ac:dyDescent="0.25">
      <c r="A175" t="s">
        <v>225</v>
      </c>
      <c r="B175" t="s">
        <v>23</v>
      </c>
      <c r="C175" t="s">
        <v>17</v>
      </c>
      <c r="D175" t="str">
        <f t="shared" si="12"/>
        <v>GA</v>
      </c>
      <c r="E175" t="str">
        <f t="shared" si="13"/>
        <v>Southeast</v>
      </c>
      <c r="F175" t="s">
        <v>18</v>
      </c>
      <c r="G175" s="1">
        <v>45137</v>
      </c>
      <c r="H175" s="1">
        <v>45140</v>
      </c>
      <c r="I175" s="1">
        <f t="shared" si="17"/>
        <v>45140</v>
      </c>
      <c r="J175" s="2">
        <v>13.8</v>
      </c>
      <c r="K175" s="2">
        <v>167.23</v>
      </c>
      <c r="L175" t="s">
        <v>15</v>
      </c>
      <c r="M175" s="2">
        <v>1142</v>
      </c>
      <c r="N175" s="2">
        <v>3</v>
      </c>
      <c r="O175" s="2">
        <f t="shared" si="14"/>
        <v>380.66666666666669</v>
      </c>
      <c r="P175" s="2">
        <f t="shared" si="15"/>
        <v>2.2763060854312425</v>
      </c>
      <c r="Q175" s="3">
        <f t="shared" si="16"/>
        <v>0.14643607705779332</v>
      </c>
    </row>
    <row r="176" spans="1:17" x14ac:dyDescent="0.25">
      <c r="A176" t="s">
        <v>226</v>
      </c>
      <c r="B176" t="s">
        <v>12</v>
      </c>
      <c r="C176" t="s">
        <v>36</v>
      </c>
      <c r="D176" t="str">
        <f t="shared" si="12"/>
        <v>OR</v>
      </c>
      <c r="E176" t="str">
        <f t="shared" si="13"/>
        <v>West</v>
      </c>
      <c r="F176" t="s">
        <v>32</v>
      </c>
      <c r="G176" s="1">
        <v>45084</v>
      </c>
      <c r="H176" s="1">
        <v>45087</v>
      </c>
      <c r="I176" s="1">
        <f t="shared" si="17"/>
        <v>45087</v>
      </c>
      <c r="J176" s="2">
        <v>14.1</v>
      </c>
      <c r="K176" s="2">
        <v>137.25</v>
      </c>
      <c r="L176" t="s">
        <v>15</v>
      </c>
      <c r="M176" s="2">
        <v>810</v>
      </c>
      <c r="N176" s="2">
        <v>3</v>
      </c>
      <c r="O176" s="2">
        <f t="shared" si="14"/>
        <v>270</v>
      </c>
      <c r="P176" s="2">
        <f t="shared" si="15"/>
        <v>1.9672131147540983</v>
      </c>
      <c r="Q176" s="3">
        <f t="shared" si="16"/>
        <v>0.16944444444444445</v>
      </c>
    </row>
    <row r="177" spans="1:17" x14ac:dyDescent="0.25">
      <c r="A177" t="s">
        <v>227</v>
      </c>
      <c r="B177" t="s">
        <v>35</v>
      </c>
      <c r="C177" t="s">
        <v>36</v>
      </c>
      <c r="D177" t="str">
        <f t="shared" si="12"/>
        <v>OR</v>
      </c>
      <c r="E177" t="str">
        <f t="shared" si="13"/>
        <v>West</v>
      </c>
      <c r="F177" t="s">
        <v>37</v>
      </c>
      <c r="G177" s="1">
        <v>45152</v>
      </c>
      <c r="H177" s="1">
        <v>45165</v>
      </c>
      <c r="I177" s="1">
        <f t="shared" si="17"/>
        <v>45165</v>
      </c>
      <c r="J177" s="2">
        <v>30.3</v>
      </c>
      <c r="K177" s="2">
        <v>154.16</v>
      </c>
      <c r="L177" t="s">
        <v>47</v>
      </c>
      <c r="M177" s="2">
        <v>1081</v>
      </c>
      <c r="N177" s="2">
        <v>3</v>
      </c>
      <c r="O177" s="2">
        <f t="shared" si="14"/>
        <v>360.33333333333331</v>
      </c>
      <c r="P177" s="2">
        <f t="shared" si="15"/>
        <v>2.3373983739837398</v>
      </c>
      <c r="Q177" s="3">
        <f t="shared" si="16"/>
        <v>0.14260869565217391</v>
      </c>
    </row>
    <row r="178" spans="1:17" hidden="1" x14ac:dyDescent="0.25">
      <c r="A178" t="s">
        <v>228</v>
      </c>
      <c r="B178" t="s">
        <v>56</v>
      </c>
      <c r="C178" t="s">
        <v>52</v>
      </c>
      <c r="D178" t="str">
        <f t="shared" si="12"/>
        <v>AZ</v>
      </c>
      <c r="E178" t="str">
        <f t="shared" si="13"/>
        <v>Southwest</v>
      </c>
      <c r="F178" t="s">
        <v>37</v>
      </c>
      <c r="G178" s="1">
        <v>44947</v>
      </c>
      <c r="H178" s="1">
        <v>44948</v>
      </c>
      <c r="I178" s="1">
        <f t="shared" si="17"/>
        <v>44948</v>
      </c>
      <c r="J178" s="2">
        <v>19.399999999999999</v>
      </c>
      <c r="K178" s="2">
        <v>40.24</v>
      </c>
      <c r="L178" t="s">
        <v>15</v>
      </c>
      <c r="M178" s="2">
        <v>152</v>
      </c>
      <c r="N178" s="2">
        <v>1</v>
      </c>
      <c r="O178" s="2">
        <f t="shared" si="14"/>
        <v>152</v>
      </c>
      <c r="P178" s="2">
        <f t="shared" si="15"/>
        <v>3.7773359840954273</v>
      </c>
      <c r="Q178" s="3">
        <f t="shared" si="16"/>
        <v>0.26473684210526316</v>
      </c>
    </row>
    <row r="179" spans="1:17" hidden="1" x14ac:dyDescent="0.25">
      <c r="A179" t="s">
        <v>229</v>
      </c>
      <c r="B179" t="s">
        <v>51</v>
      </c>
      <c r="C179" t="s">
        <v>52</v>
      </c>
      <c r="D179" t="str">
        <f t="shared" si="12"/>
        <v>AZ</v>
      </c>
      <c r="E179" t="str">
        <f t="shared" si="13"/>
        <v>Southwest</v>
      </c>
      <c r="F179" t="s">
        <v>18</v>
      </c>
      <c r="G179" s="1">
        <v>45184</v>
      </c>
      <c r="H179" s="1">
        <v>45189</v>
      </c>
      <c r="I179" s="1">
        <f t="shared" si="17"/>
        <v>45189</v>
      </c>
      <c r="J179" s="2">
        <v>10</v>
      </c>
      <c r="K179" s="2">
        <v>156.13</v>
      </c>
      <c r="L179" t="s">
        <v>15</v>
      </c>
      <c r="M179" s="2">
        <v>1120</v>
      </c>
      <c r="N179" s="2">
        <v>5</v>
      </c>
      <c r="O179" s="2">
        <f t="shared" si="14"/>
        <v>224</v>
      </c>
      <c r="P179" s="2">
        <f t="shared" si="15"/>
        <v>1.4347018510215845</v>
      </c>
      <c r="Q179" s="3">
        <f t="shared" si="16"/>
        <v>0.13940178571428571</v>
      </c>
    </row>
    <row r="180" spans="1:17" x14ac:dyDescent="0.25">
      <c r="A180" t="s">
        <v>230</v>
      </c>
      <c r="B180" t="s">
        <v>49</v>
      </c>
      <c r="C180" t="s">
        <v>36</v>
      </c>
      <c r="D180" t="str">
        <f t="shared" si="12"/>
        <v>OR</v>
      </c>
      <c r="E180" t="str">
        <f t="shared" si="13"/>
        <v>West</v>
      </c>
      <c r="F180" t="s">
        <v>37</v>
      </c>
      <c r="G180" s="1">
        <v>44927</v>
      </c>
      <c r="H180" s="1">
        <v>44936</v>
      </c>
      <c r="I180" s="1">
        <f t="shared" si="17"/>
        <v>44936</v>
      </c>
      <c r="J180" s="2">
        <v>22.8</v>
      </c>
      <c r="K180" s="2">
        <v>319.99</v>
      </c>
      <c r="L180" t="s">
        <v>15</v>
      </c>
      <c r="M180" s="2">
        <v>2327</v>
      </c>
      <c r="N180" s="2">
        <v>9</v>
      </c>
      <c r="O180" s="2">
        <f t="shared" si="14"/>
        <v>258.55555555555554</v>
      </c>
      <c r="P180" s="2">
        <f t="shared" si="15"/>
        <v>0.80801136146615682</v>
      </c>
      <c r="Q180" s="3">
        <f t="shared" si="16"/>
        <v>0.13751181779114741</v>
      </c>
    </row>
    <row r="181" spans="1:17" hidden="1" x14ac:dyDescent="0.25">
      <c r="A181" t="s">
        <v>232</v>
      </c>
      <c r="B181" t="s">
        <v>27</v>
      </c>
      <c r="C181" t="s">
        <v>21</v>
      </c>
      <c r="D181" t="str">
        <f t="shared" si="12"/>
        <v>TX</v>
      </c>
      <c r="E181" t="str">
        <f t="shared" si="13"/>
        <v>Southwest</v>
      </c>
      <c r="F181" t="s">
        <v>37</v>
      </c>
      <c r="G181" s="1">
        <v>45255</v>
      </c>
      <c r="H181" s="1">
        <v>45260</v>
      </c>
      <c r="I181" s="1">
        <f t="shared" si="17"/>
        <v>45260</v>
      </c>
      <c r="J181" s="2">
        <v>17.5</v>
      </c>
      <c r="K181" s="2">
        <v>347.71</v>
      </c>
      <c r="L181" t="s">
        <v>15</v>
      </c>
      <c r="M181" s="2">
        <v>2380</v>
      </c>
      <c r="N181" s="2">
        <v>5</v>
      </c>
      <c r="O181" s="2">
        <f t="shared" si="14"/>
        <v>476</v>
      </c>
      <c r="P181" s="2">
        <f t="shared" si="15"/>
        <v>1.3689568893618247</v>
      </c>
      <c r="Q181" s="3">
        <f t="shared" si="16"/>
        <v>0.14609663865546219</v>
      </c>
    </row>
    <row r="182" spans="1:17" hidden="1" x14ac:dyDescent="0.25">
      <c r="A182" t="s">
        <v>233</v>
      </c>
      <c r="B182" t="s">
        <v>20</v>
      </c>
      <c r="C182" t="s">
        <v>57</v>
      </c>
      <c r="D182" t="str">
        <f t="shared" si="12"/>
        <v>MN</v>
      </c>
      <c r="E182" t="str">
        <f t="shared" si="13"/>
        <v>Midwest</v>
      </c>
      <c r="F182" t="s">
        <v>42</v>
      </c>
      <c r="G182" s="1">
        <v>45189</v>
      </c>
      <c r="H182" s="1">
        <v>45193</v>
      </c>
      <c r="I182" s="1">
        <f t="shared" si="17"/>
        <v>45193</v>
      </c>
      <c r="J182" s="2">
        <v>25.6</v>
      </c>
      <c r="K182" s="2">
        <v>108.01</v>
      </c>
      <c r="L182" t="s">
        <v>15</v>
      </c>
      <c r="M182" s="2">
        <v>694</v>
      </c>
      <c r="N182" s="2">
        <v>4</v>
      </c>
      <c r="O182" s="2">
        <f t="shared" si="14"/>
        <v>173.5</v>
      </c>
      <c r="P182" s="2">
        <f t="shared" si="15"/>
        <v>1.6063327469678732</v>
      </c>
      <c r="Q182" s="3">
        <f t="shared" si="16"/>
        <v>0.15563400576368877</v>
      </c>
    </row>
    <row r="183" spans="1:17" hidden="1" x14ac:dyDescent="0.25">
      <c r="A183" t="s">
        <v>234</v>
      </c>
      <c r="B183" t="s">
        <v>39</v>
      </c>
      <c r="C183" t="s">
        <v>31</v>
      </c>
      <c r="D183" t="str">
        <f t="shared" si="12"/>
        <v>NY</v>
      </c>
      <c r="E183" t="str">
        <f t="shared" si="13"/>
        <v>Northeast</v>
      </c>
      <c r="F183" t="s">
        <v>32</v>
      </c>
      <c r="G183" s="1">
        <v>45111</v>
      </c>
      <c r="H183" s="1">
        <v>45115</v>
      </c>
      <c r="I183" s="1">
        <f t="shared" si="17"/>
        <v>45115</v>
      </c>
      <c r="J183" s="2">
        <v>19.600000000000001</v>
      </c>
      <c r="K183" s="2">
        <v>261.42</v>
      </c>
      <c r="L183" t="s">
        <v>15</v>
      </c>
      <c r="M183" s="2">
        <v>1791</v>
      </c>
      <c r="N183" s="2">
        <v>4</v>
      </c>
      <c r="O183" s="2">
        <f t="shared" si="14"/>
        <v>447.75</v>
      </c>
      <c r="P183" s="2">
        <f t="shared" si="15"/>
        <v>1.7127610741335781</v>
      </c>
      <c r="Q183" s="3">
        <f t="shared" si="16"/>
        <v>0.14596314907872698</v>
      </c>
    </row>
    <row r="184" spans="1:17" hidden="1" x14ac:dyDescent="0.25">
      <c r="A184" t="s">
        <v>235</v>
      </c>
      <c r="B184" t="s">
        <v>20</v>
      </c>
      <c r="C184" t="s">
        <v>31</v>
      </c>
      <c r="D184" t="str">
        <f t="shared" si="12"/>
        <v>NY</v>
      </c>
      <c r="E184" t="str">
        <f t="shared" si="13"/>
        <v>Northeast</v>
      </c>
      <c r="F184" t="s">
        <v>25</v>
      </c>
      <c r="G184" s="1">
        <v>45046</v>
      </c>
      <c r="H184" s="1">
        <v>45048</v>
      </c>
      <c r="I184" s="1">
        <f t="shared" si="17"/>
        <v>45048</v>
      </c>
      <c r="J184" s="2">
        <v>15.7</v>
      </c>
      <c r="K184" s="2">
        <v>67.25</v>
      </c>
      <c r="L184" t="s">
        <v>15</v>
      </c>
      <c r="M184" s="2">
        <v>411</v>
      </c>
      <c r="N184" s="2">
        <v>2</v>
      </c>
      <c r="O184" s="2">
        <f t="shared" si="14"/>
        <v>205.5</v>
      </c>
      <c r="P184" s="2">
        <f t="shared" si="15"/>
        <v>3.0557620817843865</v>
      </c>
      <c r="Q184" s="3">
        <f t="shared" si="16"/>
        <v>0.16362530413625304</v>
      </c>
    </row>
    <row r="185" spans="1:17" x14ac:dyDescent="0.25">
      <c r="A185" t="s">
        <v>236</v>
      </c>
      <c r="B185" t="s">
        <v>49</v>
      </c>
      <c r="C185" t="s">
        <v>13</v>
      </c>
      <c r="D185" t="str">
        <f t="shared" si="12"/>
        <v>CA</v>
      </c>
      <c r="E185" t="str">
        <f t="shared" si="13"/>
        <v>West</v>
      </c>
      <c r="F185" t="s">
        <v>25</v>
      </c>
      <c r="G185" s="1">
        <v>45280</v>
      </c>
      <c r="H185" s="1">
        <v>45286</v>
      </c>
      <c r="I185" s="1">
        <f t="shared" si="17"/>
        <v>45286</v>
      </c>
      <c r="J185" s="2">
        <v>7.5</v>
      </c>
      <c r="K185" s="2">
        <v>158.02000000000001</v>
      </c>
      <c r="L185" t="s">
        <v>15</v>
      </c>
      <c r="M185" s="2">
        <v>1073</v>
      </c>
      <c r="N185" s="2">
        <v>6</v>
      </c>
      <c r="O185" s="2">
        <f t="shared" si="14"/>
        <v>178.83333333333334</v>
      </c>
      <c r="P185" s="2">
        <f t="shared" si="15"/>
        <v>1.1317132852381555</v>
      </c>
      <c r="Q185" s="3">
        <f t="shared" si="16"/>
        <v>0.14726933830382108</v>
      </c>
    </row>
    <row r="186" spans="1:17" hidden="1" x14ac:dyDescent="0.25">
      <c r="A186" t="s">
        <v>237</v>
      </c>
      <c r="B186" t="s">
        <v>12</v>
      </c>
      <c r="C186" t="s">
        <v>57</v>
      </c>
      <c r="D186" t="str">
        <f t="shared" si="12"/>
        <v>MN</v>
      </c>
      <c r="E186" t="str">
        <f t="shared" si="13"/>
        <v>Midwest</v>
      </c>
      <c r="F186" t="s">
        <v>32</v>
      </c>
      <c r="G186" s="1">
        <v>45136</v>
      </c>
      <c r="H186" s="1">
        <v>45140</v>
      </c>
      <c r="I186" s="1">
        <f t="shared" si="17"/>
        <v>45140</v>
      </c>
      <c r="J186" s="2">
        <v>23.5</v>
      </c>
      <c r="K186" s="2">
        <v>261.49</v>
      </c>
      <c r="L186" t="s">
        <v>15</v>
      </c>
      <c r="M186" s="2">
        <v>1634</v>
      </c>
      <c r="N186" s="2">
        <v>4</v>
      </c>
      <c r="O186" s="2">
        <f t="shared" si="14"/>
        <v>408.5</v>
      </c>
      <c r="P186" s="2">
        <f t="shared" si="15"/>
        <v>1.5622012314046425</v>
      </c>
      <c r="Q186" s="3">
        <f t="shared" si="16"/>
        <v>0.16003059975520195</v>
      </c>
    </row>
    <row r="187" spans="1:17" x14ac:dyDescent="0.25">
      <c r="A187" t="s">
        <v>238</v>
      </c>
      <c r="B187" t="s">
        <v>23</v>
      </c>
      <c r="C187" t="s">
        <v>13</v>
      </c>
      <c r="D187" t="str">
        <f t="shared" si="12"/>
        <v>CA</v>
      </c>
      <c r="E187" t="str">
        <f t="shared" si="13"/>
        <v>West</v>
      </c>
      <c r="F187" t="s">
        <v>59</v>
      </c>
      <c r="G187" s="1">
        <v>44976</v>
      </c>
      <c r="H187" s="1">
        <v>44982</v>
      </c>
      <c r="I187" s="1">
        <f t="shared" si="17"/>
        <v>44982</v>
      </c>
      <c r="J187" s="2">
        <v>4.5</v>
      </c>
      <c r="K187" s="2">
        <v>277.56</v>
      </c>
      <c r="L187" t="s">
        <v>15</v>
      </c>
      <c r="M187" s="2">
        <v>2411</v>
      </c>
      <c r="N187" s="2">
        <v>6</v>
      </c>
      <c r="O187" s="2">
        <f t="shared" si="14"/>
        <v>401.83333333333331</v>
      </c>
      <c r="P187" s="2">
        <f t="shared" si="15"/>
        <v>1.447735024259019</v>
      </c>
      <c r="Q187" s="3">
        <f t="shared" si="16"/>
        <v>0.11512235586893406</v>
      </c>
    </row>
    <row r="188" spans="1:17" hidden="1" x14ac:dyDescent="0.25">
      <c r="A188" t="s">
        <v>240</v>
      </c>
      <c r="B188" t="s">
        <v>49</v>
      </c>
      <c r="C188" t="s">
        <v>40</v>
      </c>
      <c r="D188" t="str">
        <f t="shared" si="12"/>
        <v>MI</v>
      </c>
      <c r="E188" t="str">
        <f t="shared" si="13"/>
        <v>Midwest</v>
      </c>
      <c r="F188" t="s">
        <v>32</v>
      </c>
      <c r="G188" s="1">
        <v>45270</v>
      </c>
      <c r="H188" s="1">
        <v>45275</v>
      </c>
      <c r="I188" s="1">
        <f t="shared" si="17"/>
        <v>45275</v>
      </c>
      <c r="J188" s="2">
        <v>26.5</v>
      </c>
      <c r="K188" s="2">
        <v>345.27</v>
      </c>
      <c r="L188" t="s">
        <v>15</v>
      </c>
      <c r="M188" s="2">
        <v>2052</v>
      </c>
      <c r="N188" s="2">
        <v>5</v>
      </c>
      <c r="O188" s="2">
        <f t="shared" si="14"/>
        <v>410.4</v>
      </c>
      <c r="P188" s="2">
        <f t="shared" si="15"/>
        <v>1.1886349813189678</v>
      </c>
      <c r="Q188" s="3">
        <f t="shared" si="16"/>
        <v>0.16826023391812864</v>
      </c>
    </row>
    <row r="189" spans="1:17" hidden="1" x14ac:dyDescent="0.25">
      <c r="A189" t="s">
        <v>241</v>
      </c>
      <c r="B189" t="s">
        <v>51</v>
      </c>
      <c r="C189" t="s">
        <v>28</v>
      </c>
      <c r="D189" t="str">
        <f t="shared" ref="D189:D251" si="18">IF(C189="Atlanta","GA",
IF(C189="Boston","MA",
IF(C189="Chicago","IL",
IF(C189="Dallas","TX",
IF(C189="Denver","CO",
IF(C189="Detroit","MI",
IF(C189="Houston","TX",
IF(C189="Los Angeles","CA",
IF(C189="Miami","FL",
IF(C189="Minneapolis","MN",
IF(C189="New York","NY",
IF(C189="Phoenix","AZ",
IF(C189="Portland","OR",
IF(C189="San Francisco","CA",
IF(C189="Seattle","WA","Unknown")))))))))))))))</f>
        <v>TX</v>
      </c>
      <c r="E189" t="str">
        <f t="shared" ref="E189:E251" si="19">IF(OR(D189="NY",D189="NJ",D189="PA",D189="MA",D189="CT",D189="RI",D189="VT",D189="NH",D189="ME"),"Northeast",
IF(OR(D189="FL",D189="GA",D189="AL",D189="MS",D189="SC",D189="NC",D189="TN",D189="KY"),"Southeast",
IF(OR(D189="IL",D189="IN",D189="OH",D189="MI",D189="WI",D189="MN",D189="IA",D189="MO",D189="KS",D189="NE",D189="ND",D189="SD"),"Midwest",
IF(OR(D189="TX",D189="OK",D189="NM",D189="AZ"),"Southwest",
IF(OR(D189="CA",D189="OR",D189="WA",D189="NV",D189="CO",D189="UT",D189="ID",D189="MT",D189="WY",D189="AK",D189="HI"),"West","Other")))))</f>
        <v>Southwest</v>
      </c>
      <c r="F189" t="s">
        <v>42</v>
      </c>
      <c r="G189" s="1">
        <v>45236</v>
      </c>
      <c r="H189" s="1">
        <v>45244</v>
      </c>
      <c r="I189" s="1">
        <f t="shared" si="17"/>
        <v>45244</v>
      </c>
      <c r="J189" s="2">
        <v>12.8</v>
      </c>
      <c r="K189" s="2">
        <v>378.16</v>
      </c>
      <c r="L189" t="s">
        <v>15</v>
      </c>
      <c r="M189" s="2">
        <v>2465</v>
      </c>
      <c r="N189" s="2">
        <v>8</v>
      </c>
      <c r="O189" s="2">
        <f t="shared" ref="O189:O251" si="20">M189/N189</f>
        <v>308.125</v>
      </c>
      <c r="P189" s="2">
        <f t="shared" ref="P189:P251" si="21">O189/K189</f>
        <v>0.81480061349693245</v>
      </c>
      <c r="Q189" s="3">
        <f t="shared" ref="Q189:Q251" si="22">K189/M189</f>
        <v>0.15341176470588236</v>
      </c>
    </row>
    <row r="190" spans="1:17" hidden="1" x14ac:dyDescent="0.25">
      <c r="A190" t="s">
        <v>242</v>
      </c>
      <c r="B190" t="s">
        <v>20</v>
      </c>
      <c r="C190" t="s">
        <v>44</v>
      </c>
      <c r="D190" t="str">
        <f t="shared" si="18"/>
        <v>IL</v>
      </c>
      <c r="E190" t="str">
        <f t="shared" si="19"/>
        <v>Midwest</v>
      </c>
      <c r="F190" t="s">
        <v>18</v>
      </c>
      <c r="G190" s="1">
        <v>44976</v>
      </c>
      <c r="H190" s="1">
        <v>44981</v>
      </c>
      <c r="I190" s="1">
        <f t="shared" si="17"/>
        <v>44981</v>
      </c>
      <c r="J190" s="2">
        <v>29.3</v>
      </c>
      <c r="K190" s="2">
        <v>206.8</v>
      </c>
      <c r="L190" t="s">
        <v>15</v>
      </c>
      <c r="M190" s="2">
        <v>1213</v>
      </c>
      <c r="N190" s="2">
        <v>5</v>
      </c>
      <c r="O190" s="2">
        <f t="shared" si="20"/>
        <v>242.6</v>
      </c>
      <c r="P190" s="2">
        <f t="shared" si="21"/>
        <v>1.1731141199226305</v>
      </c>
      <c r="Q190" s="3">
        <f t="shared" si="22"/>
        <v>0.17048639736191262</v>
      </c>
    </row>
    <row r="191" spans="1:17" hidden="1" x14ac:dyDescent="0.25">
      <c r="A191" t="s">
        <v>243</v>
      </c>
      <c r="B191" t="s">
        <v>20</v>
      </c>
      <c r="C191" t="s">
        <v>21</v>
      </c>
      <c r="D191" t="str">
        <f t="shared" si="18"/>
        <v>TX</v>
      </c>
      <c r="E191" t="str">
        <f t="shared" si="19"/>
        <v>Southwest</v>
      </c>
      <c r="F191" t="s">
        <v>42</v>
      </c>
      <c r="G191" s="1">
        <v>45060</v>
      </c>
      <c r="H191" s="1">
        <v>45064</v>
      </c>
      <c r="I191" s="1">
        <f t="shared" si="17"/>
        <v>45064</v>
      </c>
      <c r="J191" s="2">
        <v>15.5</v>
      </c>
      <c r="K191" s="2">
        <v>174.55</v>
      </c>
      <c r="L191" t="s">
        <v>15</v>
      </c>
      <c r="M191" s="2">
        <v>1247</v>
      </c>
      <c r="N191" s="2">
        <v>4</v>
      </c>
      <c r="O191" s="2">
        <f t="shared" si="20"/>
        <v>311.75</v>
      </c>
      <c r="P191" s="2">
        <f t="shared" si="21"/>
        <v>1.7860211973646518</v>
      </c>
      <c r="Q191" s="3">
        <f t="shared" si="22"/>
        <v>0.13997594226142743</v>
      </c>
    </row>
    <row r="192" spans="1:17" hidden="1" x14ac:dyDescent="0.25">
      <c r="A192" t="s">
        <v>244</v>
      </c>
      <c r="B192" t="s">
        <v>27</v>
      </c>
      <c r="C192" t="s">
        <v>31</v>
      </c>
      <c r="D192" t="str">
        <f t="shared" si="18"/>
        <v>NY</v>
      </c>
      <c r="E192" t="str">
        <f t="shared" si="19"/>
        <v>Northeast</v>
      </c>
      <c r="F192" t="s">
        <v>25</v>
      </c>
      <c r="G192" s="1">
        <v>45215</v>
      </c>
      <c r="H192" s="1">
        <v>45221</v>
      </c>
      <c r="I192" s="1">
        <f t="shared" si="17"/>
        <v>45221</v>
      </c>
      <c r="J192" s="2">
        <v>19</v>
      </c>
      <c r="K192" s="2">
        <v>321.04000000000002</v>
      </c>
      <c r="L192" t="s">
        <v>60</v>
      </c>
      <c r="M192" s="2">
        <v>2278</v>
      </c>
      <c r="N192" s="2">
        <v>6</v>
      </c>
      <c r="O192" s="2">
        <f t="shared" si="20"/>
        <v>379.66666666666669</v>
      </c>
      <c r="P192" s="2">
        <f t="shared" si="21"/>
        <v>1.1826148351191959</v>
      </c>
      <c r="Q192" s="3">
        <f t="shared" si="22"/>
        <v>0.14093064091308166</v>
      </c>
    </row>
    <row r="193" spans="1:17" x14ac:dyDescent="0.25">
      <c r="A193" t="s">
        <v>245</v>
      </c>
      <c r="B193" t="s">
        <v>23</v>
      </c>
      <c r="C193" t="s">
        <v>13</v>
      </c>
      <c r="D193" t="str">
        <f t="shared" si="18"/>
        <v>CA</v>
      </c>
      <c r="E193" t="str">
        <f t="shared" si="19"/>
        <v>West</v>
      </c>
      <c r="F193" t="s">
        <v>59</v>
      </c>
      <c r="G193" s="1">
        <v>45076</v>
      </c>
      <c r="H193" s="1">
        <v>45084</v>
      </c>
      <c r="I193" s="1">
        <f t="shared" si="17"/>
        <v>45084</v>
      </c>
      <c r="J193" s="2">
        <v>15.3</v>
      </c>
      <c r="K193" s="2">
        <v>300.44</v>
      </c>
      <c r="L193" t="s">
        <v>47</v>
      </c>
      <c r="M193" s="2">
        <v>2406</v>
      </c>
      <c r="N193" s="2">
        <v>7</v>
      </c>
      <c r="O193" s="2">
        <f t="shared" si="20"/>
        <v>343.71428571428572</v>
      </c>
      <c r="P193" s="2">
        <f t="shared" si="21"/>
        <v>1.1440363657112427</v>
      </c>
      <c r="Q193" s="3">
        <f t="shared" si="22"/>
        <v>0.12487115544472153</v>
      </c>
    </row>
    <row r="194" spans="1:17" x14ac:dyDescent="0.25">
      <c r="A194" t="s">
        <v>246</v>
      </c>
      <c r="B194" t="s">
        <v>23</v>
      </c>
      <c r="C194" t="s">
        <v>81</v>
      </c>
      <c r="D194" t="str">
        <f t="shared" si="18"/>
        <v>CO</v>
      </c>
      <c r="E194" t="str">
        <f t="shared" si="19"/>
        <v>West</v>
      </c>
      <c r="F194" t="s">
        <v>14</v>
      </c>
      <c r="G194" s="1">
        <v>45122</v>
      </c>
      <c r="H194" s="1">
        <v>45126</v>
      </c>
      <c r="I194" s="1">
        <f t="shared" ref="I194:I257" si="23">IF(H194="", G194 + N194, H194)</f>
        <v>45126</v>
      </c>
      <c r="J194" s="2">
        <v>4.2</v>
      </c>
      <c r="K194" s="2">
        <v>208.73</v>
      </c>
      <c r="L194" t="s">
        <v>15</v>
      </c>
      <c r="M194" s="2">
        <v>1596</v>
      </c>
      <c r="N194" s="2">
        <v>4</v>
      </c>
      <c r="O194" s="2">
        <f t="shared" si="20"/>
        <v>399</v>
      </c>
      <c r="P194" s="2">
        <f t="shared" si="21"/>
        <v>1.9115603890193074</v>
      </c>
      <c r="Q194" s="3">
        <f t="shared" si="22"/>
        <v>0.13078320802005011</v>
      </c>
    </row>
    <row r="195" spans="1:17" x14ac:dyDescent="0.25">
      <c r="A195" t="s">
        <v>247</v>
      </c>
      <c r="B195" t="s">
        <v>39</v>
      </c>
      <c r="C195" t="s">
        <v>13</v>
      </c>
      <c r="D195" t="str">
        <f t="shared" si="18"/>
        <v>CA</v>
      </c>
      <c r="E195" t="str">
        <f t="shared" si="19"/>
        <v>West</v>
      </c>
      <c r="F195" t="s">
        <v>25</v>
      </c>
      <c r="G195" s="1">
        <v>44957</v>
      </c>
      <c r="H195" s="1">
        <v>44960</v>
      </c>
      <c r="I195" s="1">
        <f t="shared" si="23"/>
        <v>44960</v>
      </c>
      <c r="J195" s="2">
        <v>20.100000000000001</v>
      </c>
      <c r="K195" s="2">
        <v>169.98</v>
      </c>
      <c r="L195" t="s">
        <v>15</v>
      </c>
      <c r="M195" s="2">
        <v>1108</v>
      </c>
      <c r="N195" s="2">
        <v>3</v>
      </c>
      <c r="O195" s="2">
        <f t="shared" si="20"/>
        <v>369.33333333333331</v>
      </c>
      <c r="P195" s="2">
        <f t="shared" si="21"/>
        <v>2.1728046436835706</v>
      </c>
      <c r="Q195" s="3">
        <f t="shared" si="22"/>
        <v>0.15341155234657039</v>
      </c>
    </row>
    <row r="196" spans="1:17" x14ac:dyDescent="0.25">
      <c r="A196" t="s">
        <v>248</v>
      </c>
      <c r="B196" t="s">
        <v>20</v>
      </c>
      <c r="C196" t="s">
        <v>36</v>
      </c>
      <c r="D196" t="str">
        <f t="shared" si="18"/>
        <v>OR</v>
      </c>
      <c r="E196" t="str">
        <f t="shared" si="19"/>
        <v>West</v>
      </c>
      <c r="F196" t="s">
        <v>42</v>
      </c>
      <c r="G196" s="1">
        <v>45288</v>
      </c>
      <c r="H196" s="1">
        <v>45294</v>
      </c>
      <c r="I196" s="1">
        <f t="shared" si="23"/>
        <v>45294</v>
      </c>
      <c r="J196" s="2">
        <v>9.6</v>
      </c>
      <c r="K196" s="2">
        <v>195.3</v>
      </c>
      <c r="L196" t="s">
        <v>15</v>
      </c>
      <c r="M196" s="2">
        <v>1380</v>
      </c>
      <c r="N196" s="2">
        <v>6</v>
      </c>
      <c r="O196" s="2">
        <f t="shared" si="20"/>
        <v>230</v>
      </c>
      <c r="P196" s="2">
        <f t="shared" si="21"/>
        <v>1.1776753712237582</v>
      </c>
      <c r="Q196" s="3">
        <f t="shared" si="22"/>
        <v>0.14152173913043478</v>
      </c>
    </row>
    <row r="197" spans="1:17" hidden="1" x14ac:dyDescent="0.25">
      <c r="A197" t="s">
        <v>249</v>
      </c>
      <c r="B197" t="s">
        <v>56</v>
      </c>
      <c r="C197" t="s">
        <v>28</v>
      </c>
      <c r="D197" t="str">
        <f t="shared" si="18"/>
        <v>TX</v>
      </c>
      <c r="E197" t="str">
        <f t="shared" si="19"/>
        <v>Southwest</v>
      </c>
      <c r="F197" t="s">
        <v>14</v>
      </c>
      <c r="G197" s="1">
        <v>45013</v>
      </c>
      <c r="H197" s="1">
        <v>45018</v>
      </c>
      <c r="I197" s="1">
        <f t="shared" si="23"/>
        <v>45018</v>
      </c>
      <c r="J197" s="2">
        <v>5.3</v>
      </c>
      <c r="K197" s="2">
        <v>197.9</v>
      </c>
      <c r="L197" t="s">
        <v>15</v>
      </c>
      <c r="M197" s="2">
        <v>1605</v>
      </c>
      <c r="N197" s="2">
        <v>5</v>
      </c>
      <c r="O197" s="2">
        <f t="shared" si="20"/>
        <v>321</v>
      </c>
      <c r="P197" s="2">
        <f t="shared" si="21"/>
        <v>1.6220313289540171</v>
      </c>
      <c r="Q197" s="3">
        <f t="shared" si="22"/>
        <v>0.12330218068535825</v>
      </c>
    </row>
    <row r="198" spans="1:17" hidden="1" x14ac:dyDescent="0.25">
      <c r="A198" t="s">
        <v>250</v>
      </c>
      <c r="B198" t="s">
        <v>20</v>
      </c>
      <c r="C198" t="s">
        <v>17</v>
      </c>
      <c r="D198" t="str">
        <f t="shared" si="18"/>
        <v>GA</v>
      </c>
      <c r="E198" t="str">
        <f t="shared" si="19"/>
        <v>Southeast</v>
      </c>
      <c r="F198" t="s">
        <v>59</v>
      </c>
      <c r="G198" s="1">
        <v>45269</v>
      </c>
      <c r="H198" s="1">
        <v>45283</v>
      </c>
      <c r="I198" s="1">
        <f t="shared" si="23"/>
        <v>45283</v>
      </c>
      <c r="J198" s="2">
        <v>10.8</v>
      </c>
      <c r="K198" s="2">
        <v>232.88</v>
      </c>
      <c r="L198" t="s">
        <v>47</v>
      </c>
      <c r="M198" s="2">
        <v>1504</v>
      </c>
      <c r="N198" s="2">
        <v>4</v>
      </c>
      <c r="O198" s="2">
        <f t="shared" si="20"/>
        <v>376</v>
      </c>
      <c r="P198" s="2">
        <f t="shared" si="21"/>
        <v>1.6145654414290622</v>
      </c>
      <c r="Q198" s="3">
        <f t="shared" si="22"/>
        <v>0.15484042553191488</v>
      </c>
    </row>
    <row r="199" spans="1:17" hidden="1" x14ac:dyDescent="0.25">
      <c r="A199" t="s">
        <v>251</v>
      </c>
      <c r="B199" t="s">
        <v>27</v>
      </c>
      <c r="C199" t="s">
        <v>46</v>
      </c>
      <c r="D199" t="str">
        <f t="shared" si="18"/>
        <v>MA</v>
      </c>
      <c r="E199" t="str">
        <f t="shared" si="19"/>
        <v>Northeast</v>
      </c>
      <c r="F199" t="s">
        <v>18</v>
      </c>
      <c r="G199" s="1">
        <v>44957</v>
      </c>
      <c r="H199" s="1">
        <v>44962</v>
      </c>
      <c r="I199" s="1">
        <f t="shared" si="23"/>
        <v>44962</v>
      </c>
      <c r="J199" s="2">
        <v>61.1</v>
      </c>
      <c r="K199" s="2">
        <v>350.67</v>
      </c>
      <c r="L199" t="s">
        <v>15</v>
      </c>
      <c r="M199" s="2">
        <v>2138</v>
      </c>
      <c r="N199" s="2">
        <v>5</v>
      </c>
      <c r="O199" s="2">
        <f t="shared" si="20"/>
        <v>427.6</v>
      </c>
      <c r="P199" s="2">
        <f t="shared" si="21"/>
        <v>1.2193800439159324</v>
      </c>
      <c r="Q199" s="3">
        <f t="shared" si="22"/>
        <v>0.16401777362020581</v>
      </c>
    </row>
    <row r="200" spans="1:17" hidden="1" x14ac:dyDescent="0.25">
      <c r="A200" t="s">
        <v>252</v>
      </c>
      <c r="B200" t="s">
        <v>39</v>
      </c>
      <c r="C200" t="s">
        <v>31</v>
      </c>
      <c r="D200" t="str">
        <f t="shared" si="18"/>
        <v>NY</v>
      </c>
      <c r="E200" t="str">
        <f t="shared" si="19"/>
        <v>Northeast</v>
      </c>
      <c r="F200" t="s">
        <v>25</v>
      </c>
      <c r="G200" s="1">
        <v>45185</v>
      </c>
      <c r="H200" s="1">
        <v>45197</v>
      </c>
      <c r="I200" s="1">
        <f t="shared" si="23"/>
        <v>45197</v>
      </c>
      <c r="J200" s="2">
        <v>20.100000000000001</v>
      </c>
      <c r="K200" s="2">
        <v>112.36</v>
      </c>
      <c r="L200" t="s">
        <v>47</v>
      </c>
      <c r="M200" s="2">
        <v>754</v>
      </c>
      <c r="N200" s="2">
        <v>3</v>
      </c>
      <c r="O200" s="2">
        <f t="shared" si="20"/>
        <v>251.33333333333334</v>
      </c>
      <c r="P200" s="2">
        <f t="shared" si="21"/>
        <v>2.2368577192357897</v>
      </c>
      <c r="Q200" s="3">
        <f t="shared" si="22"/>
        <v>0.1490185676392573</v>
      </c>
    </row>
    <row r="201" spans="1:17" x14ac:dyDescent="0.25">
      <c r="A201" t="s">
        <v>253</v>
      </c>
      <c r="B201" t="s">
        <v>51</v>
      </c>
      <c r="C201" t="s">
        <v>70</v>
      </c>
      <c r="D201" t="str">
        <f t="shared" si="18"/>
        <v>CA</v>
      </c>
      <c r="E201" t="str">
        <f t="shared" si="19"/>
        <v>West</v>
      </c>
      <c r="F201" t="s">
        <v>59</v>
      </c>
      <c r="G201" s="1">
        <v>45001</v>
      </c>
      <c r="H201" s="1">
        <v>45003</v>
      </c>
      <c r="I201" s="1">
        <f t="shared" si="23"/>
        <v>45003</v>
      </c>
      <c r="J201" s="2">
        <v>27.9</v>
      </c>
      <c r="K201" s="2">
        <v>65.87</v>
      </c>
      <c r="L201" t="s">
        <v>15</v>
      </c>
      <c r="M201" s="2">
        <v>320</v>
      </c>
      <c r="N201" s="2">
        <v>2</v>
      </c>
      <c r="O201" s="2">
        <f t="shared" si="20"/>
        <v>160</v>
      </c>
      <c r="P201" s="2">
        <f t="shared" si="21"/>
        <v>2.4290268711097616</v>
      </c>
      <c r="Q201" s="3">
        <f t="shared" si="22"/>
        <v>0.20584375000000002</v>
      </c>
    </row>
    <row r="202" spans="1:17" hidden="1" x14ac:dyDescent="0.25">
      <c r="A202" t="s">
        <v>254</v>
      </c>
      <c r="B202" t="s">
        <v>20</v>
      </c>
      <c r="C202" t="s">
        <v>21</v>
      </c>
      <c r="D202" t="str">
        <f t="shared" si="18"/>
        <v>TX</v>
      </c>
      <c r="E202" t="str">
        <f t="shared" si="19"/>
        <v>Southwest</v>
      </c>
      <c r="F202" t="s">
        <v>42</v>
      </c>
      <c r="G202" s="1">
        <v>45001</v>
      </c>
      <c r="H202" s="1">
        <v>45005</v>
      </c>
      <c r="I202" s="1">
        <f t="shared" si="23"/>
        <v>45005</v>
      </c>
      <c r="J202" s="2">
        <v>22.8</v>
      </c>
      <c r="K202" s="2">
        <v>242.14</v>
      </c>
      <c r="L202" t="s">
        <v>15</v>
      </c>
      <c r="M202" s="2">
        <v>1657</v>
      </c>
      <c r="N202" s="2">
        <v>4</v>
      </c>
      <c r="O202" s="2">
        <f t="shared" si="20"/>
        <v>414.25</v>
      </c>
      <c r="P202" s="2">
        <f t="shared" si="21"/>
        <v>1.7107871479309491</v>
      </c>
      <c r="Q202" s="3">
        <f t="shared" si="22"/>
        <v>0.14613156306578151</v>
      </c>
    </row>
    <row r="203" spans="1:17" hidden="1" x14ac:dyDescent="0.25">
      <c r="A203" t="s">
        <v>255</v>
      </c>
      <c r="B203" t="s">
        <v>12</v>
      </c>
      <c r="C203" t="s">
        <v>40</v>
      </c>
      <c r="D203" t="str">
        <f t="shared" si="18"/>
        <v>MI</v>
      </c>
      <c r="E203" t="str">
        <f t="shared" si="19"/>
        <v>Midwest</v>
      </c>
      <c r="F203" t="s">
        <v>18</v>
      </c>
      <c r="G203" s="1">
        <v>45233</v>
      </c>
      <c r="H203" s="1">
        <v>45237</v>
      </c>
      <c r="I203" s="1">
        <f t="shared" si="23"/>
        <v>45237</v>
      </c>
      <c r="J203" s="2">
        <v>14.7</v>
      </c>
      <c r="K203" s="2">
        <v>285.58999999999997</v>
      </c>
      <c r="L203" t="s">
        <v>15</v>
      </c>
      <c r="M203" s="2">
        <v>1423</v>
      </c>
      <c r="N203" s="2">
        <v>4</v>
      </c>
      <c r="O203" s="2">
        <f t="shared" si="20"/>
        <v>355.75</v>
      </c>
      <c r="P203" s="2">
        <f t="shared" si="21"/>
        <v>1.2456668650863127</v>
      </c>
      <c r="Q203" s="3">
        <f t="shared" si="22"/>
        <v>0.200695713281799</v>
      </c>
    </row>
    <row r="204" spans="1:17" x14ac:dyDescent="0.25">
      <c r="A204" t="s">
        <v>256</v>
      </c>
      <c r="B204" t="s">
        <v>20</v>
      </c>
      <c r="C204" t="s">
        <v>24</v>
      </c>
      <c r="D204" t="str">
        <f t="shared" si="18"/>
        <v>WA</v>
      </c>
      <c r="E204" t="str">
        <f t="shared" si="19"/>
        <v>West</v>
      </c>
      <c r="F204" t="s">
        <v>32</v>
      </c>
      <c r="G204" s="1">
        <v>45181</v>
      </c>
      <c r="H204" s="1">
        <v>45186</v>
      </c>
      <c r="I204" s="1">
        <f t="shared" si="23"/>
        <v>45186</v>
      </c>
      <c r="J204" s="2">
        <v>32.1</v>
      </c>
      <c r="K204" s="2">
        <v>193.72</v>
      </c>
      <c r="L204" t="s">
        <v>15</v>
      </c>
      <c r="M204" s="2">
        <v>1135</v>
      </c>
      <c r="N204" s="2">
        <v>5</v>
      </c>
      <c r="O204" s="2">
        <f t="shared" si="20"/>
        <v>227</v>
      </c>
      <c r="P204" s="2">
        <f t="shared" si="21"/>
        <v>1.1717943423497832</v>
      </c>
      <c r="Q204" s="3">
        <f t="shared" si="22"/>
        <v>0.17067841409691631</v>
      </c>
    </row>
    <row r="205" spans="1:17" hidden="1" x14ac:dyDescent="0.25">
      <c r="A205" t="s">
        <v>257</v>
      </c>
      <c r="B205" t="s">
        <v>23</v>
      </c>
      <c r="C205" t="s">
        <v>52</v>
      </c>
      <c r="D205" t="str">
        <f t="shared" si="18"/>
        <v>AZ</v>
      </c>
      <c r="E205" t="str">
        <f t="shared" si="19"/>
        <v>Southwest</v>
      </c>
      <c r="F205" t="s">
        <v>18</v>
      </c>
      <c r="G205" s="1">
        <v>45064</v>
      </c>
      <c r="H205" s="1">
        <v>45081</v>
      </c>
      <c r="I205" s="1">
        <f t="shared" si="23"/>
        <v>45081</v>
      </c>
      <c r="J205" s="2">
        <v>8.6999999999999993</v>
      </c>
      <c r="K205" s="2">
        <v>121.73</v>
      </c>
      <c r="L205" t="s">
        <v>47</v>
      </c>
      <c r="M205" s="2">
        <v>737</v>
      </c>
      <c r="N205" s="2">
        <v>4</v>
      </c>
      <c r="O205" s="2">
        <f t="shared" si="20"/>
        <v>184.25</v>
      </c>
      <c r="P205" s="2">
        <f t="shared" si="21"/>
        <v>1.5135956625318328</v>
      </c>
      <c r="Q205" s="3">
        <f t="shared" si="22"/>
        <v>0.16516960651289009</v>
      </c>
    </row>
    <row r="206" spans="1:17" hidden="1" x14ac:dyDescent="0.25">
      <c r="A206" t="s">
        <v>258</v>
      </c>
      <c r="B206" t="s">
        <v>23</v>
      </c>
      <c r="C206" t="s">
        <v>40</v>
      </c>
      <c r="D206" t="str">
        <f t="shared" si="18"/>
        <v>MI</v>
      </c>
      <c r="E206" t="str">
        <f t="shared" si="19"/>
        <v>Midwest</v>
      </c>
      <c r="F206" t="s">
        <v>18</v>
      </c>
      <c r="G206" s="1">
        <v>45224</v>
      </c>
      <c r="H206" s="1">
        <v>45226</v>
      </c>
      <c r="I206" s="1">
        <f t="shared" si="23"/>
        <v>45226</v>
      </c>
      <c r="J206" s="2">
        <v>33.700000000000003</v>
      </c>
      <c r="K206" s="2">
        <v>162.31</v>
      </c>
      <c r="L206" t="s">
        <v>15</v>
      </c>
      <c r="M206" s="2">
        <v>796</v>
      </c>
      <c r="N206" s="2">
        <v>2</v>
      </c>
      <c r="O206" s="2">
        <f t="shared" si="20"/>
        <v>398</v>
      </c>
      <c r="P206" s="2">
        <f t="shared" si="21"/>
        <v>2.4520978374715052</v>
      </c>
      <c r="Q206" s="3">
        <f t="shared" si="22"/>
        <v>0.20390703517587941</v>
      </c>
    </row>
    <row r="207" spans="1:17" hidden="1" x14ac:dyDescent="0.25">
      <c r="A207" t="s">
        <v>259</v>
      </c>
      <c r="B207" t="s">
        <v>35</v>
      </c>
      <c r="C207" t="s">
        <v>44</v>
      </c>
      <c r="D207" t="str">
        <f t="shared" si="18"/>
        <v>IL</v>
      </c>
      <c r="E207" t="str">
        <f t="shared" si="19"/>
        <v>Midwest</v>
      </c>
      <c r="F207" t="s">
        <v>32</v>
      </c>
      <c r="G207" s="1">
        <v>45275</v>
      </c>
      <c r="H207" s="1">
        <v>45277</v>
      </c>
      <c r="I207" s="1">
        <f t="shared" si="23"/>
        <v>45277</v>
      </c>
      <c r="J207" s="2">
        <v>28.8</v>
      </c>
      <c r="K207" s="2">
        <v>96.12</v>
      </c>
      <c r="L207" t="s">
        <v>15</v>
      </c>
      <c r="M207" s="2">
        <v>308</v>
      </c>
      <c r="N207" s="2">
        <v>2</v>
      </c>
      <c r="O207" s="2">
        <f t="shared" si="20"/>
        <v>154</v>
      </c>
      <c r="P207" s="2">
        <f t="shared" si="21"/>
        <v>1.6021639617145234</v>
      </c>
      <c r="Q207" s="3">
        <f t="shared" si="22"/>
        <v>0.31207792207792207</v>
      </c>
    </row>
    <row r="208" spans="1:17" x14ac:dyDescent="0.25">
      <c r="A208" t="s">
        <v>260</v>
      </c>
      <c r="B208" t="s">
        <v>39</v>
      </c>
      <c r="C208" t="s">
        <v>13</v>
      </c>
      <c r="D208" t="str">
        <f t="shared" si="18"/>
        <v>CA</v>
      </c>
      <c r="E208" t="str">
        <f t="shared" si="19"/>
        <v>West</v>
      </c>
      <c r="F208" t="s">
        <v>32</v>
      </c>
      <c r="G208" s="1">
        <v>45275</v>
      </c>
      <c r="H208" s="1">
        <v>45280</v>
      </c>
      <c r="I208" s="1">
        <f t="shared" si="23"/>
        <v>45280</v>
      </c>
      <c r="J208" s="2">
        <v>9.1</v>
      </c>
      <c r="K208" s="2">
        <v>125.92</v>
      </c>
      <c r="L208" t="s">
        <v>67</v>
      </c>
      <c r="M208" s="2">
        <v>787</v>
      </c>
      <c r="N208" s="2">
        <v>5</v>
      </c>
      <c r="O208" s="2">
        <f t="shared" si="20"/>
        <v>157.4</v>
      </c>
      <c r="P208" s="2">
        <f t="shared" si="21"/>
        <v>1.25</v>
      </c>
      <c r="Q208" s="3">
        <f t="shared" si="22"/>
        <v>0.16</v>
      </c>
    </row>
    <row r="209" spans="1:17" x14ac:dyDescent="0.25">
      <c r="A209" t="s">
        <v>261</v>
      </c>
      <c r="B209" t="s">
        <v>30</v>
      </c>
      <c r="C209" t="s">
        <v>81</v>
      </c>
      <c r="D209" t="str">
        <f t="shared" si="18"/>
        <v>CO</v>
      </c>
      <c r="E209" t="str">
        <f t="shared" si="19"/>
        <v>West</v>
      </c>
      <c r="F209" t="s">
        <v>37</v>
      </c>
      <c r="G209" s="1">
        <v>45166</v>
      </c>
      <c r="H209" s="1">
        <v>45174</v>
      </c>
      <c r="I209" s="1">
        <f t="shared" si="23"/>
        <v>45174</v>
      </c>
      <c r="J209" s="2">
        <v>28.5</v>
      </c>
      <c r="K209" s="2">
        <v>284.39999999999998</v>
      </c>
      <c r="L209" t="s">
        <v>15</v>
      </c>
      <c r="M209" s="2">
        <v>2074</v>
      </c>
      <c r="N209" s="2">
        <v>8</v>
      </c>
      <c r="O209" s="2">
        <f t="shared" si="20"/>
        <v>259.25</v>
      </c>
      <c r="P209" s="2">
        <f t="shared" si="21"/>
        <v>0.91156821378340369</v>
      </c>
      <c r="Q209" s="3">
        <f t="shared" si="22"/>
        <v>0.13712632594021215</v>
      </c>
    </row>
    <row r="210" spans="1:17" hidden="1" x14ac:dyDescent="0.25">
      <c r="A210" t="s">
        <v>262</v>
      </c>
      <c r="B210" t="s">
        <v>39</v>
      </c>
      <c r="C210" t="s">
        <v>44</v>
      </c>
      <c r="D210" t="str">
        <f t="shared" si="18"/>
        <v>IL</v>
      </c>
      <c r="E210" t="str">
        <f t="shared" si="19"/>
        <v>Midwest</v>
      </c>
      <c r="F210" t="s">
        <v>18</v>
      </c>
      <c r="G210" s="1">
        <v>45191</v>
      </c>
      <c r="H210" s="1">
        <v>45196</v>
      </c>
      <c r="I210" s="1">
        <f t="shared" si="23"/>
        <v>45196</v>
      </c>
      <c r="J210" s="2">
        <v>88</v>
      </c>
      <c r="K210" s="2">
        <v>297.27999999999997</v>
      </c>
      <c r="L210" t="s">
        <v>15</v>
      </c>
      <c r="M210" s="2">
        <v>1145</v>
      </c>
      <c r="N210" s="2">
        <v>5</v>
      </c>
      <c r="O210" s="2">
        <f t="shared" si="20"/>
        <v>229</v>
      </c>
      <c r="P210" s="2">
        <f t="shared" si="21"/>
        <v>0.77031754574811628</v>
      </c>
      <c r="Q210" s="3">
        <f t="shared" si="22"/>
        <v>0.25963318777292577</v>
      </c>
    </row>
    <row r="211" spans="1:17" x14ac:dyDescent="0.25">
      <c r="A211" t="s">
        <v>264</v>
      </c>
      <c r="B211" t="s">
        <v>51</v>
      </c>
      <c r="C211" t="s">
        <v>70</v>
      </c>
      <c r="D211" t="str">
        <f t="shared" si="18"/>
        <v>CA</v>
      </c>
      <c r="E211" t="str">
        <f t="shared" si="19"/>
        <v>West</v>
      </c>
      <c r="F211" t="s">
        <v>59</v>
      </c>
      <c r="G211" s="1">
        <v>45142</v>
      </c>
      <c r="H211" s="1">
        <v>45147</v>
      </c>
      <c r="I211" s="1">
        <f t="shared" si="23"/>
        <v>45147</v>
      </c>
      <c r="J211" s="2">
        <v>24.1</v>
      </c>
      <c r="K211" s="2">
        <v>141.81</v>
      </c>
      <c r="L211" t="s">
        <v>15</v>
      </c>
      <c r="M211" s="2">
        <v>1082</v>
      </c>
      <c r="N211" s="2">
        <v>5</v>
      </c>
      <c r="O211" s="2">
        <f t="shared" si="20"/>
        <v>216.4</v>
      </c>
      <c r="P211" s="2">
        <f t="shared" si="21"/>
        <v>1.5259854735209082</v>
      </c>
      <c r="Q211" s="3">
        <f t="shared" si="22"/>
        <v>0.13106284658040665</v>
      </c>
    </row>
    <row r="212" spans="1:17" hidden="1" x14ac:dyDescent="0.25">
      <c r="A212" t="s">
        <v>265</v>
      </c>
      <c r="B212" t="s">
        <v>30</v>
      </c>
      <c r="C212" t="s">
        <v>28</v>
      </c>
      <c r="D212" t="str">
        <f t="shared" si="18"/>
        <v>TX</v>
      </c>
      <c r="E212" t="str">
        <f t="shared" si="19"/>
        <v>Southwest</v>
      </c>
      <c r="F212" t="s">
        <v>32</v>
      </c>
      <c r="G212" s="1">
        <v>45283</v>
      </c>
      <c r="H212" s="1">
        <v>45286</v>
      </c>
      <c r="I212" s="1">
        <f t="shared" si="23"/>
        <v>45286</v>
      </c>
      <c r="J212" s="2">
        <v>11.9</v>
      </c>
      <c r="K212" s="2">
        <v>192.63</v>
      </c>
      <c r="L212" t="s">
        <v>15</v>
      </c>
      <c r="M212" s="2">
        <v>1204</v>
      </c>
      <c r="N212" s="2">
        <v>3</v>
      </c>
      <c r="O212" s="2">
        <f t="shared" si="20"/>
        <v>401.33333333333331</v>
      </c>
      <c r="P212" s="2">
        <f t="shared" si="21"/>
        <v>2.0834414854037964</v>
      </c>
      <c r="Q212" s="3">
        <f t="shared" si="22"/>
        <v>0.15999169435215946</v>
      </c>
    </row>
    <row r="213" spans="1:17" x14ac:dyDescent="0.25">
      <c r="A213" t="s">
        <v>266</v>
      </c>
      <c r="B213" t="s">
        <v>39</v>
      </c>
      <c r="C213" t="s">
        <v>81</v>
      </c>
      <c r="D213" t="str">
        <f t="shared" si="18"/>
        <v>CO</v>
      </c>
      <c r="E213" t="str">
        <f t="shared" si="19"/>
        <v>West</v>
      </c>
      <c r="F213" t="s">
        <v>42</v>
      </c>
      <c r="G213" s="1">
        <v>45173</v>
      </c>
      <c r="H213" s="1">
        <v>45176</v>
      </c>
      <c r="I213" s="1">
        <f t="shared" si="23"/>
        <v>45176</v>
      </c>
      <c r="J213" s="2">
        <v>17.899999999999999</v>
      </c>
      <c r="K213" s="2">
        <v>133.27000000000001</v>
      </c>
      <c r="L213" t="s">
        <v>15</v>
      </c>
      <c r="M213" s="2">
        <v>1030</v>
      </c>
      <c r="N213" s="2">
        <v>3</v>
      </c>
      <c r="O213" s="2">
        <f t="shared" si="20"/>
        <v>343.33333333333331</v>
      </c>
      <c r="P213" s="2">
        <f t="shared" si="21"/>
        <v>2.5762237062604734</v>
      </c>
      <c r="Q213" s="3">
        <f t="shared" si="22"/>
        <v>0.12938834951456313</v>
      </c>
    </row>
    <row r="214" spans="1:17" hidden="1" x14ac:dyDescent="0.25">
      <c r="A214" t="s">
        <v>267</v>
      </c>
      <c r="B214" t="s">
        <v>23</v>
      </c>
      <c r="C214" t="s">
        <v>28</v>
      </c>
      <c r="D214" t="str">
        <f t="shared" si="18"/>
        <v>TX</v>
      </c>
      <c r="E214" t="str">
        <f t="shared" si="19"/>
        <v>Southwest</v>
      </c>
      <c r="F214" t="s">
        <v>37</v>
      </c>
      <c r="G214" s="1">
        <v>45064</v>
      </c>
      <c r="H214" s="1">
        <v>45066</v>
      </c>
      <c r="I214" s="1">
        <f t="shared" si="23"/>
        <v>45066</v>
      </c>
      <c r="J214" s="2">
        <v>38.1</v>
      </c>
      <c r="K214" s="2">
        <v>120.04</v>
      </c>
      <c r="L214" t="s">
        <v>15</v>
      </c>
      <c r="M214" s="2">
        <v>603</v>
      </c>
      <c r="N214" s="2">
        <v>2</v>
      </c>
      <c r="O214" s="2">
        <f t="shared" si="20"/>
        <v>301.5</v>
      </c>
      <c r="P214" s="2">
        <f t="shared" si="21"/>
        <v>2.5116627790736419</v>
      </c>
      <c r="Q214" s="3">
        <f t="shared" si="22"/>
        <v>0.19907131011608625</v>
      </c>
    </row>
    <row r="215" spans="1:17" hidden="1" x14ac:dyDescent="0.25">
      <c r="A215" t="s">
        <v>268</v>
      </c>
      <c r="B215" t="s">
        <v>30</v>
      </c>
      <c r="C215" t="s">
        <v>46</v>
      </c>
      <c r="D215" t="str">
        <f t="shared" si="18"/>
        <v>MA</v>
      </c>
      <c r="E215" t="str">
        <f t="shared" si="19"/>
        <v>Northeast</v>
      </c>
      <c r="F215" t="s">
        <v>14</v>
      </c>
      <c r="G215" s="1">
        <v>45121</v>
      </c>
      <c r="H215" s="1">
        <v>45126</v>
      </c>
      <c r="I215" s="1">
        <f t="shared" si="23"/>
        <v>45126</v>
      </c>
      <c r="J215" s="2">
        <v>4.9000000000000004</v>
      </c>
      <c r="K215" s="2">
        <v>203.03</v>
      </c>
      <c r="L215" t="s">
        <v>15</v>
      </c>
      <c r="M215" s="2">
        <v>1660</v>
      </c>
      <c r="N215" s="2">
        <v>5</v>
      </c>
      <c r="O215" s="2">
        <f t="shared" si="20"/>
        <v>332</v>
      </c>
      <c r="P215" s="2">
        <f t="shared" si="21"/>
        <v>1.6352263212333153</v>
      </c>
      <c r="Q215" s="3">
        <f t="shared" si="22"/>
        <v>0.12230722891566265</v>
      </c>
    </row>
    <row r="216" spans="1:17" hidden="1" x14ac:dyDescent="0.25">
      <c r="A216" t="s">
        <v>269</v>
      </c>
      <c r="B216" t="s">
        <v>35</v>
      </c>
      <c r="C216" t="s">
        <v>44</v>
      </c>
      <c r="D216" t="str">
        <f t="shared" si="18"/>
        <v>IL</v>
      </c>
      <c r="E216" t="str">
        <f t="shared" si="19"/>
        <v>Midwest</v>
      </c>
      <c r="F216" t="s">
        <v>32</v>
      </c>
      <c r="G216" s="1">
        <v>45175</v>
      </c>
      <c r="H216" s="1">
        <v>45178</v>
      </c>
      <c r="I216" s="1">
        <f t="shared" si="23"/>
        <v>45178</v>
      </c>
      <c r="J216" s="2">
        <v>86.2</v>
      </c>
      <c r="K216" s="2">
        <v>210.89</v>
      </c>
      <c r="L216" t="s">
        <v>15</v>
      </c>
      <c r="M216" s="2">
        <v>862</v>
      </c>
      <c r="N216" s="2">
        <v>3</v>
      </c>
      <c r="O216" s="2">
        <f t="shared" si="20"/>
        <v>287.33333333333331</v>
      </c>
      <c r="P216" s="2">
        <f t="shared" si="21"/>
        <v>1.3624796497384102</v>
      </c>
      <c r="Q216" s="3">
        <f t="shared" si="22"/>
        <v>0.2446519721577726</v>
      </c>
    </row>
    <row r="217" spans="1:17" hidden="1" x14ac:dyDescent="0.25">
      <c r="A217" t="s">
        <v>270</v>
      </c>
      <c r="B217" t="s">
        <v>35</v>
      </c>
      <c r="C217" t="s">
        <v>28</v>
      </c>
      <c r="D217" t="str">
        <f t="shared" si="18"/>
        <v>TX</v>
      </c>
      <c r="E217" t="str">
        <f t="shared" si="19"/>
        <v>Southwest</v>
      </c>
      <c r="F217" t="s">
        <v>14</v>
      </c>
      <c r="G217" s="1">
        <v>45105</v>
      </c>
      <c r="H217" s="1">
        <v>45110</v>
      </c>
      <c r="I217" s="1">
        <f t="shared" si="23"/>
        <v>45110</v>
      </c>
      <c r="J217" s="2">
        <v>12.6</v>
      </c>
      <c r="K217" s="2">
        <v>176.77</v>
      </c>
      <c r="L217" t="s">
        <v>15</v>
      </c>
      <c r="M217" s="2">
        <v>1322</v>
      </c>
      <c r="N217" s="2">
        <v>5</v>
      </c>
      <c r="O217" s="2">
        <f t="shared" si="20"/>
        <v>264.39999999999998</v>
      </c>
      <c r="P217" s="2">
        <f t="shared" si="21"/>
        <v>1.4957289132771396</v>
      </c>
      <c r="Q217" s="3">
        <f t="shared" si="22"/>
        <v>0.13371406959152798</v>
      </c>
    </row>
    <row r="218" spans="1:17" x14ac:dyDescent="0.25">
      <c r="A218" t="s">
        <v>271</v>
      </c>
      <c r="B218" t="s">
        <v>39</v>
      </c>
      <c r="C218" t="s">
        <v>81</v>
      </c>
      <c r="D218" t="str">
        <f t="shared" si="18"/>
        <v>CO</v>
      </c>
      <c r="E218" t="str">
        <f t="shared" si="19"/>
        <v>West</v>
      </c>
      <c r="F218" t="s">
        <v>14</v>
      </c>
      <c r="G218" s="1">
        <v>45096</v>
      </c>
      <c r="H218" s="1">
        <v>45099</v>
      </c>
      <c r="I218" s="1">
        <f t="shared" si="23"/>
        <v>45099</v>
      </c>
      <c r="J218" s="2">
        <v>33.799999999999997</v>
      </c>
      <c r="K218" s="2">
        <v>161.44999999999999</v>
      </c>
      <c r="L218" t="s">
        <v>15</v>
      </c>
      <c r="M218" s="2">
        <v>1030</v>
      </c>
      <c r="N218" s="2">
        <v>3</v>
      </c>
      <c r="O218" s="2">
        <f t="shared" si="20"/>
        <v>343.33333333333331</v>
      </c>
      <c r="P218" s="2">
        <f t="shared" si="21"/>
        <v>2.1265613709094664</v>
      </c>
      <c r="Q218" s="3">
        <f t="shared" si="22"/>
        <v>0.15674757281553398</v>
      </c>
    </row>
    <row r="219" spans="1:17" hidden="1" x14ac:dyDescent="0.25">
      <c r="A219" t="s">
        <v>272</v>
      </c>
      <c r="B219" t="s">
        <v>12</v>
      </c>
      <c r="C219" t="s">
        <v>57</v>
      </c>
      <c r="D219" t="str">
        <f t="shared" si="18"/>
        <v>MN</v>
      </c>
      <c r="E219" t="str">
        <f t="shared" si="19"/>
        <v>Midwest</v>
      </c>
      <c r="F219" t="s">
        <v>32</v>
      </c>
      <c r="G219" s="1">
        <v>45044</v>
      </c>
      <c r="H219" s="1">
        <v>45053</v>
      </c>
      <c r="I219" s="1">
        <f t="shared" si="23"/>
        <v>45053</v>
      </c>
      <c r="J219" s="2">
        <v>14.1</v>
      </c>
      <c r="K219" s="2">
        <v>87.12</v>
      </c>
      <c r="L219" t="s">
        <v>47</v>
      </c>
      <c r="M219" s="2">
        <v>573</v>
      </c>
      <c r="N219" s="2">
        <v>3</v>
      </c>
      <c r="O219" s="2">
        <f t="shared" si="20"/>
        <v>191</v>
      </c>
      <c r="P219" s="2">
        <f t="shared" si="21"/>
        <v>2.1923783287419649</v>
      </c>
      <c r="Q219" s="3">
        <f t="shared" si="22"/>
        <v>0.15204188481675393</v>
      </c>
    </row>
    <row r="220" spans="1:17" x14ac:dyDescent="0.25">
      <c r="A220" t="s">
        <v>273</v>
      </c>
      <c r="B220" t="s">
        <v>23</v>
      </c>
      <c r="C220" t="s">
        <v>36</v>
      </c>
      <c r="D220" t="str">
        <f t="shared" si="18"/>
        <v>OR</v>
      </c>
      <c r="E220" t="str">
        <f t="shared" si="19"/>
        <v>West</v>
      </c>
      <c r="F220" t="s">
        <v>37</v>
      </c>
      <c r="G220" s="1">
        <v>45182</v>
      </c>
      <c r="H220" s="1">
        <v>45187</v>
      </c>
      <c r="I220" s="1">
        <f t="shared" si="23"/>
        <v>45187</v>
      </c>
      <c r="J220" s="2">
        <v>19.3</v>
      </c>
      <c r="K220" s="2">
        <v>98.54</v>
      </c>
      <c r="L220" t="s">
        <v>47</v>
      </c>
      <c r="M220" s="2">
        <v>585</v>
      </c>
      <c r="N220" s="2">
        <v>1</v>
      </c>
      <c r="O220" s="2">
        <f t="shared" si="20"/>
        <v>585</v>
      </c>
      <c r="P220" s="2">
        <f t="shared" si="21"/>
        <v>5.9366754617414248</v>
      </c>
      <c r="Q220" s="3">
        <f t="shared" si="22"/>
        <v>0.16844444444444445</v>
      </c>
    </row>
    <row r="221" spans="1:17" hidden="1" x14ac:dyDescent="0.25">
      <c r="A221" t="s">
        <v>274</v>
      </c>
      <c r="B221" t="s">
        <v>39</v>
      </c>
      <c r="C221" t="s">
        <v>52</v>
      </c>
      <c r="D221" t="str">
        <f t="shared" si="18"/>
        <v>AZ</v>
      </c>
      <c r="E221" t="str">
        <f t="shared" si="19"/>
        <v>Southwest</v>
      </c>
      <c r="F221" t="s">
        <v>59</v>
      </c>
      <c r="G221" s="1">
        <v>45270</v>
      </c>
      <c r="H221" s="1">
        <v>45273</v>
      </c>
      <c r="I221" s="1">
        <f t="shared" si="23"/>
        <v>45273</v>
      </c>
      <c r="J221" s="2">
        <v>16.600000000000001</v>
      </c>
      <c r="K221" s="2">
        <v>219.37</v>
      </c>
      <c r="L221" t="s">
        <v>15</v>
      </c>
      <c r="M221" s="2">
        <v>1469</v>
      </c>
      <c r="N221" s="2">
        <v>3</v>
      </c>
      <c r="O221" s="2">
        <f t="shared" si="20"/>
        <v>489.66666666666669</v>
      </c>
      <c r="P221" s="2">
        <f t="shared" si="21"/>
        <v>2.2321496406375836</v>
      </c>
      <c r="Q221" s="3">
        <f t="shared" si="22"/>
        <v>0.14933287950987068</v>
      </c>
    </row>
    <row r="222" spans="1:17" hidden="1" x14ac:dyDescent="0.25">
      <c r="A222" t="s">
        <v>275</v>
      </c>
      <c r="B222" t="s">
        <v>49</v>
      </c>
      <c r="C222" t="s">
        <v>31</v>
      </c>
      <c r="D222" t="str">
        <f t="shared" si="18"/>
        <v>NY</v>
      </c>
      <c r="E222" t="str">
        <f t="shared" si="19"/>
        <v>Northeast</v>
      </c>
      <c r="F222" t="s">
        <v>25</v>
      </c>
      <c r="G222" s="1">
        <v>45259</v>
      </c>
      <c r="H222" s="1">
        <v>45265</v>
      </c>
      <c r="I222" s="1">
        <f t="shared" si="23"/>
        <v>45265</v>
      </c>
      <c r="J222" s="2">
        <v>16.100000000000001</v>
      </c>
      <c r="K222" s="2">
        <v>161.74</v>
      </c>
      <c r="L222" t="s">
        <v>15</v>
      </c>
      <c r="M222" s="2">
        <v>1053</v>
      </c>
      <c r="N222" s="2">
        <v>6</v>
      </c>
      <c r="O222" s="2">
        <f t="shared" si="20"/>
        <v>175.5</v>
      </c>
      <c r="P222" s="2">
        <f t="shared" si="21"/>
        <v>1.0850748114257449</v>
      </c>
      <c r="Q222" s="3">
        <f t="shared" si="22"/>
        <v>0.15359924026590693</v>
      </c>
    </row>
    <row r="223" spans="1:17" hidden="1" x14ac:dyDescent="0.25">
      <c r="A223" t="s">
        <v>276</v>
      </c>
      <c r="B223" t="s">
        <v>49</v>
      </c>
      <c r="C223" t="s">
        <v>46</v>
      </c>
      <c r="D223" t="str">
        <f t="shared" si="18"/>
        <v>MA</v>
      </c>
      <c r="E223" t="str">
        <f t="shared" si="19"/>
        <v>Northeast</v>
      </c>
      <c r="F223" t="s">
        <v>18</v>
      </c>
      <c r="G223" s="1">
        <v>45057</v>
      </c>
      <c r="H223" s="1">
        <v>45060</v>
      </c>
      <c r="I223" s="1">
        <f t="shared" si="23"/>
        <v>45060</v>
      </c>
      <c r="J223" s="2">
        <v>10.8</v>
      </c>
      <c r="K223" s="2">
        <v>188.69</v>
      </c>
      <c r="L223" t="s">
        <v>62</v>
      </c>
      <c r="M223" s="2">
        <v>1329</v>
      </c>
      <c r="N223" s="2">
        <v>3</v>
      </c>
      <c r="O223" s="2">
        <f t="shared" si="20"/>
        <v>443</v>
      </c>
      <c r="P223" s="2">
        <f t="shared" si="21"/>
        <v>2.3477661773278924</v>
      </c>
      <c r="Q223" s="3">
        <f t="shared" si="22"/>
        <v>0.14197893152746427</v>
      </c>
    </row>
    <row r="224" spans="1:17" x14ac:dyDescent="0.25">
      <c r="A224" t="s">
        <v>277</v>
      </c>
      <c r="B224" t="s">
        <v>56</v>
      </c>
      <c r="C224" t="s">
        <v>36</v>
      </c>
      <c r="D224" t="str">
        <f t="shared" si="18"/>
        <v>OR</v>
      </c>
      <c r="E224" t="str">
        <f t="shared" si="19"/>
        <v>West</v>
      </c>
      <c r="F224" t="s">
        <v>37</v>
      </c>
      <c r="G224" s="1">
        <v>44998</v>
      </c>
      <c r="H224" s="1">
        <v>44999</v>
      </c>
      <c r="I224" s="1">
        <f t="shared" si="23"/>
        <v>44999</v>
      </c>
      <c r="J224" s="2">
        <v>8.8000000000000007</v>
      </c>
      <c r="K224" s="2">
        <v>27.23</v>
      </c>
      <c r="L224" t="s">
        <v>15</v>
      </c>
      <c r="M224" s="2">
        <v>156</v>
      </c>
      <c r="N224" s="2">
        <v>1</v>
      </c>
      <c r="O224" s="2">
        <f t="shared" si="20"/>
        <v>156</v>
      </c>
      <c r="P224" s="2">
        <f t="shared" si="21"/>
        <v>5.7289753947851629</v>
      </c>
      <c r="Q224" s="3">
        <f t="shared" si="22"/>
        <v>0.17455128205128206</v>
      </c>
    </row>
    <row r="225" spans="1:17" x14ac:dyDescent="0.25">
      <c r="A225" t="s">
        <v>278</v>
      </c>
      <c r="B225" t="s">
        <v>23</v>
      </c>
      <c r="C225" t="s">
        <v>36</v>
      </c>
      <c r="D225" t="str">
        <f t="shared" si="18"/>
        <v>OR</v>
      </c>
      <c r="E225" t="str">
        <f t="shared" si="19"/>
        <v>West</v>
      </c>
      <c r="F225" t="s">
        <v>37</v>
      </c>
      <c r="G225" s="1">
        <v>44986</v>
      </c>
      <c r="H225" s="1">
        <v>44991</v>
      </c>
      <c r="I225" s="1">
        <f t="shared" si="23"/>
        <v>44991</v>
      </c>
      <c r="J225" s="2">
        <v>12.1</v>
      </c>
      <c r="K225" s="2">
        <v>247.5</v>
      </c>
      <c r="L225" t="s">
        <v>47</v>
      </c>
      <c r="M225" s="2">
        <v>1760</v>
      </c>
      <c r="N225" s="2">
        <v>4</v>
      </c>
      <c r="O225" s="2">
        <f t="shared" si="20"/>
        <v>440</v>
      </c>
      <c r="P225" s="2">
        <f t="shared" si="21"/>
        <v>1.7777777777777777</v>
      </c>
      <c r="Q225" s="3">
        <f t="shared" si="22"/>
        <v>0.140625</v>
      </c>
    </row>
    <row r="226" spans="1:17" hidden="1" x14ac:dyDescent="0.25">
      <c r="A226" t="s">
        <v>279</v>
      </c>
      <c r="B226" t="s">
        <v>35</v>
      </c>
      <c r="C226" t="s">
        <v>40</v>
      </c>
      <c r="D226" t="str">
        <f t="shared" si="18"/>
        <v>MI</v>
      </c>
      <c r="E226" t="str">
        <f t="shared" si="19"/>
        <v>Midwest</v>
      </c>
      <c r="F226" t="s">
        <v>32</v>
      </c>
      <c r="G226" s="1">
        <v>45168</v>
      </c>
      <c r="H226" s="1">
        <v>45181</v>
      </c>
      <c r="I226" s="1">
        <f t="shared" si="23"/>
        <v>45181</v>
      </c>
      <c r="J226" s="2">
        <v>19.8</v>
      </c>
      <c r="K226" s="2">
        <v>63.39</v>
      </c>
      <c r="L226" t="s">
        <v>47</v>
      </c>
      <c r="M226" s="2">
        <v>283</v>
      </c>
      <c r="N226" s="2">
        <v>2</v>
      </c>
      <c r="O226" s="2">
        <f t="shared" si="20"/>
        <v>141.5</v>
      </c>
      <c r="P226" s="2">
        <f t="shared" si="21"/>
        <v>2.232213282852185</v>
      </c>
      <c r="Q226" s="3">
        <f t="shared" si="22"/>
        <v>0.22399293286219082</v>
      </c>
    </row>
    <row r="227" spans="1:17" hidden="1" x14ac:dyDescent="0.25">
      <c r="A227" t="s">
        <v>280</v>
      </c>
      <c r="B227" t="s">
        <v>39</v>
      </c>
      <c r="C227" t="s">
        <v>21</v>
      </c>
      <c r="D227" t="str">
        <f t="shared" si="18"/>
        <v>TX</v>
      </c>
      <c r="E227" t="str">
        <f t="shared" si="19"/>
        <v>Southwest</v>
      </c>
      <c r="F227" t="s">
        <v>25</v>
      </c>
      <c r="G227" s="1">
        <v>45284</v>
      </c>
      <c r="H227" s="1">
        <v>45287</v>
      </c>
      <c r="I227" s="1">
        <f t="shared" si="23"/>
        <v>45287</v>
      </c>
      <c r="J227" s="2">
        <v>22.2</v>
      </c>
      <c r="K227" s="2">
        <v>81.13</v>
      </c>
      <c r="L227" t="s">
        <v>15</v>
      </c>
      <c r="M227" s="2">
        <v>397</v>
      </c>
      <c r="N227" s="2">
        <v>3</v>
      </c>
      <c r="O227" s="2">
        <f t="shared" si="20"/>
        <v>132.33333333333334</v>
      </c>
      <c r="P227" s="2">
        <f t="shared" si="21"/>
        <v>1.6311269978224252</v>
      </c>
      <c r="Q227" s="3">
        <f t="shared" si="22"/>
        <v>0.20435768261964735</v>
      </c>
    </row>
    <row r="228" spans="1:17" x14ac:dyDescent="0.25">
      <c r="A228" t="s">
        <v>281</v>
      </c>
      <c r="B228" t="s">
        <v>30</v>
      </c>
      <c r="C228" t="s">
        <v>70</v>
      </c>
      <c r="D228" t="str">
        <f t="shared" si="18"/>
        <v>CA</v>
      </c>
      <c r="E228" t="str">
        <f t="shared" si="19"/>
        <v>West</v>
      </c>
      <c r="F228" t="s">
        <v>37</v>
      </c>
      <c r="G228" s="1">
        <v>45150</v>
      </c>
      <c r="H228" s="1">
        <v>45154</v>
      </c>
      <c r="I228" s="1">
        <f t="shared" si="23"/>
        <v>45154</v>
      </c>
      <c r="J228" s="2">
        <v>18.5</v>
      </c>
      <c r="K228" s="2">
        <v>109.5</v>
      </c>
      <c r="L228" t="s">
        <v>15</v>
      </c>
      <c r="M228" s="2">
        <v>816</v>
      </c>
      <c r="N228" s="2">
        <v>4</v>
      </c>
      <c r="O228" s="2">
        <f t="shared" si="20"/>
        <v>204</v>
      </c>
      <c r="P228" s="2">
        <f t="shared" si="21"/>
        <v>1.8630136986301369</v>
      </c>
      <c r="Q228" s="3">
        <f t="shared" si="22"/>
        <v>0.13419117647058823</v>
      </c>
    </row>
    <row r="229" spans="1:17" x14ac:dyDescent="0.25">
      <c r="A229" t="s">
        <v>282</v>
      </c>
      <c r="B229" t="s">
        <v>39</v>
      </c>
      <c r="C229" t="s">
        <v>70</v>
      </c>
      <c r="D229" t="str">
        <f t="shared" si="18"/>
        <v>CA</v>
      </c>
      <c r="E229" t="str">
        <f t="shared" si="19"/>
        <v>West</v>
      </c>
      <c r="F229" t="s">
        <v>42</v>
      </c>
      <c r="G229" s="1">
        <v>45044</v>
      </c>
      <c r="H229" s="1">
        <v>45047</v>
      </c>
      <c r="I229" s="1">
        <f t="shared" si="23"/>
        <v>45047</v>
      </c>
      <c r="J229" s="2">
        <v>10</v>
      </c>
      <c r="K229" s="2">
        <v>96.03</v>
      </c>
      <c r="L229" t="s">
        <v>67</v>
      </c>
      <c r="M229" s="2">
        <v>715</v>
      </c>
      <c r="N229" s="2">
        <v>3</v>
      </c>
      <c r="O229" s="2">
        <f t="shared" si="20"/>
        <v>238.33333333333334</v>
      </c>
      <c r="P229" s="2">
        <f t="shared" si="21"/>
        <v>2.4818633066055749</v>
      </c>
      <c r="Q229" s="3">
        <f t="shared" si="22"/>
        <v>0.13430769230769232</v>
      </c>
    </row>
    <row r="230" spans="1:17" hidden="1" x14ac:dyDescent="0.25">
      <c r="A230" t="s">
        <v>283</v>
      </c>
      <c r="B230" t="s">
        <v>51</v>
      </c>
      <c r="C230" t="s">
        <v>52</v>
      </c>
      <c r="D230" t="str">
        <f t="shared" si="18"/>
        <v>AZ</v>
      </c>
      <c r="E230" t="str">
        <f t="shared" si="19"/>
        <v>Southwest</v>
      </c>
      <c r="F230" t="s">
        <v>14</v>
      </c>
      <c r="G230" s="1">
        <v>45070</v>
      </c>
      <c r="H230" s="1">
        <v>45074</v>
      </c>
      <c r="I230" s="1">
        <f t="shared" si="23"/>
        <v>45074</v>
      </c>
      <c r="J230" s="2">
        <v>25.9</v>
      </c>
      <c r="K230" s="2">
        <v>285.87</v>
      </c>
      <c r="L230" t="s">
        <v>15</v>
      </c>
      <c r="M230" s="2">
        <v>1956</v>
      </c>
      <c r="N230" s="2">
        <v>4</v>
      </c>
      <c r="O230" s="2">
        <f t="shared" si="20"/>
        <v>489</v>
      </c>
      <c r="P230" s="2">
        <f t="shared" si="21"/>
        <v>1.7105677405813831</v>
      </c>
      <c r="Q230" s="3">
        <f t="shared" si="22"/>
        <v>0.14615030674846627</v>
      </c>
    </row>
    <row r="231" spans="1:17" hidden="1" x14ac:dyDescent="0.25">
      <c r="A231" t="s">
        <v>284</v>
      </c>
      <c r="B231" t="s">
        <v>23</v>
      </c>
      <c r="C231" t="s">
        <v>44</v>
      </c>
      <c r="D231" t="str">
        <f t="shared" si="18"/>
        <v>IL</v>
      </c>
      <c r="E231" t="str">
        <f t="shared" si="19"/>
        <v>Midwest</v>
      </c>
      <c r="F231" t="s">
        <v>37</v>
      </c>
      <c r="G231" s="1">
        <v>45137</v>
      </c>
      <c r="H231" s="1">
        <v>45142</v>
      </c>
      <c r="I231" s="1">
        <f t="shared" si="23"/>
        <v>45142</v>
      </c>
      <c r="J231" s="2">
        <v>22.8</v>
      </c>
      <c r="K231" s="2">
        <v>277.89999999999998</v>
      </c>
      <c r="L231" t="s">
        <v>15</v>
      </c>
      <c r="M231" s="2">
        <v>2187</v>
      </c>
      <c r="N231" s="2">
        <v>5</v>
      </c>
      <c r="O231" s="2">
        <f t="shared" si="20"/>
        <v>437.4</v>
      </c>
      <c r="P231" s="2">
        <f t="shared" si="21"/>
        <v>1.5739474631162289</v>
      </c>
      <c r="Q231" s="3">
        <f t="shared" si="22"/>
        <v>0.12706904435299496</v>
      </c>
    </row>
    <row r="232" spans="1:17" x14ac:dyDescent="0.25">
      <c r="A232" t="s">
        <v>285</v>
      </c>
      <c r="B232" t="s">
        <v>51</v>
      </c>
      <c r="C232" t="s">
        <v>24</v>
      </c>
      <c r="D232" t="str">
        <f t="shared" si="18"/>
        <v>WA</v>
      </c>
      <c r="E232" t="str">
        <f t="shared" si="19"/>
        <v>West</v>
      </c>
      <c r="F232" t="s">
        <v>59</v>
      </c>
      <c r="G232" s="1">
        <v>45183</v>
      </c>
      <c r="H232" s="1">
        <v>45189</v>
      </c>
      <c r="I232" s="1">
        <f t="shared" si="23"/>
        <v>45189</v>
      </c>
      <c r="J232" s="2">
        <v>85.5</v>
      </c>
      <c r="K232" s="2">
        <v>345.35</v>
      </c>
      <c r="L232" t="s">
        <v>15</v>
      </c>
      <c r="M232" s="2">
        <v>2172</v>
      </c>
      <c r="N232" s="2">
        <v>6</v>
      </c>
      <c r="O232" s="2">
        <f t="shared" si="20"/>
        <v>362</v>
      </c>
      <c r="P232" s="2">
        <f t="shared" si="21"/>
        <v>1.0482119588822933</v>
      </c>
      <c r="Q232" s="3">
        <f t="shared" si="22"/>
        <v>0.15900092081031308</v>
      </c>
    </row>
    <row r="233" spans="1:17" x14ac:dyDescent="0.25">
      <c r="A233" t="s">
        <v>286</v>
      </c>
      <c r="B233" t="s">
        <v>12</v>
      </c>
      <c r="C233" t="s">
        <v>81</v>
      </c>
      <c r="D233" t="str">
        <f t="shared" si="18"/>
        <v>CO</v>
      </c>
      <c r="E233" t="str">
        <f t="shared" si="19"/>
        <v>West</v>
      </c>
      <c r="F233" t="s">
        <v>25</v>
      </c>
      <c r="G233" s="1">
        <v>45163</v>
      </c>
      <c r="H233" s="1">
        <v>45166</v>
      </c>
      <c r="I233" s="1">
        <f t="shared" si="23"/>
        <v>45166</v>
      </c>
      <c r="J233" s="2">
        <v>31.8</v>
      </c>
      <c r="K233" s="2">
        <v>125.07</v>
      </c>
      <c r="L233" t="s">
        <v>15</v>
      </c>
      <c r="M233" s="2">
        <v>816</v>
      </c>
      <c r="N233" s="2">
        <v>3</v>
      </c>
      <c r="O233" s="2">
        <f t="shared" si="20"/>
        <v>272</v>
      </c>
      <c r="P233" s="2">
        <f t="shared" si="21"/>
        <v>2.1747821220116736</v>
      </c>
      <c r="Q233" s="3">
        <f t="shared" si="22"/>
        <v>0.1532720588235294</v>
      </c>
    </row>
    <row r="234" spans="1:17" hidden="1" x14ac:dyDescent="0.25">
      <c r="A234" t="s">
        <v>287</v>
      </c>
      <c r="B234" t="s">
        <v>20</v>
      </c>
      <c r="C234" t="s">
        <v>17</v>
      </c>
      <c r="D234" t="str">
        <f t="shared" si="18"/>
        <v>GA</v>
      </c>
      <c r="E234" t="str">
        <f t="shared" si="19"/>
        <v>Southeast</v>
      </c>
      <c r="F234" t="s">
        <v>18</v>
      </c>
      <c r="G234" s="1">
        <v>45107</v>
      </c>
      <c r="H234" s="1">
        <v>45114</v>
      </c>
      <c r="I234" s="1">
        <f t="shared" si="23"/>
        <v>45114</v>
      </c>
      <c r="J234" s="2">
        <v>3.1</v>
      </c>
      <c r="K234" s="2">
        <v>185.13</v>
      </c>
      <c r="L234" t="s">
        <v>15</v>
      </c>
      <c r="M234" s="2">
        <v>1236</v>
      </c>
      <c r="N234" s="2">
        <v>7</v>
      </c>
      <c r="O234" s="2">
        <f t="shared" si="20"/>
        <v>176.57142857142858</v>
      </c>
      <c r="P234" s="2">
        <f t="shared" si="21"/>
        <v>0.95376993772715701</v>
      </c>
      <c r="Q234" s="3">
        <f t="shared" si="22"/>
        <v>0.14978155339805824</v>
      </c>
    </row>
    <row r="235" spans="1:17" hidden="1" x14ac:dyDescent="0.25">
      <c r="A235" t="s">
        <v>288</v>
      </c>
      <c r="B235" t="s">
        <v>27</v>
      </c>
      <c r="C235" t="s">
        <v>31</v>
      </c>
      <c r="D235" t="str">
        <f t="shared" si="18"/>
        <v>NY</v>
      </c>
      <c r="E235" t="str">
        <f t="shared" si="19"/>
        <v>Northeast</v>
      </c>
      <c r="F235" t="s">
        <v>37</v>
      </c>
      <c r="G235" s="1">
        <v>45101</v>
      </c>
      <c r="H235" s="1">
        <v>45106</v>
      </c>
      <c r="I235" s="1">
        <f t="shared" si="23"/>
        <v>45106</v>
      </c>
      <c r="J235" s="2">
        <v>54.9</v>
      </c>
      <c r="K235" s="2">
        <v>319.88</v>
      </c>
      <c r="L235" t="s">
        <v>15</v>
      </c>
      <c r="M235" s="2">
        <v>1902</v>
      </c>
      <c r="N235" s="2">
        <v>5</v>
      </c>
      <c r="O235" s="2">
        <f t="shared" si="20"/>
        <v>380.4</v>
      </c>
      <c r="P235" s="2">
        <f t="shared" si="21"/>
        <v>1.1891959484806802</v>
      </c>
      <c r="Q235" s="3">
        <f t="shared" si="22"/>
        <v>0.16818086225026288</v>
      </c>
    </row>
    <row r="236" spans="1:17" x14ac:dyDescent="0.25">
      <c r="A236" t="s">
        <v>289</v>
      </c>
      <c r="B236" t="s">
        <v>49</v>
      </c>
      <c r="C236" t="s">
        <v>81</v>
      </c>
      <c r="D236" t="str">
        <f t="shared" si="18"/>
        <v>CO</v>
      </c>
      <c r="E236" t="str">
        <f t="shared" si="19"/>
        <v>West</v>
      </c>
      <c r="F236" t="s">
        <v>18</v>
      </c>
      <c r="G236" s="1">
        <v>45210</v>
      </c>
      <c r="H236" s="1">
        <v>45214</v>
      </c>
      <c r="I236" s="1">
        <f t="shared" si="23"/>
        <v>45214</v>
      </c>
      <c r="J236" s="2">
        <v>17.600000000000001</v>
      </c>
      <c r="K236" s="2">
        <v>167.63</v>
      </c>
      <c r="L236" t="s">
        <v>15</v>
      </c>
      <c r="M236" s="2">
        <v>1038</v>
      </c>
      <c r="N236" s="2">
        <v>4</v>
      </c>
      <c r="O236" s="2">
        <f t="shared" si="20"/>
        <v>259.5</v>
      </c>
      <c r="P236" s="2">
        <f t="shared" si="21"/>
        <v>1.5480522579490545</v>
      </c>
      <c r="Q236" s="3">
        <f t="shared" si="22"/>
        <v>0.16149325626204239</v>
      </c>
    </row>
    <row r="237" spans="1:17" hidden="1" x14ac:dyDescent="0.25">
      <c r="A237" t="s">
        <v>290</v>
      </c>
      <c r="B237" t="s">
        <v>49</v>
      </c>
      <c r="C237" t="s">
        <v>21</v>
      </c>
      <c r="D237" t="str">
        <f t="shared" si="18"/>
        <v>TX</v>
      </c>
      <c r="E237" t="str">
        <f t="shared" si="19"/>
        <v>Southwest</v>
      </c>
      <c r="F237" t="s">
        <v>42</v>
      </c>
      <c r="G237" s="1">
        <v>45070</v>
      </c>
      <c r="H237" s="1">
        <v>45074</v>
      </c>
      <c r="I237" s="1">
        <f t="shared" si="23"/>
        <v>45074</v>
      </c>
      <c r="J237" s="2">
        <v>8.6999999999999993</v>
      </c>
      <c r="K237" s="2">
        <v>188.16</v>
      </c>
      <c r="L237" t="s">
        <v>15</v>
      </c>
      <c r="M237" s="2">
        <v>1590</v>
      </c>
      <c r="N237" s="2">
        <v>4</v>
      </c>
      <c r="O237" s="2">
        <f t="shared" si="20"/>
        <v>397.5</v>
      </c>
      <c r="P237" s="2">
        <f t="shared" si="21"/>
        <v>2.1125637755102042</v>
      </c>
      <c r="Q237" s="3">
        <f t="shared" si="22"/>
        <v>0.11833962264150943</v>
      </c>
    </row>
    <row r="238" spans="1:17" hidden="1" x14ac:dyDescent="0.25">
      <c r="A238" t="s">
        <v>291</v>
      </c>
      <c r="B238" t="s">
        <v>30</v>
      </c>
      <c r="C238" t="s">
        <v>44</v>
      </c>
      <c r="D238" t="str">
        <f t="shared" si="18"/>
        <v>IL</v>
      </c>
      <c r="E238" t="str">
        <f t="shared" si="19"/>
        <v>Midwest</v>
      </c>
      <c r="F238" t="s">
        <v>18</v>
      </c>
      <c r="G238" s="1">
        <v>45150</v>
      </c>
      <c r="H238" s="1">
        <v>45155</v>
      </c>
      <c r="I238" s="1">
        <f t="shared" si="23"/>
        <v>45155</v>
      </c>
      <c r="J238" s="2">
        <v>11.8</v>
      </c>
      <c r="K238" s="2">
        <v>92.57</v>
      </c>
      <c r="L238" t="s">
        <v>62</v>
      </c>
      <c r="M238" s="2">
        <v>590</v>
      </c>
      <c r="N238" s="2">
        <v>5</v>
      </c>
      <c r="O238" s="2">
        <f t="shared" si="20"/>
        <v>118</v>
      </c>
      <c r="P238" s="2">
        <f t="shared" si="21"/>
        <v>1.2747110294911959</v>
      </c>
      <c r="Q238" s="3">
        <f t="shared" si="22"/>
        <v>0.15689830508474575</v>
      </c>
    </row>
    <row r="239" spans="1:17" hidden="1" x14ac:dyDescent="0.25">
      <c r="A239" t="s">
        <v>292</v>
      </c>
      <c r="B239" t="s">
        <v>39</v>
      </c>
      <c r="C239" t="s">
        <v>21</v>
      </c>
      <c r="D239" t="str">
        <f t="shared" si="18"/>
        <v>TX</v>
      </c>
      <c r="E239" t="str">
        <f t="shared" si="19"/>
        <v>Southwest</v>
      </c>
      <c r="F239" t="s">
        <v>42</v>
      </c>
      <c r="G239" s="1">
        <v>45019</v>
      </c>
      <c r="H239" s="1">
        <v>45023</v>
      </c>
      <c r="I239" s="1">
        <f t="shared" si="23"/>
        <v>45023</v>
      </c>
      <c r="J239" s="2">
        <v>44</v>
      </c>
      <c r="K239" s="2">
        <v>167.48</v>
      </c>
      <c r="L239" t="s">
        <v>15</v>
      </c>
      <c r="M239" s="2">
        <v>1105</v>
      </c>
      <c r="N239" s="2">
        <v>4</v>
      </c>
      <c r="O239" s="2">
        <f t="shared" si="20"/>
        <v>276.25</v>
      </c>
      <c r="P239" s="2">
        <f t="shared" si="21"/>
        <v>1.64945068067829</v>
      </c>
      <c r="Q239" s="3">
        <f t="shared" si="22"/>
        <v>0.1515656108597285</v>
      </c>
    </row>
    <row r="240" spans="1:17" hidden="1" x14ac:dyDescent="0.25">
      <c r="A240" t="s">
        <v>293</v>
      </c>
      <c r="B240" t="s">
        <v>12</v>
      </c>
      <c r="C240" t="s">
        <v>57</v>
      </c>
      <c r="D240" t="str">
        <f t="shared" si="18"/>
        <v>MN</v>
      </c>
      <c r="E240" t="str">
        <f t="shared" si="19"/>
        <v>Midwest</v>
      </c>
      <c r="F240" t="s">
        <v>59</v>
      </c>
      <c r="G240" s="1">
        <v>44974</v>
      </c>
      <c r="H240" s="1">
        <v>44977</v>
      </c>
      <c r="I240" s="1">
        <f t="shared" si="23"/>
        <v>44977</v>
      </c>
      <c r="J240" s="2">
        <v>16.7</v>
      </c>
      <c r="K240" s="2">
        <v>152.32</v>
      </c>
      <c r="L240" t="s">
        <v>15</v>
      </c>
      <c r="M240" s="2">
        <v>1153</v>
      </c>
      <c r="N240" s="2">
        <v>3</v>
      </c>
      <c r="O240" s="2">
        <f t="shared" si="20"/>
        <v>384.33333333333331</v>
      </c>
      <c r="P240" s="2">
        <f t="shared" si="21"/>
        <v>2.5231967787114846</v>
      </c>
      <c r="Q240" s="3">
        <f t="shared" si="22"/>
        <v>0.13210754553339116</v>
      </c>
    </row>
    <row r="241" spans="1:17" hidden="1" x14ac:dyDescent="0.25">
      <c r="A241" t="s">
        <v>294</v>
      </c>
      <c r="B241" t="s">
        <v>20</v>
      </c>
      <c r="C241" t="s">
        <v>57</v>
      </c>
      <c r="D241" t="str">
        <f t="shared" si="18"/>
        <v>MN</v>
      </c>
      <c r="E241" t="str">
        <f t="shared" si="19"/>
        <v>Midwest</v>
      </c>
      <c r="F241" t="s">
        <v>59</v>
      </c>
      <c r="G241" s="1">
        <v>45005</v>
      </c>
      <c r="H241" s="1">
        <v>45008</v>
      </c>
      <c r="I241" s="1">
        <f t="shared" si="23"/>
        <v>45008</v>
      </c>
      <c r="J241" s="2">
        <v>21.9</v>
      </c>
      <c r="K241" s="2">
        <v>167.58</v>
      </c>
      <c r="L241" t="s">
        <v>15</v>
      </c>
      <c r="M241" s="2">
        <v>1124</v>
      </c>
      <c r="N241" s="2">
        <v>3</v>
      </c>
      <c r="O241" s="2">
        <f t="shared" si="20"/>
        <v>374.66666666666669</v>
      </c>
      <c r="P241" s="2">
        <f t="shared" si="21"/>
        <v>2.2357481004097544</v>
      </c>
      <c r="Q241" s="3">
        <f t="shared" si="22"/>
        <v>0.14909252669039147</v>
      </c>
    </row>
    <row r="242" spans="1:17" hidden="1" x14ac:dyDescent="0.25">
      <c r="A242" t="s">
        <v>295</v>
      </c>
      <c r="B242" t="s">
        <v>20</v>
      </c>
      <c r="C242" t="s">
        <v>31</v>
      </c>
      <c r="D242" t="str">
        <f t="shared" si="18"/>
        <v>NY</v>
      </c>
      <c r="E242" t="str">
        <f t="shared" si="19"/>
        <v>Northeast</v>
      </c>
      <c r="F242" t="s">
        <v>42</v>
      </c>
      <c r="G242" s="1">
        <v>44985</v>
      </c>
      <c r="H242" s="1">
        <v>44990</v>
      </c>
      <c r="I242" s="1">
        <f t="shared" si="23"/>
        <v>44990</v>
      </c>
      <c r="J242" s="2">
        <v>3.6</v>
      </c>
      <c r="K242" s="2">
        <v>230.21</v>
      </c>
      <c r="L242" t="s">
        <v>15</v>
      </c>
      <c r="M242" s="2">
        <v>2074</v>
      </c>
      <c r="N242" s="2">
        <v>5</v>
      </c>
      <c r="O242" s="2">
        <f t="shared" si="20"/>
        <v>414.8</v>
      </c>
      <c r="P242" s="2">
        <f t="shared" si="21"/>
        <v>1.801833108900569</v>
      </c>
      <c r="Q242" s="3">
        <f t="shared" si="22"/>
        <v>0.11099807135969142</v>
      </c>
    </row>
    <row r="243" spans="1:17" x14ac:dyDescent="0.25">
      <c r="A243" t="s">
        <v>296</v>
      </c>
      <c r="B243" t="s">
        <v>39</v>
      </c>
      <c r="C243" t="s">
        <v>24</v>
      </c>
      <c r="D243" t="str">
        <f t="shared" si="18"/>
        <v>WA</v>
      </c>
      <c r="E243" t="str">
        <f t="shared" si="19"/>
        <v>West</v>
      </c>
      <c r="F243" t="s">
        <v>14</v>
      </c>
      <c r="G243" s="1">
        <v>45288</v>
      </c>
      <c r="H243" s="1">
        <v>45290</v>
      </c>
      <c r="I243" s="1">
        <f t="shared" si="23"/>
        <v>45290</v>
      </c>
      <c r="J243" s="2">
        <v>32.700000000000003</v>
      </c>
      <c r="K243" s="2">
        <v>97.49</v>
      </c>
      <c r="L243" t="s">
        <v>15</v>
      </c>
      <c r="M243" s="2">
        <v>302</v>
      </c>
      <c r="N243" s="2">
        <v>2</v>
      </c>
      <c r="O243" s="2">
        <f t="shared" si="20"/>
        <v>151</v>
      </c>
      <c r="P243" s="2">
        <f t="shared" si="21"/>
        <v>1.5488768078777311</v>
      </c>
      <c r="Q243" s="3">
        <f t="shared" si="22"/>
        <v>0.32281456953642385</v>
      </c>
    </row>
    <row r="244" spans="1:17" hidden="1" x14ac:dyDescent="0.25">
      <c r="A244" t="s">
        <v>297</v>
      </c>
      <c r="B244" t="s">
        <v>56</v>
      </c>
      <c r="C244" t="s">
        <v>44</v>
      </c>
      <c r="D244" t="str">
        <f t="shared" si="18"/>
        <v>IL</v>
      </c>
      <c r="E244" t="str">
        <f t="shared" si="19"/>
        <v>Midwest</v>
      </c>
      <c r="F244" t="s">
        <v>59</v>
      </c>
      <c r="G244" s="1">
        <v>45233</v>
      </c>
      <c r="H244" s="1">
        <v>45238</v>
      </c>
      <c r="I244" s="1">
        <f t="shared" si="23"/>
        <v>45238</v>
      </c>
      <c r="J244" s="2">
        <v>13.6</v>
      </c>
      <c r="K244" s="2">
        <v>316.04000000000002</v>
      </c>
      <c r="L244" t="s">
        <v>15</v>
      </c>
      <c r="M244" s="2">
        <v>2073</v>
      </c>
      <c r="N244" s="2">
        <v>5</v>
      </c>
      <c r="O244" s="2">
        <f t="shared" si="20"/>
        <v>414.6</v>
      </c>
      <c r="P244" s="2">
        <f t="shared" si="21"/>
        <v>1.3118592583217314</v>
      </c>
      <c r="Q244" s="3">
        <f t="shared" si="22"/>
        <v>0.1524553786782441</v>
      </c>
    </row>
    <row r="245" spans="1:17" x14ac:dyDescent="0.25">
      <c r="A245" t="s">
        <v>298</v>
      </c>
      <c r="B245" t="s">
        <v>51</v>
      </c>
      <c r="C245" t="s">
        <v>36</v>
      </c>
      <c r="D245" t="str">
        <f t="shared" si="18"/>
        <v>OR</v>
      </c>
      <c r="E245" t="str">
        <f t="shared" si="19"/>
        <v>West</v>
      </c>
      <c r="F245" t="s">
        <v>37</v>
      </c>
      <c r="G245" s="1">
        <v>44983</v>
      </c>
      <c r="H245" s="1">
        <v>44953</v>
      </c>
      <c r="I245" s="1">
        <f t="shared" si="23"/>
        <v>44953</v>
      </c>
      <c r="J245" s="2">
        <v>5.5</v>
      </c>
      <c r="K245" s="2">
        <v>259.45</v>
      </c>
      <c r="L245" t="s">
        <v>15</v>
      </c>
      <c r="M245" s="2">
        <v>2132</v>
      </c>
      <c r="N245" s="2">
        <v>7</v>
      </c>
      <c r="O245" s="2">
        <f t="shared" si="20"/>
        <v>304.57142857142856</v>
      </c>
      <c r="P245" s="2">
        <f t="shared" si="21"/>
        <v>1.1739118464884508</v>
      </c>
      <c r="Q245" s="3">
        <f t="shared" si="22"/>
        <v>0.12169324577861163</v>
      </c>
    </row>
    <row r="246" spans="1:17" hidden="1" x14ac:dyDescent="0.25">
      <c r="A246" t="s">
        <v>299</v>
      </c>
      <c r="B246" t="s">
        <v>23</v>
      </c>
      <c r="C246" t="s">
        <v>44</v>
      </c>
      <c r="D246" t="str">
        <f t="shared" si="18"/>
        <v>IL</v>
      </c>
      <c r="E246" t="str">
        <f t="shared" si="19"/>
        <v>Midwest</v>
      </c>
      <c r="F246" t="s">
        <v>37</v>
      </c>
      <c r="G246" s="1">
        <v>44987</v>
      </c>
      <c r="H246" s="1">
        <v>44990</v>
      </c>
      <c r="I246" s="1">
        <f t="shared" si="23"/>
        <v>44990</v>
      </c>
      <c r="J246" s="2">
        <v>27.5</v>
      </c>
      <c r="K246" s="2">
        <v>111.16</v>
      </c>
      <c r="L246" t="s">
        <v>15</v>
      </c>
      <c r="M246" s="2">
        <v>569</v>
      </c>
      <c r="N246" s="2">
        <v>3</v>
      </c>
      <c r="O246" s="2">
        <f t="shared" si="20"/>
        <v>189.66666666666666</v>
      </c>
      <c r="P246" s="2">
        <f t="shared" si="21"/>
        <v>1.7062492503298547</v>
      </c>
      <c r="Q246" s="3">
        <f t="shared" si="22"/>
        <v>0.19536028119507909</v>
      </c>
    </row>
    <row r="247" spans="1:17" x14ac:dyDescent="0.25">
      <c r="A247" t="s">
        <v>300</v>
      </c>
      <c r="B247" t="s">
        <v>23</v>
      </c>
      <c r="C247" t="s">
        <v>70</v>
      </c>
      <c r="D247" t="str">
        <f t="shared" si="18"/>
        <v>CA</v>
      </c>
      <c r="E247" t="str">
        <f t="shared" si="19"/>
        <v>West</v>
      </c>
      <c r="F247" t="s">
        <v>14</v>
      </c>
      <c r="G247" s="1">
        <v>45241</v>
      </c>
      <c r="H247" s="1">
        <v>45246</v>
      </c>
      <c r="I247" s="1">
        <f t="shared" si="23"/>
        <v>45246</v>
      </c>
      <c r="J247" s="2">
        <v>21.5</v>
      </c>
      <c r="K247" s="2">
        <v>437.58</v>
      </c>
      <c r="L247" t="s">
        <v>15</v>
      </c>
      <c r="M247" s="2">
        <v>2433</v>
      </c>
      <c r="N247" s="2">
        <v>5</v>
      </c>
      <c r="O247" s="2">
        <f t="shared" si="20"/>
        <v>486.6</v>
      </c>
      <c r="P247" s="2">
        <f t="shared" si="21"/>
        <v>1.1120252296722886</v>
      </c>
      <c r="Q247" s="3">
        <f t="shared" si="22"/>
        <v>0.17985203452527743</v>
      </c>
    </row>
    <row r="248" spans="1:17" x14ac:dyDescent="0.25">
      <c r="A248" t="s">
        <v>301</v>
      </c>
      <c r="B248" t="s">
        <v>30</v>
      </c>
      <c r="C248" t="s">
        <v>81</v>
      </c>
      <c r="D248" t="str">
        <f t="shared" si="18"/>
        <v>CO</v>
      </c>
      <c r="E248" t="str">
        <f t="shared" si="19"/>
        <v>West</v>
      </c>
      <c r="F248" t="s">
        <v>42</v>
      </c>
      <c r="G248" s="1">
        <v>44941</v>
      </c>
      <c r="H248" s="1">
        <v>44943</v>
      </c>
      <c r="I248" s="1">
        <f t="shared" si="23"/>
        <v>44943</v>
      </c>
      <c r="J248" s="2">
        <v>24.8</v>
      </c>
      <c r="K248" s="2">
        <v>110.65</v>
      </c>
      <c r="L248" t="s">
        <v>15</v>
      </c>
      <c r="M248" s="2">
        <v>677</v>
      </c>
      <c r="N248" s="2">
        <v>2</v>
      </c>
      <c r="O248" s="2">
        <f t="shared" si="20"/>
        <v>338.5</v>
      </c>
      <c r="P248" s="2">
        <f t="shared" si="21"/>
        <v>3.0591956619972884</v>
      </c>
      <c r="Q248" s="3">
        <f t="shared" si="22"/>
        <v>0.16344165435745939</v>
      </c>
    </row>
    <row r="249" spans="1:17" x14ac:dyDescent="0.25">
      <c r="A249" t="s">
        <v>302</v>
      </c>
      <c r="B249" t="s">
        <v>23</v>
      </c>
      <c r="C249" t="s">
        <v>36</v>
      </c>
      <c r="D249" t="str">
        <f t="shared" si="18"/>
        <v>OR</v>
      </c>
      <c r="E249" t="str">
        <f t="shared" si="19"/>
        <v>West</v>
      </c>
      <c r="F249" t="s">
        <v>42</v>
      </c>
      <c r="G249" s="1">
        <v>44984</v>
      </c>
      <c r="H249" s="1">
        <v>44990</v>
      </c>
      <c r="I249" s="1">
        <f t="shared" si="23"/>
        <v>44990</v>
      </c>
      <c r="J249" s="2">
        <v>11.2</v>
      </c>
      <c r="K249" s="2">
        <v>324.52</v>
      </c>
      <c r="L249" t="s">
        <v>62</v>
      </c>
      <c r="M249" s="2">
        <v>2379</v>
      </c>
      <c r="N249" s="2">
        <v>6</v>
      </c>
      <c r="O249" s="2">
        <f t="shared" si="20"/>
        <v>396.5</v>
      </c>
      <c r="P249" s="2">
        <f t="shared" si="21"/>
        <v>1.2218045112781954</v>
      </c>
      <c r="Q249" s="3">
        <f t="shared" si="22"/>
        <v>0.13641025641025639</v>
      </c>
    </row>
    <row r="250" spans="1:17" x14ac:dyDescent="0.25">
      <c r="A250" t="s">
        <v>303</v>
      </c>
      <c r="B250" t="s">
        <v>20</v>
      </c>
      <c r="C250" t="s">
        <v>81</v>
      </c>
      <c r="D250" t="str">
        <f t="shared" si="18"/>
        <v>CO</v>
      </c>
      <c r="E250" t="str">
        <f t="shared" si="19"/>
        <v>West</v>
      </c>
      <c r="F250" t="s">
        <v>14</v>
      </c>
      <c r="G250" s="1">
        <v>45241</v>
      </c>
      <c r="H250" s="1">
        <v>45246</v>
      </c>
      <c r="I250" s="1">
        <f t="shared" si="23"/>
        <v>45246</v>
      </c>
      <c r="J250" s="2">
        <v>17.899999999999999</v>
      </c>
      <c r="K250" s="2">
        <v>191.48</v>
      </c>
      <c r="L250" t="s">
        <v>15</v>
      </c>
      <c r="M250" s="2">
        <v>984</v>
      </c>
      <c r="N250" s="2">
        <v>5</v>
      </c>
      <c r="O250" s="2">
        <f t="shared" si="20"/>
        <v>196.8</v>
      </c>
      <c r="P250" s="2">
        <f t="shared" si="21"/>
        <v>1.0277835805306039</v>
      </c>
      <c r="Q250" s="3">
        <f t="shared" si="22"/>
        <v>0.19459349593495934</v>
      </c>
    </row>
    <row r="251" spans="1:17" hidden="1" x14ac:dyDescent="0.25">
      <c r="A251" t="s">
        <v>304</v>
      </c>
      <c r="B251" t="s">
        <v>56</v>
      </c>
      <c r="C251" t="s">
        <v>54</v>
      </c>
      <c r="D251" t="str">
        <f t="shared" si="18"/>
        <v>FL</v>
      </c>
      <c r="E251" t="str">
        <f t="shared" si="19"/>
        <v>Southeast</v>
      </c>
      <c r="F251" t="s">
        <v>18</v>
      </c>
      <c r="G251" s="1">
        <v>45065</v>
      </c>
      <c r="H251" s="1">
        <v>45068</v>
      </c>
      <c r="I251" s="1">
        <f t="shared" si="23"/>
        <v>45068</v>
      </c>
      <c r="J251" s="2">
        <v>34.9</v>
      </c>
      <c r="K251" s="2">
        <v>102.14</v>
      </c>
      <c r="L251" t="s">
        <v>15</v>
      </c>
      <c r="M251" s="2">
        <v>420</v>
      </c>
      <c r="N251" s="2">
        <v>3</v>
      </c>
      <c r="O251" s="2">
        <f t="shared" si="20"/>
        <v>140</v>
      </c>
      <c r="P251" s="2">
        <f t="shared" si="21"/>
        <v>1.3706677109849226</v>
      </c>
      <c r="Q251" s="3">
        <f t="shared" si="22"/>
        <v>0.24319047619047618</v>
      </c>
    </row>
    <row r="252" spans="1:17" hidden="1" x14ac:dyDescent="0.25">
      <c r="A252" t="s">
        <v>305</v>
      </c>
      <c r="B252" t="s">
        <v>12</v>
      </c>
      <c r="C252" t="s">
        <v>28</v>
      </c>
      <c r="D252" t="str">
        <f t="shared" ref="D252:D312" si="24">IF(C252="Atlanta","GA",
IF(C252="Boston","MA",
IF(C252="Chicago","IL",
IF(C252="Dallas","TX",
IF(C252="Denver","CO",
IF(C252="Detroit","MI",
IF(C252="Houston","TX",
IF(C252="Los Angeles","CA",
IF(C252="Miami","FL",
IF(C252="Minneapolis","MN",
IF(C252="New York","NY",
IF(C252="Phoenix","AZ",
IF(C252="Portland","OR",
IF(C252="San Francisco","CA",
IF(C252="Seattle","WA","Unknown")))))))))))))))</f>
        <v>TX</v>
      </c>
      <c r="E252" t="str">
        <f t="shared" ref="E252:E312" si="25">IF(OR(D252="NY",D252="NJ",D252="PA",D252="MA",D252="CT",D252="RI",D252="VT",D252="NH",D252="ME"),"Northeast",
IF(OR(D252="FL",D252="GA",D252="AL",D252="MS",D252="SC",D252="NC",D252="TN",D252="KY"),"Southeast",
IF(OR(D252="IL",D252="IN",D252="OH",D252="MI",D252="WI",D252="MN",D252="IA",D252="MO",D252="KS",D252="NE",D252="ND",D252="SD"),"Midwest",
IF(OR(D252="TX",D252="OK",D252="NM",D252="AZ"),"Southwest",
IF(OR(D252="CA",D252="OR",D252="WA",D252="NV",D252="CO",D252="UT",D252="ID",D252="MT",D252="WY",D252="AK",D252="HI"),"West","Other")))))</f>
        <v>Southwest</v>
      </c>
      <c r="F252" t="s">
        <v>32</v>
      </c>
      <c r="G252" s="1">
        <v>44985</v>
      </c>
      <c r="H252" s="1">
        <v>44986</v>
      </c>
      <c r="I252" s="1">
        <f t="shared" si="23"/>
        <v>44986</v>
      </c>
      <c r="J252" s="2">
        <v>27.1</v>
      </c>
      <c r="K252" s="2">
        <v>79.459999999999994</v>
      </c>
      <c r="L252" t="s">
        <v>15</v>
      </c>
      <c r="M252" s="2">
        <v>338</v>
      </c>
      <c r="N252" s="2">
        <v>1</v>
      </c>
      <c r="O252" s="2">
        <f t="shared" ref="O252:O312" si="26">M252/N252</f>
        <v>338</v>
      </c>
      <c r="P252" s="2">
        <f t="shared" ref="P252:P312" si="27">O252/K252</f>
        <v>4.2537125597785055</v>
      </c>
      <c r="Q252" s="3">
        <f t="shared" ref="Q252:Q312" si="28">K252/M252</f>
        <v>0.23508875739644969</v>
      </c>
    </row>
    <row r="253" spans="1:17" x14ac:dyDescent="0.25">
      <c r="A253" t="s">
        <v>306</v>
      </c>
      <c r="B253" t="s">
        <v>35</v>
      </c>
      <c r="C253" t="s">
        <v>70</v>
      </c>
      <c r="D253" t="str">
        <f t="shared" si="24"/>
        <v>CA</v>
      </c>
      <c r="E253" t="str">
        <f t="shared" si="25"/>
        <v>West</v>
      </c>
      <c r="F253" t="s">
        <v>37</v>
      </c>
      <c r="G253" s="1">
        <v>45185</v>
      </c>
      <c r="H253" s="1">
        <v>45198</v>
      </c>
      <c r="I253" s="1">
        <f t="shared" si="23"/>
        <v>45198</v>
      </c>
      <c r="J253" s="2">
        <v>46.8</v>
      </c>
      <c r="K253" s="2">
        <v>105.98</v>
      </c>
      <c r="L253" t="s">
        <v>47</v>
      </c>
      <c r="M253" s="2">
        <v>410</v>
      </c>
      <c r="N253" s="2">
        <v>2</v>
      </c>
      <c r="O253" s="2">
        <f t="shared" si="26"/>
        <v>205</v>
      </c>
      <c r="P253" s="2">
        <f t="shared" si="27"/>
        <v>1.9343272315531232</v>
      </c>
      <c r="Q253" s="3">
        <f t="shared" si="28"/>
        <v>0.25848780487804879</v>
      </c>
    </row>
    <row r="254" spans="1:17" hidden="1" x14ac:dyDescent="0.25">
      <c r="A254" t="s">
        <v>307</v>
      </c>
      <c r="B254" t="s">
        <v>20</v>
      </c>
      <c r="C254" t="s">
        <v>57</v>
      </c>
      <c r="D254" t="str">
        <f t="shared" si="24"/>
        <v>MN</v>
      </c>
      <c r="E254" t="str">
        <f t="shared" si="25"/>
        <v>Midwest</v>
      </c>
      <c r="F254" t="s">
        <v>14</v>
      </c>
      <c r="G254" s="1">
        <v>45073</v>
      </c>
      <c r="H254" s="1">
        <v>45078</v>
      </c>
      <c r="I254" s="1">
        <f t="shared" si="23"/>
        <v>45078</v>
      </c>
      <c r="J254" s="2">
        <v>10.4</v>
      </c>
      <c r="K254" s="2">
        <v>204.87</v>
      </c>
      <c r="L254" t="s">
        <v>15</v>
      </c>
      <c r="M254" s="2">
        <v>1486</v>
      </c>
      <c r="N254" s="2">
        <v>5</v>
      </c>
      <c r="O254" s="2">
        <f t="shared" si="26"/>
        <v>297.2</v>
      </c>
      <c r="P254" s="2">
        <f t="shared" si="27"/>
        <v>1.4506760384634156</v>
      </c>
      <c r="Q254" s="3">
        <f t="shared" si="28"/>
        <v>0.13786675639300136</v>
      </c>
    </row>
    <row r="255" spans="1:17" x14ac:dyDescent="0.25">
      <c r="A255" t="s">
        <v>308</v>
      </c>
      <c r="B255" t="s">
        <v>12</v>
      </c>
      <c r="C255" t="s">
        <v>13</v>
      </c>
      <c r="D255" t="str">
        <f t="shared" si="24"/>
        <v>CA</v>
      </c>
      <c r="E255" t="str">
        <f t="shared" si="25"/>
        <v>West</v>
      </c>
      <c r="F255" t="s">
        <v>14</v>
      </c>
      <c r="G255" s="1">
        <v>45112</v>
      </c>
      <c r="I255" s="1">
        <f t="shared" si="23"/>
        <v>45118</v>
      </c>
      <c r="J255" s="2">
        <v>14.6</v>
      </c>
      <c r="K255" s="2">
        <v>358.31</v>
      </c>
      <c r="L255" t="s">
        <v>47</v>
      </c>
      <c r="M255" s="2">
        <v>2492</v>
      </c>
      <c r="N255" s="2">
        <v>6</v>
      </c>
      <c r="O255" s="2">
        <f t="shared" si="26"/>
        <v>415.33333333333331</v>
      </c>
      <c r="P255" s="2">
        <f t="shared" si="27"/>
        <v>1.1591452466672247</v>
      </c>
      <c r="Q255" s="3">
        <f t="shared" si="28"/>
        <v>0.14378410914927769</v>
      </c>
    </row>
    <row r="256" spans="1:17" hidden="1" x14ac:dyDescent="0.25">
      <c r="A256" t="s">
        <v>309</v>
      </c>
      <c r="B256" t="s">
        <v>39</v>
      </c>
      <c r="C256" t="s">
        <v>40</v>
      </c>
      <c r="D256" t="str">
        <f t="shared" si="24"/>
        <v>MI</v>
      </c>
      <c r="E256" t="str">
        <f t="shared" si="25"/>
        <v>Midwest</v>
      </c>
      <c r="F256" t="s">
        <v>18</v>
      </c>
      <c r="G256" s="1">
        <v>45284</v>
      </c>
      <c r="H256" s="1">
        <v>45288</v>
      </c>
      <c r="I256" s="1">
        <f t="shared" si="23"/>
        <v>45288</v>
      </c>
      <c r="J256" s="2">
        <v>39.200000000000003</v>
      </c>
      <c r="K256" s="2">
        <v>159.9</v>
      </c>
      <c r="L256" t="s">
        <v>15</v>
      </c>
      <c r="M256" s="2">
        <v>605</v>
      </c>
      <c r="N256" s="2">
        <v>4</v>
      </c>
      <c r="O256" s="2">
        <f t="shared" si="26"/>
        <v>151.25</v>
      </c>
      <c r="P256" s="2">
        <f t="shared" si="27"/>
        <v>0.94590368980612882</v>
      </c>
      <c r="Q256" s="3">
        <f t="shared" si="28"/>
        <v>0.26429752066115703</v>
      </c>
    </row>
    <row r="257" spans="1:17" x14ac:dyDescent="0.25">
      <c r="A257" t="s">
        <v>311</v>
      </c>
      <c r="B257" t="s">
        <v>56</v>
      </c>
      <c r="C257" t="s">
        <v>36</v>
      </c>
      <c r="D257" t="str">
        <f t="shared" si="24"/>
        <v>OR</v>
      </c>
      <c r="E257" t="str">
        <f t="shared" si="25"/>
        <v>West</v>
      </c>
      <c r="F257" t="s">
        <v>32</v>
      </c>
      <c r="G257" s="1">
        <v>45169</v>
      </c>
      <c r="H257" s="1">
        <v>45170</v>
      </c>
      <c r="I257" s="1">
        <f t="shared" si="23"/>
        <v>45170</v>
      </c>
      <c r="J257" s="2">
        <v>8.6</v>
      </c>
      <c r="K257" s="2">
        <v>34.32</v>
      </c>
      <c r="L257" t="s">
        <v>15</v>
      </c>
      <c r="M257" s="2">
        <v>165</v>
      </c>
      <c r="N257" s="2">
        <v>1</v>
      </c>
      <c r="O257" s="2">
        <f t="shared" si="26"/>
        <v>165</v>
      </c>
      <c r="P257" s="2">
        <f t="shared" si="27"/>
        <v>4.8076923076923075</v>
      </c>
      <c r="Q257" s="3">
        <f t="shared" si="28"/>
        <v>0.20799999999999999</v>
      </c>
    </row>
    <row r="258" spans="1:17" hidden="1" x14ac:dyDescent="0.25">
      <c r="A258" t="s">
        <v>312</v>
      </c>
      <c r="B258" t="s">
        <v>20</v>
      </c>
      <c r="C258" t="s">
        <v>28</v>
      </c>
      <c r="D258" t="str">
        <f t="shared" si="24"/>
        <v>TX</v>
      </c>
      <c r="E258" t="str">
        <f t="shared" si="25"/>
        <v>Southwest</v>
      </c>
      <c r="F258" t="s">
        <v>14</v>
      </c>
      <c r="G258" s="1">
        <v>44937</v>
      </c>
      <c r="H258" s="1">
        <v>44941</v>
      </c>
      <c r="I258" s="1">
        <f t="shared" ref="I258:I321" si="29">IF(H258="", G258 + N258, H258)</f>
        <v>44941</v>
      </c>
      <c r="J258" s="2">
        <v>10.9</v>
      </c>
      <c r="K258" s="2">
        <v>191.54</v>
      </c>
      <c r="L258" t="s">
        <v>15</v>
      </c>
      <c r="M258" s="2">
        <v>1435</v>
      </c>
      <c r="N258" s="2">
        <v>4</v>
      </c>
      <c r="O258" s="2">
        <f t="shared" si="26"/>
        <v>358.75</v>
      </c>
      <c r="P258" s="2">
        <f t="shared" si="27"/>
        <v>1.8729769238801295</v>
      </c>
      <c r="Q258" s="3">
        <f t="shared" si="28"/>
        <v>0.1334773519163763</v>
      </c>
    </row>
    <row r="259" spans="1:17" hidden="1" x14ac:dyDescent="0.25">
      <c r="A259" t="s">
        <v>313</v>
      </c>
      <c r="B259" t="s">
        <v>27</v>
      </c>
      <c r="C259" t="s">
        <v>40</v>
      </c>
      <c r="D259" t="str">
        <f t="shared" si="24"/>
        <v>MI</v>
      </c>
      <c r="E259" t="str">
        <f t="shared" si="25"/>
        <v>Midwest</v>
      </c>
      <c r="F259" t="s">
        <v>59</v>
      </c>
      <c r="G259" s="1">
        <v>44937</v>
      </c>
      <c r="H259" s="1">
        <v>44940</v>
      </c>
      <c r="I259" s="1">
        <f t="shared" si="29"/>
        <v>44940</v>
      </c>
      <c r="J259" s="2">
        <v>35.299999999999997</v>
      </c>
      <c r="K259" s="2">
        <v>102.36</v>
      </c>
      <c r="L259" t="s">
        <v>15</v>
      </c>
      <c r="M259" s="2">
        <v>533</v>
      </c>
      <c r="N259" s="2">
        <v>3</v>
      </c>
      <c r="O259" s="2">
        <f t="shared" si="26"/>
        <v>177.66666666666666</v>
      </c>
      <c r="P259" s="2">
        <f t="shared" si="27"/>
        <v>1.7357040510616126</v>
      </c>
      <c r="Q259" s="3">
        <f t="shared" si="28"/>
        <v>0.19204502814258911</v>
      </c>
    </row>
    <row r="260" spans="1:17" hidden="1" x14ac:dyDescent="0.25">
      <c r="A260" t="s">
        <v>314</v>
      </c>
      <c r="B260" t="s">
        <v>23</v>
      </c>
      <c r="C260" t="s">
        <v>52</v>
      </c>
      <c r="D260" t="str">
        <f t="shared" si="24"/>
        <v>AZ</v>
      </c>
      <c r="E260" t="str">
        <f t="shared" si="25"/>
        <v>Southwest</v>
      </c>
      <c r="F260" t="s">
        <v>37</v>
      </c>
      <c r="G260" s="1">
        <v>45259</v>
      </c>
      <c r="H260" s="1">
        <v>45265</v>
      </c>
      <c r="I260" s="1">
        <f t="shared" si="29"/>
        <v>45265</v>
      </c>
      <c r="J260" s="2">
        <v>40.9</v>
      </c>
      <c r="K260" s="2">
        <v>224.12</v>
      </c>
      <c r="L260" t="s">
        <v>15</v>
      </c>
      <c r="M260" s="2">
        <v>1122</v>
      </c>
      <c r="N260" s="2">
        <v>6</v>
      </c>
      <c r="O260" s="2">
        <f t="shared" si="26"/>
        <v>187</v>
      </c>
      <c r="P260" s="2">
        <f t="shared" si="27"/>
        <v>0.83437444226307333</v>
      </c>
      <c r="Q260" s="3">
        <f t="shared" si="28"/>
        <v>0.19975044563279859</v>
      </c>
    </row>
    <row r="261" spans="1:17" hidden="1" x14ac:dyDescent="0.25">
      <c r="A261" t="s">
        <v>315</v>
      </c>
      <c r="B261" t="s">
        <v>30</v>
      </c>
      <c r="C261" t="s">
        <v>57</v>
      </c>
      <c r="D261" t="str">
        <f t="shared" si="24"/>
        <v>MN</v>
      </c>
      <c r="E261" t="str">
        <f t="shared" si="25"/>
        <v>Midwest</v>
      </c>
      <c r="F261" t="s">
        <v>18</v>
      </c>
      <c r="G261" s="1">
        <v>45129</v>
      </c>
      <c r="H261" s="1">
        <v>45130</v>
      </c>
      <c r="I261" s="1">
        <f t="shared" si="29"/>
        <v>45130</v>
      </c>
      <c r="J261" s="2">
        <v>22.4</v>
      </c>
      <c r="K261" s="2">
        <v>70.430000000000007</v>
      </c>
      <c r="L261" t="s">
        <v>15</v>
      </c>
      <c r="M261" s="2">
        <v>263</v>
      </c>
      <c r="N261" s="2">
        <v>1</v>
      </c>
      <c r="O261" s="2">
        <f t="shared" si="26"/>
        <v>263</v>
      </c>
      <c r="P261" s="2">
        <f t="shared" si="27"/>
        <v>3.7342041743575178</v>
      </c>
      <c r="Q261" s="3">
        <f t="shared" si="28"/>
        <v>0.26779467680608365</v>
      </c>
    </row>
    <row r="262" spans="1:17" hidden="1" x14ac:dyDescent="0.25">
      <c r="A262" t="s">
        <v>316</v>
      </c>
      <c r="B262" t="s">
        <v>56</v>
      </c>
      <c r="C262" t="s">
        <v>54</v>
      </c>
      <c r="D262" t="str">
        <f t="shared" si="24"/>
        <v>FL</v>
      </c>
      <c r="E262" t="str">
        <f t="shared" si="25"/>
        <v>Southeast</v>
      </c>
      <c r="F262" t="s">
        <v>37</v>
      </c>
      <c r="G262" s="1">
        <v>45244</v>
      </c>
      <c r="H262" s="1">
        <v>45249</v>
      </c>
      <c r="I262" s="1">
        <f t="shared" si="29"/>
        <v>45249</v>
      </c>
      <c r="J262" s="2">
        <v>8.6999999999999993</v>
      </c>
      <c r="K262" s="2">
        <v>202.52</v>
      </c>
      <c r="L262" t="s">
        <v>15</v>
      </c>
      <c r="M262" s="2">
        <v>1348</v>
      </c>
      <c r="N262" s="2">
        <v>5</v>
      </c>
      <c r="O262" s="2">
        <f t="shared" si="26"/>
        <v>269.60000000000002</v>
      </c>
      <c r="P262" s="2">
        <f t="shared" si="27"/>
        <v>1.3312265455263679</v>
      </c>
      <c r="Q262" s="3">
        <f t="shared" si="28"/>
        <v>0.15023738872403561</v>
      </c>
    </row>
    <row r="263" spans="1:17" hidden="1" x14ac:dyDescent="0.25">
      <c r="A263" t="s">
        <v>317</v>
      </c>
      <c r="B263" t="s">
        <v>27</v>
      </c>
      <c r="C263" t="s">
        <v>17</v>
      </c>
      <c r="D263" t="str">
        <f t="shared" si="24"/>
        <v>GA</v>
      </c>
      <c r="E263" t="str">
        <f t="shared" si="25"/>
        <v>Southeast</v>
      </c>
      <c r="F263" t="s">
        <v>59</v>
      </c>
      <c r="G263" s="1">
        <v>45258</v>
      </c>
      <c r="H263" s="1">
        <v>45261</v>
      </c>
      <c r="I263" s="1">
        <f t="shared" si="29"/>
        <v>45261</v>
      </c>
      <c r="J263" s="2">
        <v>10.9</v>
      </c>
      <c r="K263" s="2">
        <v>55.96</v>
      </c>
      <c r="L263" t="s">
        <v>62</v>
      </c>
      <c r="M263" s="2">
        <v>340</v>
      </c>
      <c r="N263" s="2">
        <v>3</v>
      </c>
      <c r="O263" s="2">
        <f t="shared" si="26"/>
        <v>113.33333333333333</v>
      </c>
      <c r="P263" s="2">
        <f t="shared" si="27"/>
        <v>2.0252561353347627</v>
      </c>
      <c r="Q263" s="3">
        <f t="shared" si="28"/>
        <v>0.16458823529411765</v>
      </c>
    </row>
    <row r="264" spans="1:17" hidden="1" x14ac:dyDescent="0.25">
      <c r="A264" t="s">
        <v>318</v>
      </c>
      <c r="B264" t="s">
        <v>56</v>
      </c>
      <c r="C264" t="s">
        <v>52</v>
      </c>
      <c r="D264" t="str">
        <f t="shared" si="24"/>
        <v>AZ</v>
      </c>
      <c r="E264" t="str">
        <f t="shared" si="25"/>
        <v>Southwest</v>
      </c>
      <c r="F264" t="s">
        <v>32</v>
      </c>
      <c r="G264" s="1">
        <v>44944</v>
      </c>
      <c r="H264" s="1">
        <v>44947</v>
      </c>
      <c r="I264" s="1">
        <f t="shared" si="29"/>
        <v>44947</v>
      </c>
      <c r="J264" s="2">
        <v>4.9000000000000004</v>
      </c>
      <c r="K264" s="2">
        <v>27.41</v>
      </c>
      <c r="L264" t="s">
        <v>15</v>
      </c>
      <c r="M264" s="2">
        <v>159</v>
      </c>
      <c r="N264" s="2">
        <v>3</v>
      </c>
      <c r="O264" s="2">
        <f t="shared" si="26"/>
        <v>53</v>
      </c>
      <c r="P264" s="2">
        <f t="shared" si="27"/>
        <v>1.9336008755928493</v>
      </c>
      <c r="Q264" s="3">
        <f t="shared" si="28"/>
        <v>0.17238993710691825</v>
      </c>
    </row>
    <row r="265" spans="1:17" hidden="1" x14ac:dyDescent="0.25">
      <c r="A265" t="s">
        <v>319</v>
      </c>
      <c r="B265" t="s">
        <v>23</v>
      </c>
      <c r="C265" t="s">
        <v>44</v>
      </c>
      <c r="D265" t="str">
        <f t="shared" si="24"/>
        <v>IL</v>
      </c>
      <c r="E265" t="str">
        <f t="shared" si="25"/>
        <v>Midwest</v>
      </c>
      <c r="F265" t="s">
        <v>32</v>
      </c>
      <c r="G265" s="1">
        <v>44947</v>
      </c>
      <c r="H265" s="1">
        <v>44952</v>
      </c>
      <c r="I265" s="1">
        <f t="shared" si="29"/>
        <v>44952</v>
      </c>
      <c r="J265" s="2">
        <v>45.1</v>
      </c>
      <c r="K265" s="2">
        <v>322.54000000000002</v>
      </c>
      <c r="L265" t="s">
        <v>15</v>
      </c>
      <c r="M265" s="2">
        <v>2054</v>
      </c>
      <c r="N265" s="2">
        <v>5</v>
      </c>
      <c r="O265" s="2">
        <f t="shared" si="26"/>
        <v>410.8</v>
      </c>
      <c r="P265" s="2">
        <f t="shared" si="27"/>
        <v>1.2736404787003162</v>
      </c>
      <c r="Q265" s="3">
        <f t="shared" si="28"/>
        <v>0.15703018500486857</v>
      </c>
    </row>
    <row r="266" spans="1:17" hidden="1" x14ac:dyDescent="0.25">
      <c r="A266" t="s">
        <v>320</v>
      </c>
      <c r="B266" t="s">
        <v>49</v>
      </c>
      <c r="C266" t="s">
        <v>44</v>
      </c>
      <c r="D266" t="str">
        <f t="shared" si="24"/>
        <v>IL</v>
      </c>
      <c r="E266" t="str">
        <f t="shared" si="25"/>
        <v>Midwest</v>
      </c>
      <c r="F266" t="s">
        <v>37</v>
      </c>
      <c r="G266" s="1">
        <v>45012</v>
      </c>
      <c r="H266" s="1">
        <v>45013</v>
      </c>
      <c r="I266" s="1">
        <f t="shared" si="29"/>
        <v>45013</v>
      </c>
      <c r="J266" s="2">
        <v>24.8</v>
      </c>
      <c r="K266" s="2">
        <v>66.900000000000006</v>
      </c>
      <c r="L266" t="s">
        <v>62</v>
      </c>
      <c r="M266" s="2">
        <v>274</v>
      </c>
      <c r="N266" s="2">
        <v>1</v>
      </c>
      <c r="O266" s="2">
        <f t="shared" si="26"/>
        <v>274</v>
      </c>
      <c r="P266" s="2">
        <f t="shared" si="27"/>
        <v>4.0956651718983554</v>
      </c>
      <c r="Q266" s="3">
        <f t="shared" si="28"/>
        <v>0.24416058394160586</v>
      </c>
    </row>
    <row r="267" spans="1:17" hidden="1" x14ac:dyDescent="0.25">
      <c r="A267" t="s">
        <v>323</v>
      </c>
      <c r="B267" t="s">
        <v>20</v>
      </c>
      <c r="C267" t="s">
        <v>31</v>
      </c>
      <c r="D267" t="str">
        <f t="shared" si="24"/>
        <v>NY</v>
      </c>
      <c r="E267" t="str">
        <f t="shared" si="25"/>
        <v>Northeast</v>
      </c>
      <c r="F267" t="s">
        <v>42</v>
      </c>
      <c r="G267" s="1">
        <v>45032</v>
      </c>
      <c r="H267" s="1">
        <v>45034</v>
      </c>
      <c r="I267" s="1">
        <f t="shared" si="29"/>
        <v>45034</v>
      </c>
      <c r="J267" s="2">
        <v>25.3</v>
      </c>
      <c r="K267" s="2">
        <v>107.88</v>
      </c>
      <c r="L267" t="s">
        <v>62</v>
      </c>
      <c r="M267" s="2">
        <v>742</v>
      </c>
      <c r="N267" s="2">
        <v>2</v>
      </c>
      <c r="O267" s="2">
        <f t="shared" si="26"/>
        <v>371</v>
      </c>
      <c r="P267" s="2">
        <f t="shared" si="27"/>
        <v>3.4390063032999629</v>
      </c>
      <c r="Q267" s="3">
        <f t="shared" si="28"/>
        <v>0.14539083557951482</v>
      </c>
    </row>
    <row r="268" spans="1:17" hidden="1" x14ac:dyDescent="0.25">
      <c r="A268" t="s">
        <v>324</v>
      </c>
      <c r="B268" t="s">
        <v>30</v>
      </c>
      <c r="C268" t="s">
        <v>28</v>
      </c>
      <c r="D268" t="str">
        <f t="shared" si="24"/>
        <v>TX</v>
      </c>
      <c r="E268" t="str">
        <f t="shared" si="25"/>
        <v>Southwest</v>
      </c>
      <c r="F268" t="s">
        <v>32</v>
      </c>
      <c r="G268" s="1">
        <v>45156</v>
      </c>
      <c r="H268" s="1">
        <v>45162</v>
      </c>
      <c r="I268" s="1">
        <f t="shared" si="29"/>
        <v>45162</v>
      </c>
      <c r="J268" s="2">
        <v>18</v>
      </c>
      <c r="K268" s="2">
        <v>305.41000000000003</v>
      </c>
      <c r="L268" t="s">
        <v>15</v>
      </c>
      <c r="M268" s="2">
        <v>2218</v>
      </c>
      <c r="N268" s="2">
        <v>6</v>
      </c>
      <c r="O268" s="2">
        <f t="shared" si="26"/>
        <v>369.66666666666669</v>
      </c>
      <c r="P268" s="2">
        <f t="shared" si="27"/>
        <v>1.2103947698721935</v>
      </c>
      <c r="Q268" s="3">
        <f t="shared" si="28"/>
        <v>0.13769612263300271</v>
      </c>
    </row>
    <row r="269" spans="1:17" hidden="1" x14ac:dyDescent="0.25">
      <c r="A269" t="s">
        <v>325</v>
      </c>
      <c r="B269" t="s">
        <v>56</v>
      </c>
      <c r="C269" t="s">
        <v>52</v>
      </c>
      <c r="D269" t="str">
        <f t="shared" si="24"/>
        <v>AZ</v>
      </c>
      <c r="E269" t="str">
        <f t="shared" si="25"/>
        <v>Southwest</v>
      </c>
      <c r="F269" t="s">
        <v>25</v>
      </c>
      <c r="G269" s="1">
        <v>44997</v>
      </c>
      <c r="H269" s="1">
        <v>45002</v>
      </c>
      <c r="I269" s="1">
        <f t="shared" si="29"/>
        <v>45002</v>
      </c>
      <c r="J269" s="2">
        <v>8.1999999999999993</v>
      </c>
      <c r="K269" s="2">
        <v>248.9</v>
      </c>
      <c r="L269" t="s">
        <v>15</v>
      </c>
      <c r="M269" s="2">
        <v>1857</v>
      </c>
      <c r="N269" s="2">
        <v>5</v>
      </c>
      <c r="O269" s="2">
        <f t="shared" si="26"/>
        <v>371.4</v>
      </c>
      <c r="P269" s="2">
        <f t="shared" si="27"/>
        <v>1.4921655283246282</v>
      </c>
      <c r="Q269" s="3">
        <f t="shared" si="28"/>
        <v>0.1340333871836295</v>
      </c>
    </row>
    <row r="270" spans="1:17" x14ac:dyDescent="0.25">
      <c r="A270" t="s">
        <v>326</v>
      </c>
      <c r="B270" t="s">
        <v>20</v>
      </c>
      <c r="C270" t="s">
        <v>70</v>
      </c>
      <c r="D270" t="str">
        <f t="shared" si="24"/>
        <v>CA</v>
      </c>
      <c r="E270" t="str">
        <f t="shared" si="25"/>
        <v>West</v>
      </c>
      <c r="F270" t="s">
        <v>25</v>
      </c>
      <c r="G270" s="1">
        <v>45171</v>
      </c>
      <c r="H270" s="1">
        <v>45177</v>
      </c>
      <c r="I270" s="1">
        <f t="shared" si="29"/>
        <v>45177</v>
      </c>
      <c r="J270" s="2">
        <v>9.6</v>
      </c>
      <c r="K270" s="2">
        <v>242.9</v>
      </c>
      <c r="L270" t="s">
        <v>15</v>
      </c>
      <c r="M270" s="2">
        <v>2001</v>
      </c>
      <c r="N270" s="2">
        <v>6</v>
      </c>
      <c r="O270" s="2">
        <f t="shared" si="26"/>
        <v>333.5</v>
      </c>
      <c r="P270" s="2">
        <f t="shared" si="27"/>
        <v>1.3729930012350762</v>
      </c>
      <c r="Q270" s="3">
        <f t="shared" si="28"/>
        <v>0.12138930534732634</v>
      </c>
    </row>
    <row r="271" spans="1:17" hidden="1" x14ac:dyDescent="0.25">
      <c r="A271" t="s">
        <v>327</v>
      </c>
      <c r="B271" t="s">
        <v>27</v>
      </c>
      <c r="C271" t="s">
        <v>57</v>
      </c>
      <c r="D271" t="str">
        <f t="shared" si="24"/>
        <v>MN</v>
      </c>
      <c r="E271" t="str">
        <f t="shared" si="25"/>
        <v>Midwest</v>
      </c>
      <c r="F271" t="s">
        <v>59</v>
      </c>
      <c r="G271" s="1">
        <v>45218</v>
      </c>
      <c r="H271" s="1">
        <v>45219</v>
      </c>
      <c r="I271" s="1">
        <f t="shared" si="29"/>
        <v>45219</v>
      </c>
      <c r="J271" s="2">
        <v>37.700000000000003</v>
      </c>
      <c r="K271" s="2">
        <v>77.3</v>
      </c>
      <c r="L271" t="s">
        <v>15</v>
      </c>
      <c r="M271" s="2">
        <v>293</v>
      </c>
      <c r="N271" s="2">
        <v>1</v>
      </c>
      <c r="O271" s="2">
        <f t="shared" si="26"/>
        <v>293</v>
      </c>
      <c r="P271" s="2">
        <f t="shared" si="27"/>
        <v>3.790426908150065</v>
      </c>
      <c r="Q271" s="3">
        <f t="shared" si="28"/>
        <v>0.2638225255972696</v>
      </c>
    </row>
    <row r="272" spans="1:17" hidden="1" x14ac:dyDescent="0.25">
      <c r="A272" t="s">
        <v>328</v>
      </c>
      <c r="B272" t="s">
        <v>49</v>
      </c>
      <c r="C272" t="s">
        <v>28</v>
      </c>
      <c r="D272" t="str">
        <f t="shared" si="24"/>
        <v>TX</v>
      </c>
      <c r="E272" t="str">
        <f t="shared" si="25"/>
        <v>Southwest</v>
      </c>
      <c r="F272" t="s">
        <v>25</v>
      </c>
      <c r="G272" s="1">
        <v>45221</v>
      </c>
      <c r="H272" s="1">
        <v>45225</v>
      </c>
      <c r="I272" s="1">
        <f t="shared" si="29"/>
        <v>45225</v>
      </c>
      <c r="J272" s="2">
        <v>20.100000000000001</v>
      </c>
      <c r="K272" s="2">
        <v>209.94</v>
      </c>
      <c r="L272" t="s">
        <v>15</v>
      </c>
      <c r="M272" s="2">
        <v>1401</v>
      </c>
      <c r="N272" s="2">
        <v>4</v>
      </c>
      <c r="O272" s="2">
        <f t="shared" si="26"/>
        <v>350.25</v>
      </c>
      <c r="P272" s="2">
        <f t="shared" si="27"/>
        <v>1.6683338096599027</v>
      </c>
      <c r="Q272" s="3">
        <f t="shared" si="28"/>
        <v>0.14985010706638116</v>
      </c>
    </row>
    <row r="273" spans="1:17" hidden="1" x14ac:dyDescent="0.25">
      <c r="A273" t="s">
        <v>329</v>
      </c>
      <c r="B273" t="s">
        <v>39</v>
      </c>
      <c r="C273" t="s">
        <v>52</v>
      </c>
      <c r="D273" t="str">
        <f t="shared" si="24"/>
        <v>AZ</v>
      </c>
      <c r="E273" t="str">
        <f t="shared" si="25"/>
        <v>Southwest</v>
      </c>
      <c r="F273" t="s">
        <v>25</v>
      </c>
      <c r="G273" s="1">
        <v>45007</v>
      </c>
      <c r="H273" s="1">
        <v>45019</v>
      </c>
      <c r="I273" s="1">
        <f t="shared" si="29"/>
        <v>45019</v>
      </c>
      <c r="J273" s="2">
        <v>21.5</v>
      </c>
      <c r="K273" s="2">
        <v>136.58000000000001</v>
      </c>
      <c r="L273" t="s">
        <v>47</v>
      </c>
      <c r="M273" s="2">
        <v>916</v>
      </c>
      <c r="N273" s="2">
        <v>2</v>
      </c>
      <c r="O273" s="2">
        <f t="shared" si="26"/>
        <v>458</v>
      </c>
      <c r="P273" s="2">
        <f t="shared" si="27"/>
        <v>3.3533460243080975</v>
      </c>
      <c r="Q273" s="3">
        <f t="shared" si="28"/>
        <v>0.14910480349344979</v>
      </c>
    </row>
    <row r="274" spans="1:17" x14ac:dyDescent="0.25">
      <c r="A274" t="s">
        <v>330</v>
      </c>
      <c r="B274" t="s">
        <v>56</v>
      </c>
      <c r="C274" t="s">
        <v>70</v>
      </c>
      <c r="D274" t="str">
        <f t="shared" si="24"/>
        <v>CA</v>
      </c>
      <c r="E274" t="str">
        <f t="shared" si="25"/>
        <v>West</v>
      </c>
      <c r="F274" t="s">
        <v>37</v>
      </c>
      <c r="G274" s="1">
        <v>44991</v>
      </c>
      <c r="H274" s="1">
        <v>44995</v>
      </c>
      <c r="I274" s="1">
        <f t="shared" si="29"/>
        <v>44995</v>
      </c>
      <c r="J274" s="2">
        <v>4.5999999999999996</v>
      </c>
      <c r="K274" s="2">
        <v>230.19</v>
      </c>
      <c r="L274" t="s">
        <v>15</v>
      </c>
      <c r="M274" s="2">
        <v>1778</v>
      </c>
      <c r="N274" s="2">
        <v>4</v>
      </c>
      <c r="O274" s="2">
        <f t="shared" si="26"/>
        <v>444.5</v>
      </c>
      <c r="P274" s="2">
        <f t="shared" si="27"/>
        <v>1.931013510578218</v>
      </c>
      <c r="Q274" s="3">
        <f t="shared" si="28"/>
        <v>0.12946569178852643</v>
      </c>
    </row>
    <row r="275" spans="1:17" hidden="1" x14ac:dyDescent="0.25">
      <c r="A275" t="s">
        <v>331</v>
      </c>
      <c r="B275" t="s">
        <v>35</v>
      </c>
      <c r="C275" t="s">
        <v>46</v>
      </c>
      <c r="D275" t="str">
        <f t="shared" si="24"/>
        <v>MA</v>
      </c>
      <c r="E275" t="str">
        <f t="shared" si="25"/>
        <v>Northeast</v>
      </c>
      <c r="F275" t="s">
        <v>32</v>
      </c>
      <c r="G275" s="1">
        <v>45236</v>
      </c>
      <c r="H275" s="1">
        <v>45242</v>
      </c>
      <c r="I275" s="1">
        <f t="shared" si="29"/>
        <v>45242</v>
      </c>
      <c r="J275" s="2">
        <v>29.5</v>
      </c>
      <c r="K275" s="2">
        <v>194.07</v>
      </c>
      <c r="L275" t="s">
        <v>15</v>
      </c>
      <c r="M275" s="2">
        <v>1041</v>
      </c>
      <c r="N275" s="2">
        <v>6</v>
      </c>
      <c r="O275" s="2">
        <f t="shared" si="26"/>
        <v>173.5</v>
      </c>
      <c r="P275" s="2">
        <f t="shared" si="27"/>
        <v>0.89400731694749325</v>
      </c>
      <c r="Q275" s="3">
        <f t="shared" si="28"/>
        <v>0.18642651296829971</v>
      </c>
    </row>
    <row r="276" spans="1:17" x14ac:dyDescent="0.25">
      <c r="A276" t="s">
        <v>332</v>
      </c>
      <c r="B276" t="s">
        <v>30</v>
      </c>
      <c r="C276" t="s">
        <v>70</v>
      </c>
      <c r="D276" t="str">
        <f t="shared" si="24"/>
        <v>CA</v>
      </c>
      <c r="E276" t="str">
        <f t="shared" si="25"/>
        <v>West</v>
      </c>
      <c r="F276" t="s">
        <v>59</v>
      </c>
      <c r="G276" s="1">
        <v>45182</v>
      </c>
      <c r="H276" s="1">
        <v>45152</v>
      </c>
      <c r="I276" s="1">
        <f t="shared" si="29"/>
        <v>45152</v>
      </c>
      <c r="J276" s="2">
        <v>8</v>
      </c>
      <c r="K276" s="2">
        <v>92.47</v>
      </c>
      <c r="L276" t="s">
        <v>15</v>
      </c>
      <c r="M276" s="2">
        <v>676</v>
      </c>
      <c r="N276" s="2">
        <v>5</v>
      </c>
      <c r="O276" s="2">
        <f t="shared" si="26"/>
        <v>135.19999999999999</v>
      </c>
      <c r="P276" s="2">
        <f t="shared" si="27"/>
        <v>1.462095814858873</v>
      </c>
      <c r="Q276" s="3">
        <f t="shared" si="28"/>
        <v>0.13678994082840237</v>
      </c>
    </row>
    <row r="277" spans="1:17" hidden="1" x14ac:dyDescent="0.25">
      <c r="A277" t="s">
        <v>333</v>
      </c>
      <c r="B277" t="s">
        <v>27</v>
      </c>
      <c r="C277" t="s">
        <v>54</v>
      </c>
      <c r="D277" t="str">
        <f t="shared" si="24"/>
        <v>FL</v>
      </c>
      <c r="E277" t="str">
        <f t="shared" si="25"/>
        <v>Southeast</v>
      </c>
      <c r="F277" t="s">
        <v>59</v>
      </c>
      <c r="G277" s="1">
        <v>45020</v>
      </c>
      <c r="H277" s="1">
        <v>45021</v>
      </c>
      <c r="I277" s="1">
        <f t="shared" si="29"/>
        <v>45021</v>
      </c>
      <c r="J277" s="2">
        <v>9.9</v>
      </c>
      <c r="K277" s="2">
        <v>62.2</v>
      </c>
      <c r="L277" t="s">
        <v>15</v>
      </c>
      <c r="M277" s="2">
        <v>448</v>
      </c>
      <c r="N277" s="2">
        <v>1</v>
      </c>
      <c r="O277" s="2">
        <f t="shared" si="26"/>
        <v>448</v>
      </c>
      <c r="P277" s="2">
        <f t="shared" si="27"/>
        <v>7.202572347266881</v>
      </c>
      <c r="Q277" s="3">
        <f t="shared" si="28"/>
        <v>0.13883928571428572</v>
      </c>
    </row>
    <row r="278" spans="1:17" hidden="1" x14ac:dyDescent="0.25">
      <c r="A278" t="s">
        <v>334</v>
      </c>
      <c r="B278" t="s">
        <v>51</v>
      </c>
      <c r="C278" t="s">
        <v>31</v>
      </c>
      <c r="D278" t="str">
        <f t="shared" si="24"/>
        <v>NY</v>
      </c>
      <c r="E278" t="str">
        <f t="shared" si="25"/>
        <v>Northeast</v>
      </c>
      <c r="F278" t="s">
        <v>18</v>
      </c>
      <c r="G278" s="1">
        <v>44971</v>
      </c>
      <c r="H278" s="1">
        <v>44976</v>
      </c>
      <c r="I278" s="1">
        <f t="shared" si="29"/>
        <v>44976</v>
      </c>
      <c r="J278" s="2">
        <v>27.2</v>
      </c>
      <c r="K278" s="2">
        <v>334.23</v>
      </c>
      <c r="L278" t="s">
        <v>15</v>
      </c>
      <c r="M278" s="2">
        <v>2033</v>
      </c>
      <c r="N278" s="2">
        <v>5</v>
      </c>
      <c r="O278" s="2">
        <f t="shared" si="26"/>
        <v>406.6</v>
      </c>
      <c r="P278" s="2">
        <f t="shared" si="27"/>
        <v>1.2165275409149388</v>
      </c>
      <c r="Q278" s="3">
        <f t="shared" si="28"/>
        <v>0.1644023610427939</v>
      </c>
    </row>
    <row r="279" spans="1:17" hidden="1" x14ac:dyDescent="0.25">
      <c r="A279" t="s">
        <v>335</v>
      </c>
      <c r="B279" t="s">
        <v>56</v>
      </c>
      <c r="C279" t="s">
        <v>57</v>
      </c>
      <c r="D279" t="str">
        <f t="shared" si="24"/>
        <v>MN</v>
      </c>
      <c r="E279" t="str">
        <f t="shared" si="25"/>
        <v>Midwest</v>
      </c>
      <c r="F279" t="s">
        <v>18</v>
      </c>
      <c r="G279" s="1">
        <v>45188</v>
      </c>
      <c r="H279" s="1">
        <v>45192</v>
      </c>
      <c r="I279" s="1">
        <f t="shared" si="29"/>
        <v>45192</v>
      </c>
      <c r="J279" s="2">
        <v>75.900000000000006</v>
      </c>
      <c r="K279" s="2">
        <v>251.01</v>
      </c>
      <c r="L279" t="s">
        <v>15</v>
      </c>
      <c r="M279" s="2">
        <v>939</v>
      </c>
      <c r="N279" s="2">
        <v>4</v>
      </c>
      <c r="O279" s="2">
        <f t="shared" si="26"/>
        <v>234.75</v>
      </c>
      <c r="P279" s="2">
        <f t="shared" si="27"/>
        <v>0.93522170431456919</v>
      </c>
      <c r="Q279" s="3">
        <f t="shared" si="28"/>
        <v>0.26731629392971246</v>
      </c>
    </row>
    <row r="280" spans="1:17" hidden="1" x14ac:dyDescent="0.25">
      <c r="A280" t="s">
        <v>336</v>
      </c>
      <c r="B280" t="s">
        <v>56</v>
      </c>
      <c r="C280" t="s">
        <v>40</v>
      </c>
      <c r="D280" t="str">
        <f t="shared" si="24"/>
        <v>MI</v>
      </c>
      <c r="E280" t="str">
        <f t="shared" si="25"/>
        <v>Midwest</v>
      </c>
      <c r="F280" t="s">
        <v>14</v>
      </c>
      <c r="G280" s="1">
        <v>45091</v>
      </c>
      <c r="H280" s="1">
        <v>45093</v>
      </c>
      <c r="I280" s="1">
        <f t="shared" si="29"/>
        <v>45093</v>
      </c>
      <c r="J280" s="2">
        <v>24.5</v>
      </c>
      <c r="K280" s="2">
        <v>142.72999999999999</v>
      </c>
      <c r="L280" t="s">
        <v>15</v>
      </c>
      <c r="M280" s="2">
        <v>926</v>
      </c>
      <c r="N280" s="2">
        <v>2</v>
      </c>
      <c r="O280" s="2">
        <f t="shared" si="26"/>
        <v>463</v>
      </c>
      <c r="P280" s="2">
        <f t="shared" si="27"/>
        <v>3.2438870594829399</v>
      </c>
      <c r="Q280" s="3">
        <f t="shared" si="28"/>
        <v>0.15413606911447084</v>
      </c>
    </row>
    <row r="281" spans="1:17" x14ac:dyDescent="0.25">
      <c r="A281" t="s">
        <v>337</v>
      </c>
      <c r="B281" t="s">
        <v>39</v>
      </c>
      <c r="C281" t="s">
        <v>70</v>
      </c>
      <c r="D281" t="str">
        <f t="shared" si="24"/>
        <v>CA</v>
      </c>
      <c r="E281" t="str">
        <f t="shared" si="25"/>
        <v>West</v>
      </c>
      <c r="F281" t="s">
        <v>25</v>
      </c>
      <c r="G281" s="1">
        <v>45126</v>
      </c>
      <c r="H281" s="1">
        <v>45132</v>
      </c>
      <c r="I281" s="1">
        <f t="shared" si="29"/>
        <v>45132</v>
      </c>
      <c r="J281" s="2">
        <v>38.5</v>
      </c>
      <c r="K281" s="2">
        <v>330.97</v>
      </c>
      <c r="L281" t="s">
        <v>15</v>
      </c>
      <c r="M281" s="2">
        <v>2444</v>
      </c>
      <c r="N281" s="2">
        <v>6</v>
      </c>
      <c r="O281" s="2">
        <f t="shared" si="26"/>
        <v>407.33333333333331</v>
      </c>
      <c r="P281" s="2">
        <f t="shared" si="27"/>
        <v>1.2307258462499118</v>
      </c>
      <c r="Q281" s="3">
        <f t="shared" si="28"/>
        <v>0.13542144026186581</v>
      </c>
    </row>
    <row r="282" spans="1:17" hidden="1" x14ac:dyDescent="0.25">
      <c r="A282" t="s">
        <v>338</v>
      </c>
      <c r="B282" t="s">
        <v>20</v>
      </c>
      <c r="C282" t="s">
        <v>28</v>
      </c>
      <c r="D282" t="str">
        <f t="shared" si="24"/>
        <v>TX</v>
      </c>
      <c r="E282" t="str">
        <f t="shared" si="25"/>
        <v>Southwest</v>
      </c>
      <c r="F282" t="s">
        <v>25</v>
      </c>
      <c r="G282" s="1">
        <v>45239</v>
      </c>
      <c r="H282" s="1">
        <v>45243</v>
      </c>
      <c r="I282" s="1">
        <f t="shared" si="29"/>
        <v>45243</v>
      </c>
      <c r="J282" s="2">
        <v>10.6</v>
      </c>
      <c r="K282" s="2">
        <v>235.34</v>
      </c>
      <c r="L282" t="s">
        <v>15</v>
      </c>
      <c r="M282" s="2">
        <v>1435</v>
      </c>
      <c r="N282" s="2">
        <v>4</v>
      </c>
      <c r="O282" s="2">
        <f t="shared" si="26"/>
        <v>358.75</v>
      </c>
      <c r="P282" s="2">
        <f t="shared" si="27"/>
        <v>1.524390243902439</v>
      </c>
      <c r="Q282" s="3">
        <f t="shared" si="28"/>
        <v>0.16400000000000001</v>
      </c>
    </row>
    <row r="283" spans="1:17" hidden="1" x14ac:dyDescent="0.25">
      <c r="A283" t="s">
        <v>339</v>
      </c>
      <c r="B283" t="s">
        <v>39</v>
      </c>
      <c r="C283" t="s">
        <v>40</v>
      </c>
      <c r="D283" t="str">
        <f t="shared" si="24"/>
        <v>MI</v>
      </c>
      <c r="E283" t="str">
        <f t="shared" si="25"/>
        <v>Midwest</v>
      </c>
      <c r="F283" t="s">
        <v>37</v>
      </c>
      <c r="G283" s="1">
        <v>44992</v>
      </c>
      <c r="H283" s="1">
        <v>44997</v>
      </c>
      <c r="I283" s="1">
        <f t="shared" si="29"/>
        <v>44997</v>
      </c>
      <c r="J283" s="2">
        <v>10.1</v>
      </c>
      <c r="K283" s="2">
        <v>231.81</v>
      </c>
      <c r="L283" t="s">
        <v>60</v>
      </c>
      <c r="M283" s="2">
        <v>1875</v>
      </c>
      <c r="N283" s="2">
        <v>5</v>
      </c>
      <c r="O283" s="2">
        <f t="shared" si="26"/>
        <v>375</v>
      </c>
      <c r="P283" s="2">
        <f t="shared" si="27"/>
        <v>1.6177041542642681</v>
      </c>
      <c r="Q283" s="3">
        <f t="shared" si="28"/>
        <v>0.12363200000000001</v>
      </c>
    </row>
    <row r="284" spans="1:17" hidden="1" x14ac:dyDescent="0.25">
      <c r="A284" t="s">
        <v>340</v>
      </c>
      <c r="B284" t="s">
        <v>20</v>
      </c>
      <c r="C284" t="s">
        <v>31</v>
      </c>
      <c r="D284" t="str">
        <f t="shared" si="24"/>
        <v>NY</v>
      </c>
      <c r="E284" t="str">
        <f t="shared" si="25"/>
        <v>Northeast</v>
      </c>
      <c r="F284" t="s">
        <v>32</v>
      </c>
      <c r="G284" s="1">
        <v>45074</v>
      </c>
      <c r="H284" s="1">
        <v>45079</v>
      </c>
      <c r="I284" s="1">
        <f t="shared" si="29"/>
        <v>45079</v>
      </c>
      <c r="J284" s="2">
        <v>18.399999999999999</v>
      </c>
      <c r="K284" s="2">
        <v>302.47000000000003</v>
      </c>
      <c r="L284" t="s">
        <v>15</v>
      </c>
      <c r="M284" s="2">
        <v>2280</v>
      </c>
      <c r="N284" s="2">
        <v>5</v>
      </c>
      <c r="O284" s="2">
        <f t="shared" si="26"/>
        <v>456</v>
      </c>
      <c r="P284" s="2">
        <f t="shared" si="27"/>
        <v>1.5075875293417527</v>
      </c>
      <c r="Q284" s="3">
        <f t="shared" si="28"/>
        <v>0.1326622807017544</v>
      </c>
    </row>
    <row r="285" spans="1:17" hidden="1" x14ac:dyDescent="0.25">
      <c r="A285" t="s">
        <v>341</v>
      </c>
      <c r="B285" t="s">
        <v>12</v>
      </c>
      <c r="C285" t="s">
        <v>52</v>
      </c>
      <c r="D285" t="str">
        <f t="shared" si="24"/>
        <v>AZ</v>
      </c>
      <c r="E285" t="str">
        <f t="shared" si="25"/>
        <v>Southwest</v>
      </c>
      <c r="F285" t="s">
        <v>18</v>
      </c>
      <c r="G285" s="1">
        <v>45246</v>
      </c>
      <c r="H285" s="1">
        <v>45250</v>
      </c>
      <c r="I285" s="1">
        <f t="shared" si="29"/>
        <v>45250</v>
      </c>
      <c r="J285" s="2">
        <v>16.7</v>
      </c>
      <c r="K285" s="2">
        <v>341.36</v>
      </c>
      <c r="L285" t="s">
        <v>15</v>
      </c>
      <c r="M285" s="2">
        <v>1808</v>
      </c>
      <c r="N285" s="2">
        <v>4</v>
      </c>
      <c r="O285" s="2">
        <f t="shared" si="26"/>
        <v>452</v>
      </c>
      <c r="P285" s="2">
        <f t="shared" si="27"/>
        <v>1.3241153034919146</v>
      </c>
      <c r="Q285" s="3">
        <f t="shared" si="28"/>
        <v>0.18880530973451329</v>
      </c>
    </row>
    <row r="286" spans="1:17" hidden="1" x14ac:dyDescent="0.25">
      <c r="A286" t="s">
        <v>342</v>
      </c>
      <c r="B286" t="s">
        <v>56</v>
      </c>
      <c r="C286" t="s">
        <v>17</v>
      </c>
      <c r="D286" t="str">
        <f t="shared" si="24"/>
        <v>GA</v>
      </c>
      <c r="E286" t="str">
        <f t="shared" si="25"/>
        <v>Southeast</v>
      </c>
      <c r="F286" t="s">
        <v>14</v>
      </c>
      <c r="G286" s="1">
        <v>45076</v>
      </c>
      <c r="H286" s="1">
        <v>45081</v>
      </c>
      <c r="I286" s="1">
        <f t="shared" si="29"/>
        <v>45081</v>
      </c>
      <c r="J286" s="2">
        <v>4.0999999999999996</v>
      </c>
      <c r="K286" s="2">
        <v>237.12</v>
      </c>
      <c r="L286" t="s">
        <v>15</v>
      </c>
      <c r="M286" s="2">
        <v>1790</v>
      </c>
      <c r="N286" s="2">
        <v>5</v>
      </c>
      <c r="O286" s="2">
        <f t="shared" si="26"/>
        <v>358</v>
      </c>
      <c r="P286" s="2">
        <f t="shared" si="27"/>
        <v>1.5097840755735492</v>
      </c>
      <c r="Q286" s="3">
        <f t="shared" si="28"/>
        <v>0.13246927374301676</v>
      </c>
    </row>
    <row r="287" spans="1:17" hidden="1" x14ac:dyDescent="0.25">
      <c r="A287" t="s">
        <v>343</v>
      </c>
      <c r="B287" t="s">
        <v>12</v>
      </c>
      <c r="C287" t="s">
        <v>31</v>
      </c>
      <c r="D287" t="str">
        <f t="shared" si="24"/>
        <v>NY</v>
      </c>
      <c r="E287" t="str">
        <f t="shared" si="25"/>
        <v>Northeast</v>
      </c>
      <c r="F287" t="s">
        <v>25</v>
      </c>
      <c r="G287" s="1">
        <v>45038</v>
      </c>
      <c r="H287" s="1">
        <v>45042</v>
      </c>
      <c r="I287" s="1">
        <f t="shared" si="29"/>
        <v>45042</v>
      </c>
      <c r="J287" s="2">
        <v>5.2</v>
      </c>
      <c r="K287" s="2">
        <v>127.1</v>
      </c>
      <c r="L287" t="s">
        <v>15</v>
      </c>
      <c r="M287" s="2">
        <v>1049</v>
      </c>
      <c r="N287" s="2">
        <v>4</v>
      </c>
      <c r="O287" s="2">
        <f t="shared" si="26"/>
        <v>262.25</v>
      </c>
      <c r="P287" s="2">
        <f t="shared" si="27"/>
        <v>2.0633359559402047</v>
      </c>
      <c r="Q287" s="3">
        <f t="shared" si="28"/>
        <v>0.121163012392755</v>
      </c>
    </row>
    <row r="288" spans="1:17" hidden="1" x14ac:dyDescent="0.25">
      <c r="A288" t="s">
        <v>344</v>
      </c>
      <c r="B288" t="s">
        <v>49</v>
      </c>
      <c r="C288" t="s">
        <v>46</v>
      </c>
      <c r="D288" t="str">
        <f t="shared" si="24"/>
        <v>MA</v>
      </c>
      <c r="E288" t="str">
        <f t="shared" si="25"/>
        <v>Northeast</v>
      </c>
      <c r="F288" t="s">
        <v>42</v>
      </c>
      <c r="G288" s="1">
        <v>44990</v>
      </c>
      <c r="H288" s="1">
        <v>45003</v>
      </c>
      <c r="I288" s="1">
        <f t="shared" si="29"/>
        <v>45003</v>
      </c>
      <c r="J288" s="2">
        <v>23.7</v>
      </c>
      <c r="K288" s="2">
        <v>82.89</v>
      </c>
      <c r="L288" t="s">
        <v>47</v>
      </c>
      <c r="M288" s="2">
        <v>461</v>
      </c>
      <c r="N288" s="2">
        <v>6</v>
      </c>
      <c r="O288" s="2">
        <f t="shared" si="26"/>
        <v>76.833333333333329</v>
      </c>
      <c r="P288" s="2">
        <f t="shared" si="27"/>
        <v>0.92693127437969991</v>
      </c>
      <c r="Q288" s="3">
        <f t="shared" si="28"/>
        <v>0.17980477223427332</v>
      </c>
    </row>
    <row r="289" spans="1:17" x14ac:dyDescent="0.25">
      <c r="A289" t="s">
        <v>345</v>
      </c>
      <c r="B289" t="s">
        <v>39</v>
      </c>
      <c r="C289" t="s">
        <v>36</v>
      </c>
      <c r="D289" t="str">
        <f t="shared" si="24"/>
        <v>OR</v>
      </c>
      <c r="E289" t="str">
        <f t="shared" si="25"/>
        <v>West</v>
      </c>
      <c r="F289" t="s">
        <v>32</v>
      </c>
      <c r="G289" s="1">
        <v>45135</v>
      </c>
      <c r="H289" s="1">
        <v>45140</v>
      </c>
      <c r="I289" s="1">
        <f t="shared" si="29"/>
        <v>45140</v>
      </c>
      <c r="J289" s="2">
        <v>21.8</v>
      </c>
      <c r="K289" s="2">
        <v>204.43</v>
      </c>
      <c r="L289" t="s">
        <v>15</v>
      </c>
      <c r="M289" s="2">
        <v>1218</v>
      </c>
      <c r="N289" s="2">
        <v>5</v>
      </c>
      <c r="O289" s="2">
        <f t="shared" si="26"/>
        <v>243.6</v>
      </c>
      <c r="P289" s="2">
        <f t="shared" si="27"/>
        <v>1.1916059286797436</v>
      </c>
      <c r="Q289" s="3">
        <f t="shared" si="28"/>
        <v>0.16784072249589491</v>
      </c>
    </row>
    <row r="290" spans="1:17" x14ac:dyDescent="0.25">
      <c r="A290" t="s">
        <v>346</v>
      </c>
      <c r="B290" t="s">
        <v>20</v>
      </c>
      <c r="C290" t="s">
        <v>70</v>
      </c>
      <c r="D290" t="str">
        <f t="shared" si="24"/>
        <v>CA</v>
      </c>
      <c r="E290" t="str">
        <f t="shared" si="25"/>
        <v>West</v>
      </c>
      <c r="F290" t="s">
        <v>59</v>
      </c>
      <c r="G290" s="1">
        <v>45070</v>
      </c>
      <c r="H290" s="1">
        <v>45076</v>
      </c>
      <c r="I290" s="1">
        <f t="shared" si="29"/>
        <v>45076</v>
      </c>
      <c r="J290" s="2">
        <v>20</v>
      </c>
      <c r="K290" s="2">
        <v>255.06</v>
      </c>
      <c r="L290" t="s">
        <v>15</v>
      </c>
      <c r="M290" s="2">
        <v>2144</v>
      </c>
      <c r="N290" s="2">
        <v>6</v>
      </c>
      <c r="O290" s="2">
        <f t="shared" si="26"/>
        <v>357.33333333333331</v>
      </c>
      <c r="P290" s="2">
        <f t="shared" si="27"/>
        <v>1.4009775477665385</v>
      </c>
      <c r="Q290" s="3">
        <f t="shared" si="28"/>
        <v>0.11896455223880598</v>
      </c>
    </row>
    <row r="291" spans="1:17" hidden="1" x14ac:dyDescent="0.25">
      <c r="A291" t="s">
        <v>347</v>
      </c>
      <c r="B291" t="s">
        <v>49</v>
      </c>
      <c r="C291" t="s">
        <v>46</v>
      </c>
      <c r="D291" t="str">
        <f t="shared" si="24"/>
        <v>MA</v>
      </c>
      <c r="E291" t="str">
        <f t="shared" si="25"/>
        <v>Northeast</v>
      </c>
      <c r="F291" t="s">
        <v>42</v>
      </c>
      <c r="G291" s="1">
        <v>45250</v>
      </c>
      <c r="H291" s="1">
        <v>45254</v>
      </c>
      <c r="I291" s="1">
        <f t="shared" si="29"/>
        <v>45254</v>
      </c>
      <c r="J291" s="2">
        <v>12.7</v>
      </c>
      <c r="K291" s="2">
        <v>261.22000000000003</v>
      </c>
      <c r="L291" t="s">
        <v>15</v>
      </c>
      <c r="M291" s="2">
        <v>1547</v>
      </c>
      <c r="N291" s="2">
        <v>4</v>
      </c>
      <c r="O291" s="2">
        <f t="shared" si="26"/>
        <v>386.75</v>
      </c>
      <c r="P291" s="2">
        <f t="shared" si="27"/>
        <v>1.4805527907510909</v>
      </c>
      <c r="Q291" s="3">
        <f t="shared" si="28"/>
        <v>0.16885585003232065</v>
      </c>
    </row>
    <row r="292" spans="1:17" hidden="1" x14ac:dyDescent="0.25">
      <c r="A292" t="s">
        <v>348</v>
      </c>
      <c r="B292" t="s">
        <v>39</v>
      </c>
      <c r="C292" t="s">
        <v>28</v>
      </c>
      <c r="D292" t="str">
        <f t="shared" si="24"/>
        <v>TX</v>
      </c>
      <c r="E292" t="str">
        <f t="shared" si="25"/>
        <v>Southwest</v>
      </c>
      <c r="F292" t="s">
        <v>18</v>
      </c>
      <c r="G292" s="1">
        <v>45106</v>
      </c>
      <c r="H292" s="1">
        <v>45108</v>
      </c>
      <c r="I292" s="1">
        <f t="shared" si="29"/>
        <v>45108</v>
      </c>
      <c r="J292" s="2">
        <v>22.8</v>
      </c>
      <c r="K292" s="2">
        <v>76.069999999999993</v>
      </c>
      <c r="L292" t="s">
        <v>15</v>
      </c>
      <c r="M292" s="2">
        <v>370</v>
      </c>
      <c r="N292" s="2">
        <v>2</v>
      </c>
      <c r="O292" s="2">
        <f t="shared" si="26"/>
        <v>185</v>
      </c>
      <c r="P292" s="2">
        <f t="shared" si="27"/>
        <v>2.4319705534376235</v>
      </c>
      <c r="Q292" s="3">
        <f t="shared" si="28"/>
        <v>0.20559459459459459</v>
      </c>
    </row>
    <row r="293" spans="1:17" hidden="1" x14ac:dyDescent="0.25">
      <c r="A293" t="s">
        <v>349</v>
      </c>
      <c r="B293" t="s">
        <v>49</v>
      </c>
      <c r="C293" t="s">
        <v>46</v>
      </c>
      <c r="D293" t="str">
        <f t="shared" si="24"/>
        <v>MA</v>
      </c>
      <c r="E293" t="str">
        <f t="shared" si="25"/>
        <v>Northeast</v>
      </c>
      <c r="F293" t="s">
        <v>18</v>
      </c>
      <c r="G293" s="1">
        <v>45098</v>
      </c>
      <c r="H293" s="1">
        <v>45107</v>
      </c>
      <c r="I293" s="1">
        <f t="shared" si="29"/>
        <v>45107</v>
      </c>
      <c r="J293" s="2">
        <v>12.6</v>
      </c>
      <c r="K293" s="2">
        <v>332.46</v>
      </c>
      <c r="L293" t="s">
        <v>15</v>
      </c>
      <c r="M293" s="2">
        <v>2400</v>
      </c>
      <c r="N293" s="2">
        <v>9</v>
      </c>
      <c r="O293" s="2">
        <f t="shared" si="26"/>
        <v>266.66666666666669</v>
      </c>
      <c r="P293" s="2">
        <f t="shared" si="27"/>
        <v>0.8021015059455775</v>
      </c>
      <c r="Q293" s="3">
        <f t="shared" si="28"/>
        <v>0.13852499999999998</v>
      </c>
    </row>
    <row r="294" spans="1:17" hidden="1" x14ac:dyDescent="0.25">
      <c r="A294" t="s">
        <v>350</v>
      </c>
      <c r="B294" t="s">
        <v>49</v>
      </c>
      <c r="C294" t="s">
        <v>17</v>
      </c>
      <c r="D294" t="str">
        <f t="shared" si="24"/>
        <v>GA</v>
      </c>
      <c r="E294" t="str">
        <f t="shared" si="25"/>
        <v>Southeast</v>
      </c>
      <c r="F294" t="s">
        <v>14</v>
      </c>
      <c r="G294" s="1">
        <v>45185</v>
      </c>
      <c r="H294" s="1">
        <v>45189</v>
      </c>
      <c r="I294" s="1">
        <f t="shared" si="29"/>
        <v>45189</v>
      </c>
      <c r="J294" s="2">
        <v>25</v>
      </c>
      <c r="K294" s="2">
        <v>203.15</v>
      </c>
      <c r="L294" t="s">
        <v>15</v>
      </c>
      <c r="M294" s="2">
        <v>1477</v>
      </c>
      <c r="N294" s="2">
        <v>4</v>
      </c>
      <c r="O294" s="2">
        <f t="shared" si="26"/>
        <v>369.25</v>
      </c>
      <c r="P294" s="2">
        <f t="shared" si="27"/>
        <v>1.817622446468127</v>
      </c>
      <c r="Q294" s="3">
        <f t="shared" si="28"/>
        <v>0.13754231550440082</v>
      </c>
    </row>
    <row r="295" spans="1:17" hidden="1" x14ac:dyDescent="0.25">
      <c r="A295" t="s">
        <v>351</v>
      </c>
      <c r="B295" t="s">
        <v>56</v>
      </c>
      <c r="C295" t="s">
        <v>46</v>
      </c>
      <c r="D295" t="str">
        <f t="shared" si="24"/>
        <v>MA</v>
      </c>
      <c r="E295" t="str">
        <f t="shared" si="25"/>
        <v>Northeast</v>
      </c>
      <c r="F295" t="s">
        <v>18</v>
      </c>
      <c r="G295" s="1">
        <v>45265</v>
      </c>
      <c r="H295" s="1">
        <v>45270</v>
      </c>
      <c r="I295" s="1">
        <f t="shared" si="29"/>
        <v>45270</v>
      </c>
      <c r="J295" s="2">
        <v>30.5</v>
      </c>
      <c r="K295" s="2">
        <v>464.17</v>
      </c>
      <c r="L295" t="s">
        <v>15</v>
      </c>
      <c r="M295" s="2">
        <v>2363</v>
      </c>
      <c r="N295" s="2">
        <v>5</v>
      </c>
      <c r="O295" s="2">
        <f t="shared" si="26"/>
        <v>472.6</v>
      </c>
      <c r="P295" s="2">
        <f t="shared" si="27"/>
        <v>1.0181614494689446</v>
      </c>
      <c r="Q295" s="3">
        <f t="shared" si="28"/>
        <v>0.19643250105797716</v>
      </c>
    </row>
    <row r="296" spans="1:17" hidden="1" x14ac:dyDescent="0.25">
      <c r="A296" t="s">
        <v>352</v>
      </c>
      <c r="B296" t="s">
        <v>27</v>
      </c>
      <c r="C296" t="s">
        <v>31</v>
      </c>
      <c r="D296" t="str">
        <f t="shared" si="24"/>
        <v>NY</v>
      </c>
      <c r="E296" t="str">
        <f t="shared" si="25"/>
        <v>Northeast</v>
      </c>
      <c r="F296" t="s">
        <v>37</v>
      </c>
      <c r="G296" s="1">
        <v>45266</v>
      </c>
      <c r="H296" s="1">
        <v>45271</v>
      </c>
      <c r="I296" s="1">
        <f t="shared" si="29"/>
        <v>45271</v>
      </c>
      <c r="J296" s="2">
        <v>20.6</v>
      </c>
      <c r="K296" s="2">
        <v>246.74</v>
      </c>
      <c r="L296" t="s">
        <v>15</v>
      </c>
      <c r="M296" s="2">
        <v>1442</v>
      </c>
      <c r="N296" s="2">
        <v>5</v>
      </c>
      <c r="O296" s="2">
        <f t="shared" si="26"/>
        <v>288.39999999999998</v>
      </c>
      <c r="P296" s="2">
        <f t="shared" si="27"/>
        <v>1.1688416957120855</v>
      </c>
      <c r="Q296" s="3">
        <f t="shared" si="28"/>
        <v>0.17110957004160887</v>
      </c>
    </row>
    <row r="297" spans="1:17" x14ac:dyDescent="0.25">
      <c r="A297" t="s">
        <v>353</v>
      </c>
      <c r="B297" t="s">
        <v>35</v>
      </c>
      <c r="C297" t="s">
        <v>81</v>
      </c>
      <c r="D297" t="str">
        <f t="shared" si="24"/>
        <v>CO</v>
      </c>
      <c r="E297" t="str">
        <f t="shared" si="25"/>
        <v>West</v>
      </c>
      <c r="F297" t="s">
        <v>25</v>
      </c>
      <c r="G297" s="1">
        <v>45149</v>
      </c>
      <c r="H297" s="1">
        <v>45155</v>
      </c>
      <c r="I297" s="1">
        <f t="shared" si="29"/>
        <v>45155</v>
      </c>
      <c r="J297" s="2">
        <v>46.9</v>
      </c>
      <c r="K297" s="2">
        <v>188.95</v>
      </c>
      <c r="L297" t="s">
        <v>47</v>
      </c>
      <c r="M297" s="2">
        <v>1000</v>
      </c>
      <c r="N297" s="2">
        <v>2</v>
      </c>
      <c r="O297" s="2">
        <f t="shared" si="26"/>
        <v>500</v>
      </c>
      <c r="P297" s="2">
        <f t="shared" si="27"/>
        <v>2.6462026991267531</v>
      </c>
      <c r="Q297" s="3">
        <f t="shared" si="28"/>
        <v>0.18894999999999998</v>
      </c>
    </row>
    <row r="298" spans="1:17" x14ac:dyDescent="0.25">
      <c r="A298" t="s">
        <v>354</v>
      </c>
      <c r="B298" t="s">
        <v>35</v>
      </c>
      <c r="C298" t="s">
        <v>36</v>
      </c>
      <c r="D298" t="str">
        <f t="shared" si="24"/>
        <v>OR</v>
      </c>
      <c r="E298" t="str">
        <f t="shared" si="25"/>
        <v>West</v>
      </c>
      <c r="F298" t="s">
        <v>42</v>
      </c>
      <c r="G298" s="1">
        <v>44984</v>
      </c>
      <c r="H298" s="1">
        <v>44985</v>
      </c>
      <c r="I298" s="1">
        <f t="shared" si="29"/>
        <v>44985</v>
      </c>
      <c r="J298" s="2">
        <v>30.2</v>
      </c>
      <c r="K298" s="2">
        <v>71.67</v>
      </c>
      <c r="L298" t="s">
        <v>15</v>
      </c>
      <c r="M298" s="2">
        <v>290</v>
      </c>
      <c r="N298" s="2">
        <v>1</v>
      </c>
      <c r="O298" s="2">
        <f t="shared" si="26"/>
        <v>290</v>
      </c>
      <c r="P298" s="2">
        <f t="shared" si="27"/>
        <v>4.0463234268173576</v>
      </c>
      <c r="Q298" s="3">
        <f t="shared" si="28"/>
        <v>0.24713793103448276</v>
      </c>
    </row>
    <row r="299" spans="1:17" hidden="1" x14ac:dyDescent="0.25">
      <c r="A299" t="s">
        <v>355</v>
      </c>
      <c r="B299" t="s">
        <v>56</v>
      </c>
      <c r="C299" t="s">
        <v>57</v>
      </c>
      <c r="D299" t="str">
        <f t="shared" si="24"/>
        <v>MN</v>
      </c>
      <c r="E299" t="str">
        <f t="shared" si="25"/>
        <v>Midwest</v>
      </c>
      <c r="F299" t="s">
        <v>42</v>
      </c>
      <c r="G299" s="1">
        <v>44978</v>
      </c>
      <c r="H299" s="1">
        <v>44982</v>
      </c>
      <c r="I299" s="1">
        <f t="shared" si="29"/>
        <v>44982</v>
      </c>
      <c r="J299" s="2">
        <v>17.2</v>
      </c>
      <c r="K299" s="2">
        <v>133.74</v>
      </c>
      <c r="L299" t="s">
        <v>15</v>
      </c>
      <c r="M299" s="2">
        <v>888</v>
      </c>
      <c r="N299" s="2">
        <v>4</v>
      </c>
      <c r="O299" s="2">
        <f t="shared" si="26"/>
        <v>222</v>
      </c>
      <c r="P299" s="2">
        <f t="shared" si="27"/>
        <v>1.6599371915657244</v>
      </c>
      <c r="Q299" s="3">
        <f t="shared" si="28"/>
        <v>0.15060810810810812</v>
      </c>
    </row>
    <row r="300" spans="1:17" hidden="1" x14ac:dyDescent="0.25">
      <c r="A300" t="s">
        <v>356</v>
      </c>
      <c r="B300" t="s">
        <v>39</v>
      </c>
      <c r="C300" t="s">
        <v>31</v>
      </c>
      <c r="D300" t="str">
        <f t="shared" si="24"/>
        <v>NY</v>
      </c>
      <c r="E300" t="str">
        <f t="shared" si="25"/>
        <v>Northeast</v>
      </c>
      <c r="F300" t="s">
        <v>18</v>
      </c>
      <c r="G300" s="1">
        <v>45000</v>
      </c>
      <c r="H300" s="1">
        <v>45006</v>
      </c>
      <c r="I300" s="1">
        <f t="shared" si="29"/>
        <v>45006</v>
      </c>
      <c r="J300" s="2">
        <v>14.4</v>
      </c>
      <c r="K300" s="2">
        <v>391.92</v>
      </c>
      <c r="L300" t="s">
        <v>15</v>
      </c>
      <c r="M300" s="2">
        <v>2448</v>
      </c>
      <c r="N300" s="2">
        <v>6</v>
      </c>
      <c r="O300" s="2">
        <f t="shared" si="26"/>
        <v>408</v>
      </c>
      <c r="P300" s="2">
        <f t="shared" si="27"/>
        <v>1.0410287813839558</v>
      </c>
      <c r="Q300" s="3">
        <f t="shared" si="28"/>
        <v>0.16009803921568627</v>
      </c>
    </row>
    <row r="301" spans="1:17" hidden="1" x14ac:dyDescent="0.25">
      <c r="A301" t="s">
        <v>357</v>
      </c>
      <c r="B301" t="s">
        <v>56</v>
      </c>
      <c r="C301" t="s">
        <v>52</v>
      </c>
      <c r="D301" t="str">
        <f t="shared" si="24"/>
        <v>AZ</v>
      </c>
      <c r="E301" t="str">
        <f t="shared" si="25"/>
        <v>Southwest</v>
      </c>
      <c r="F301" t="s">
        <v>37</v>
      </c>
      <c r="G301" s="1">
        <v>45240</v>
      </c>
      <c r="H301" s="1">
        <v>45252</v>
      </c>
      <c r="I301" s="1">
        <f t="shared" si="29"/>
        <v>45252</v>
      </c>
      <c r="J301" s="2">
        <v>36.5</v>
      </c>
      <c r="K301" s="2">
        <v>109.9</v>
      </c>
      <c r="L301" t="s">
        <v>47</v>
      </c>
      <c r="M301" s="2">
        <v>385</v>
      </c>
      <c r="N301" s="2">
        <v>2</v>
      </c>
      <c r="O301" s="2">
        <f t="shared" si="26"/>
        <v>192.5</v>
      </c>
      <c r="P301" s="2">
        <f t="shared" si="27"/>
        <v>1.7515923566878979</v>
      </c>
      <c r="Q301" s="3">
        <f t="shared" si="28"/>
        <v>0.28545454545454546</v>
      </c>
    </row>
    <row r="302" spans="1:17" hidden="1" x14ac:dyDescent="0.25">
      <c r="A302" t="s">
        <v>358</v>
      </c>
      <c r="B302" t="s">
        <v>27</v>
      </c>
      <c r="C302" t="s">
        <v>46</v>
      </c>
      <c r="D302" t="str">
        <f t="shared" si="24"/>
        <v>MA</v>
      </c>
      <c r="E302" t="str">
        <f t="shared" si="25"/>
        <v>Northeast</v>
      </c>
      <c r="F302" t="s">
        <v>37</v>
      </c>
      <c r="G302" s="1">
        <v>45014</v>
      </c>
      <c r="H302" s="1">
        <v>45025</v>
      </c>
      <c r="I302" s="1">
        <f t="shared" si="29"/>
        <v>45025</v>
      </c>
      <c r="J302" s="2">
        <v>17.5</v>
      </c>
      <c r="K302" s="2">
        <v>198</v>
      </c>
      <c r="L302" t="s">
        <v>47</v>
      </c>
      <c r="M302" s="2">
        <v>1539</v>
      </c>
      <c r="N302" s="2">
        <v>4</v>
      </c>
      <c r="O302" s="2">
        <f t="shared" si="26"/>
        <v>384.75</v>
      </c>
      <c r="P302" s="2">
        <f t="shared" si="27"/>
        <v>1.9431818181818181</v>
      </c>
      <c r="Q302" s="3">
        <f t="shared" si="28"/>
        <v>0.12865497076023391</v>
      </c>
    </row>
    <row r="303" spans="1:17" hidden="1" x14ac:dyDescent="0.25">
      <c r="A303" t="s">
        <v>359</v>
      </c>
      <c r="B303" t="s">
        <v>20</v>
      </c>
      <c r="C303" t="s">
        <v>28</v>
      </c>
      <c r="D303" t="str">
        <f t="shared" si="24"/>
        <v>TX</v>
      </c>
      <c r="E303" t="str">
        <f t="shared" si="25"/>
        <v>Southwest</v>
      </c>
      <c r="F303" t="s">
        <v>42</v>
      </c>
      <c r="G303" s="1">
        <v>45128</v>
      </c>
      <c r="H303" s="1">
        <v>45134</v>
      </c>
      <c r="I303" s="1">
        <f t="shared" si="29"/>
        <v>45134</v>
      </c>
      <c r="J303" s="2">
        <v>60.6</v>
      </c>
      <c r="K303" s="2">
        <v>242.49</v>
      </c>
      <c r="L303" t="s">
        <v>15</v>
      </c>
      <c r="M303" s="2">
        <v>1435</v>
      </c>
      <c r="N303" s="2">
        <v>6</v>
      </c>
      <c r="O303" s="2">
        <f t="shared" si="26"/>
        <v>239.16666666666666</v>
      </c>
      <c r="P303" s="2">
        <f t="shared" si="27"/>
        <v>0.98629496749006829</v>
      </c>
      <c r="Q303" s="3">
        <f t="shared" si="28"/>
        <v>0.16898257839721256</v>
      </c>
    </row>
    <row r="304" spans="1:17" hidden="1" x14ac:dyDescent="0.25">
      <c r="A304" t="s">
        <v>360</v>
      </c>
      <c r="B304" t="s">
        <v>30</v>
      </c>
      <c r="C304" t="s">
        <v>57</v>
      </c>
      <c r="D304" t="str">
        <f t="shared" si="24"/>
        <v>MN</v>
      </c>
      <c r="E304" t="str">
        <f t="shared" si="25"/>
        <v>Midwest</v>
      </c>
      <c r="F304" t="s">
        <v>37</v>
      </c>
      <c r="G304" s="1">
        <v>45099</v>
      </c>
      <c r="H304" s="1">
        <v>45104</v>
      </c>
      <c r="I304" s="1">
        <f t="shared" si="29"/>
        <v>45104</v>
      </c>
      <c r="J304" s="2">
        <v>8.3000000000000007</v>
      </c>
      <c r="K304" s="2">
        <v>208.92</v>
      </c>
      <c r="L304" t="s">
        <v>15</v>
      </c>
      <c r="M304" s="2">
        <v>1713</v>
      </c>
      <c r="N304" s="2">
        <v>5</v>
      </c>
      <c r="O304" s="2">
        <f t="shared" si="26"/>
        <v>342.6</v>
      </c>
      <c r="P304" s="2">
        <f t="shared" si="27"/>
        <v>1.6398621481906952</v>
      </c>
      <c r="Q304" s="3">
        <f t="shared" si="28"/>
        <v>0.12196147110332749</v>
      </c>
    </row>
    <row r="305" spans="1:17" x14ac:dyDescent="0.25">
      <c r="A305" t="s">
        <v>361</v>
      </c>
      <c r="B305" t="s">
        <v>30</v>
      </c>
      <c r="C305" t="s">
        <v>24</v>
      </c>
      <c r="D305" t="str">
        <f t="shared" si="24"/>
        <v>WA</v>
      </c>
      <c r="E305" t="str">
        <f t="shared" si="25"/>
        <v>West</v>
      </c>
      <c r="F305" t="s">
        <v>37</v>
      </c>
      <c r="G305" s="1">
        <v>45279</v>
      </c>
      <c r="H305" s="1">
        <v>45281</v>
      </c>
      <c r="I305" s="1">
        <f t="shared" si="29"/>
        <v>45281</v>
      </c>
      <c r="J305" s="2">
        <v>20.399999999999999</v>
      </c>
      <c r="K305" s="2">
        <v>44.83</v>
      </c>
      <c r="L305" t="s">
        <v>60</v>
      </c>
      <c r="M305" s="2">
        <v>135</v>
      </c>
      <c r="N305" s="2">
        <v>2</v>
      </c>
      <c r="O305" s="2">
        <f t="shared" si="26"/>
        <v>67.5</v>
      </c>
      <c r="P305" s="2">
        <f t="shared" si="27"/>
        <v>1.5056881552531787</v>
      </c>
      <c r="Q305" s="3">
        <f t="shared" si="28"/>
        <v>0.33207407407407408</v>
      </c>
    </row>
    <row r="306" spans="1:17" x14ac:dyDescent="0.25">
      <c r="A306" t="s">
        <v>362</v>
      </c>
      <c r="B306" t="s">
        <v>35</v>
      </c>
      <c r="C306" t="s">
        <v>36</v>
      </c>
      <c r="D306" t="str">
        <f t="shared" si="24"/>
        <v>OR</v>
      </c>
      <c r="E306" t="str">
        <f t="shared" si="25"/>
        <v>West</v>
      </c>
      <c r="F306" t="s">
        <v>18</v>
      </c>
      <c r="G306" s="1">
        <v>45227</v>
      </c>
      <c r="H306" s="1">
        <v>45231</v>
      </c>
      <c r="I306" s="1">
        <f t="shared" si="29"/>
        <v>45231</v>
      </c>
      <c r="J306" s="2">
        <v>37.9</v>
      </c>
      <c r="K306" s="2">
        <v>100.86</v>
      </c>
      <c r="L306" t="s">
        <v>15</v>
      </c>
      <c r="M306" s="2">
        <v>305</v>
      </c>
      <c r="N306" s="2">
        <v>4</v>
      </c>
      <c r="O306" s="2">
        <f t="shared" si="26"/>
        <v>76.25</v>
      </c>
      <c r="P306" s="2">
        <f t="shared" si="27"/>
        <v>0.75599841364267306</v>
      </c>
      <c r="Q306" s="3">
        <f t="shared" si="28"/>
        <v>0.33068852459016396</v>
      </c>
    </row>
    <row r="307" spans="1:17" hidden="1" x14ac:dyDescent="0.25">
      <c r="A307" t="s">
        <v>363</v>
      </c>
      <c r="B307" t="s">
        <v>56</v>
      </c>
      <c r="C307" t="s">
        <v>31</v>
      </c>
      <c r="D307" t="str">
        <f t="shared" si="24"/>
        <v>NY</v>
      </c>
      <c r="E307" t="str">
        <f t="shared" si="25"/>
        <v>Northeast</v>
      </c>
      <c r="F307" t="s">
        <v>32</v>
      </c>
      <c r="G307" s="1">
        <v>45078</v>
      </c>
      <c r="H307" s="1">
        <v>45083</v>
      </c>
      <c r="I307" s="1">
        <f t="shared" si="29"/>
        <v>45083</v>
      </c>
      <c r="J307" s="2">
        <v>16.2</v>
      </c>
      <c r="K307" s="2">
        <v>301.83999999999997</v>
      </c>
      <c r="L307" t="s">
        <v>62</v>
      </c>
      <c r="M307" s="2">
        <v>2209</v>
      </c>
      <c r="N307" s="2">
        <v>5</v>
      </c>
      <c r="O307" s="2">
        <f t="shared" si="26"/>
        <v>441.8</v>
      </c>
      <c r="P307" s="2">
        <f t="shared" si="27"/>
        <v>1.4636893718526374</v>
      </c>
      <c r="Q307" s="3">
        <f t="shared" si="28"/>
        <v>0.13664101403349932</v>
      </c>
    </row>
    <row r="308" spans="1:17" x14ac:dyDescent="0.25">
      <c r="A308" t="s">
        <v>364</v>
      </c>
      <c r="B308" t="s">
        <v>35</v>
      </c>
      <c r="C308" t="s">
        <v>81</v>
      </c>
      <c r="D308" t="str">
        <f t="shared" si="24"/>
        <v>CO</v>
      </c>
      <c r="E308" t="str">
        <f t="shared" si="25"/>
        <v>West</v>
      </c>
      <c r="F308" t="s">
        <v>59</v>
      </c>
      <c r="G308" s="1">
        <v>44927</v>
      </c>
      <c r="H308" s="1">
        <v>44933</v>
      </c>
      <c r="I308" s="1">
        <f t="shared" si="29"/>
        <v>44933</v>
      </c>
      <c r="J308" s="2">
        <v>23.8</v>
      </c>
      <c r="K308" s="2">
        <v>128.01</v>
      </c>
      <c r="L308" t="s">
        <v>15</v>
      </c>
      <c r="M308" s="2">
        <v>1000</v>
      </c>
      <c r="N308" s="2">
        <v>6</v>
      </c>
      <c r="O308" s="2">
        <f t="shared" si="26"/>
        <v>166.66666666666666</v>
      </c>
      <c r="P308" s="2">
        <f t="shared" si="27"/>
        <v>1.3019816160195818</v>
      </c>
      <c r="Q308" s="3">
        <f t="shared" si="28"/>
        <v>0.12800999999999998</v>
      </c>
    </row>
    <row r="309" spans="1:17" hidden="1" x14ac:dyDescent="0.25">
      <c r="A309" t="s">
        <v>365</v>
      </c>
      <c r="B309" t="s">
        <v>23</v>
      </c>
      <c r="C309" t="s">
        <v>46</v>
      </c>
      <c r="D309" t="str">
        <f t="shared" si="24"/>
        <v>MA</v>
      </c>
      <c r="E309" t="str">
        <f t="shared" si="25"/>
        <v>Northeast</v>
      </c>
      <c r="F309" t="s">
        <v>25</v>
      </c>
      <c r="G309" s="1">
        <v>45179</v>
      </c>
      <c r="H309" s="1">
        <v>45188</v>
      </c>
      <c r="I309" s="1">
        <f t="shared" si="29"/>
        <v>45188</v>
      </c>
      <c r="J309" s="2">
        <v>15.9</v>
      </c>
      <c r="K309" s="2">
        <v>284.07</v>
      </c>
      <c r="L309" t="s">
        <v>15</v>
      </c>
      <c r="M309" s="2">
        <v>2374</v>
      </c>
      <c r="N309" s="2">
        <v>9</v>
      </c>
      <c r="O309" s="2">
        <f t="shared" si="26"/>
        <v>263.77777777777777</v>
      </c>
      <c r="P309" s="2">
        <f t="shared" si="27"/>
        <v>0.9285661202442278</v>
      </c>
      <c r="Q309" s="3">
        <f t="shared" si="28"/>
        <v>0.11965880370682393</v>
      </c>
    </row>
    <row r="310" spans="1:17" x14ac:dyDescent="0.25">
      <c r="A310" t="s">
        <v>366</v>
      </c>
      <c r="B310" t="s">
        <v>39</v>
      </c>
      <c r="C310" t="s">
        <v>70</v>
      </c>
      <c r="D310" t="str">
        <f t="shared" si="24"/>
        <v>CA</v>
      </c>
      <c r="E310" t="str">
        <f t="shared" si="25"/>
        <v>West</v>
      </c>
      <c r="F310" t="s">
        <v>25</v>
      </c>
      <c r="G310" s="1">
        <v>45256</v>
      </c>
      <c r="H310" s="1">
        <v>45276</v>
      </c>
      <c r="I310" s="1">
        <f t="shared" si="29"/>
        <v>45276</v>
      </c>
      <c r="J310" s="2">
        <v>77.8</v>
      </c>
      <c r="K310" s="2">
        <v>413.72</v>
      </c>
      <c r="L310" t="s">
        <v>47</v>
      </c>
      <c r="M310" s="2">
        <v>2313</v>
      </c>
      <c r="N310" s="2">
        <v>10</v>
      </c>
      <c r="O310" s="2">
        <f t="shared" si="26"/>
        <v>231.3</v>
      </c>
      <c r="P310" s="2">
        <f t="shared" si="27"/>
        <v>0.55907376969931355</v>
      </c>
      <c r="Q310" s="3">
        <f t="shared" si="28"/>
        <v>0.17886727194120192</v>
      </c>
    </row>
    <row r="311" spans="1:17" hidden="1" x14ac:dyDescent="0.25">
      <c r="A311" t="s">
        <v>367</v>
      </c>
      <c r="B311" t="s">
        <v>35</v>
      </c>
      <c r="C311" t="s">
        <v>40</v>
      </c>
      <c r="D311" t="str">
        <f t="shared" si="24"/>
        <v>MI</v>
      </c>
      <c r="E311" t="str">
        <f t="shared" si="25"/>
        <v>Midwest</v>
      </c>
      <c r="F311" t="s">
        <v>59</v>
      </c>
      <c r="G311" s="1">
        <v>45007</v>
      </c>
      <c r="H311" s="1">
        <v>45011</v>
      </c>
      <c r="I311" s="1">
        <f t="shared" si="29"/>
        <v>45011</v>
      </c>
      <c r="J311" s="2">
        <v>8.1</v>
      </c>
      <c r="K311" s="2">
        <v>41.68</v>
      </c>
      <c r="L311" t="s">
        <v>15</v>
      </c>
      <c r="M311" s="2">
        <v>283</v>
      </c>
      <c r="N311" s="2">
        <v>4</v>
      </c>
      <c r="O311" s="2">
        <f t="shared" si="26"/>
        <v>70.75</v>
      </c>
      <c r="P311" s="2">
        <f t="shared" si="27"/>
        <v>1.6974568138195778</v>
      </c>
      <c r="Q311" s="3">
        <f t="shared" si="28"/>
        <v>0.14727915194346289</v>
      </c>
    </row>
    <row r="312" spans="1:17" hidden="1" x14ac:dyDescent="0.25">
      <c r="A312" t="s">
        <v>368</v>
      </c>
      <c r="B312" t="s">
        <v>23</v>
      </c>
      <c r="C312" t="s">
        <v>57</v>
      </c>
      <c r="D312" t="str">
        <f t="shared" si="24"/>
        <v>MN</v>
      </c>
      <c r="E312" t="str">
        <f t="shared" si="25"/>
        <v>Midwest</v>
      </c>
      <c r="F312" t="s">
        <v>25</v>
      </c>
      <c r="G312" s="1">
        <v>45215</v>
      </c>
      <c r="H312" s="1">
        <v>45220</v>
      </c>
      <c r="I312" s="1">
        <f t="shared" si="29"/>
        <v>45220</v>
      </c>
      <c r="J312" s="2">
        <v>52.1</v>
      </c>
      <c r="K312" s="2">
        <v>282.08</v>
      </c>
      <c r="L312" t="s">
        <v>15</v>
      </c>
      <c r="M312" s="2">
        <v>1861</v>
      </c>
      <c r="N312" s="2">
        <v>5</v>
      </c>
      <c r="O312" s="2">
        <f t="shared" si="26"/>
        <v>372.2</v>
      </c>
      <c r="P312" s="2">
        <f t="shared" si="27"/>
        <v>1.3194838343732276</v>
      </c>
      <c r="Q312" s="3">
        <f t="shared" si="28"/>
        <v>0.15157442235357335</v>
      </c>
    </row>
    <row r="313" spans="1:17" hidden="1" x14ac:dyDescent="0.25">
      <c r="A313" t="s">
        <v>369</v>
      </c>
      <c r="B313" t="s">
        <v>56</v>
      </c>
      <c r="C313" t="s">
        <v>21</v>
      </c>
      <c r="D313" t="str">
        <f t="shared" ref="D313:D375" si="30">IF(C313="Atlanta","GA",
IF(C313="Boston","MA",
IF(C313="Chicago","IL",
IF(C313="Dallas","TX",
IF(C313="Denver","CO",
IF(C313="Detroit","MI",
IF(C313="Houston","TX",
IF(C313="Los Angeles","CA",
IF(C313="Miami","FL",
IF(C313="Minneapolis","MN",
IF(C313="New York","NY",
IF(C313="Phoenix","AZ",
IF(C313="Portland","OR",
IF(C313="San Francisco","CA",
IF(C313="Seattle","WA","Unknown")))))))))))))))</f>
        <v>TX</v>
      </c>
      <c r="E313" t="str">
        <f t="shared" ref="E313:E375" si="31">IF(OR(D313="NY",D313="NJ",D313="PA",D313="MA",D313="CT",D313="RI",D313="VT",D313="NH",D313="ME"),"Northeast",
IF(OR(D313="FL",D313="GA",D313="AL",D313="MS",D313="SC",D313="NC",D313="TN",D313="KY"),"Southeast",
IF(OR(D313="IL",D313="IN",D313="OH",D313="MI",D313="WI",D313="MN",D313="IA",D313="MO",D313="KS",D313="NE",D313="ND",D313="SD"),"Midwest",
IF(OR(D313="TX",D313="OK",D313="NM",D313="AZ"),"Southwest",
IF(OR(D313="CA",D313="OR",D313="WA",D313="NV",D313="CO",D313="UT",D313="ID",D313="MT",D313="WY",D313="AK",D313="HI"),"West","Other")))))</f>
        <v>Southwest</v>
      </c>
      <c r="F313" t="s">
        <v>42</v>
      </c>
      <c r="G313" s="1">
        <v>45196</v>
      </c>
      <c r="I313" s="1">
        <f t="shared" si="29"/>
        <v>45198</v>
      </c>
      <c r="J313" s="2">
        <v>6.9</v>
      </c>
      <c r="K313" s="2">
        <v>53.22</v>
      </c>
      <c r="L313" t="s">
        <v>15</v>
      </c>
      <c r="M313" s="2">
        <v>424</v>
      </c>
      <c r="N313" s="2">
        <v>2</v>
      </c>
      <c r="O313" s="2">
        <f t="shared" ref="O313:O375" si="32">M313/N313</f>
        <v>212</v>
      </c>
      <c r="P313" s="2">
        <f t="shared" ref="P313:P375" si="33">O313/K313</f>
        <v>3.9834648628335212</v>
      </c>
      <c r="Q313" s="3">
        <f t="shared" ref="Q313:Q375" si="34">K313/M313</f>
        <v>0.12551886792452829</v>
      </c>
    </row>
    <row r="314" spans="1:17" hidden="1" x14ac:dyDescent="0.25">
      <c r="A314" t="s">
        <v>370</v>
      </c>
      <c r="B314" t="s">
        <v>20</v>
      </c>
      <c r="C314" t="s">
        <v>52</v>
      </c>
      <c r="D314" t="str">
        <f t="shared" si="30"/>
        <v>AZ</v>
      </c>
      <c r="E314" t="str">
        <f t="shared" si="31"/>
        <v>Southwest</v>
      </c>
      <c r="F314" t="s">
        <v>37</v>
      </c>
      <c r="G314" s="1">
        <v>44937</v>
      </c>
      <c r="H314" s="1">
        <v>44943</v>
      </c>
      <c r="I314" s="1">
        <f t="shared" si="29"/>
        <v>44943</v>
      </c>
      <c r="J314" s="2">
        <v>22.6</v>
      </c>
      <c r="K314" s="2">
        <v>76.63</v>
      </c>
      <c r="L314" t="s">
        <v>47</v>
      </c>
      <c r="M314" s="2">
        <v>373</v>
      </c>
      <c r="N314" s="2">
        <v>5</v>
      </c>
      <c r="O314" s="2">
        <f t="shared" si="32"/>
        <v>74.599999999999994</v>
      </c>
      <c r="P314" s="2">
        <f t="shared" si="33"/>
        <v>0.9735090695550046</v>
      </c>
      <c r="Q314" s="3">
        <f t="shared" si="34"/>
        <v>0.20544235924932974</v>
      </c>
    </row>
    <row r="315" spans="1:17" hidden="1" x14ac:dyDescent="0.25">
      <c r="A315" t="s">
        <v>371</v>
      </c>
      <c r="B315" t="s">
        <v>30</v>
      </c>
      <c r="C315" t="s">
        <v>52</v>
      </c>
      <c r="D315" t="str">
        <f t="shared" si="30"/>
        <v>AZ</v>
      </c>
      <c r="E315" t="str">
        <f t="shared" si="31"/>
        <v>Southwest</v>
      </c>
      <c r="F315" t="s">
        <v>59</v>
      </c>
      <c r="G315" s="1">
        <v>45187</v>
      </c>
      <c r="H315" s="1">
        <v>45192</v>
      </c>
      <c r="I315" s="1">
        <f t="shared" si="29"/>
        <v>45192</v>
      </c>
      <c r="J315" s="2">
        <v>31.9</v>
      </c>
      <c r="K315" s="2">
        <v>207.32</v>
      </c>
      <c r="L315" t="s">
        <v>15</v>
      </c>
      <c r="M315" s="2">
        <v>1520</v>
      </c>
      <c r="N315" s="2">
        <v>5</v>
      </c>
      <c r="O315" s="2">
        <f t="shared" si="32"/>
        <v>304</v>
      </c>
      <c r="P315" s="2">
        <f t="shared" si="33"/>
        <v>1.4663322400154351</v>
      </c>
      <c r="Q315" s="3">
        <f t="shared" si="34"/>
        <v>0.13639473684210526</v>
      </c>
    </row>
    <row r="316" spans="1:17" hidden="1" x14ac:dyDescent="0.25">
      <c r="A316" t="s">
        <v>372</v>
      </c>
      <c r="B316" t="s">
        <v>23</v>
      </c>
      <c r="C316" t="s">
        <v>54</v>
      </c>
      <c r="D316" t="str">
        <f t="shared" si="30"/>
        <v>FL</v>
      </c>
      <c r="E316" t="str">
        <f t="shared" si="31"/>
        <v>Southeast</v>
      </c>
      <c r="F316" t="s">
        <v>32</v>
      </c>
      <c r="G316" s="1">
        <v>45222</v>
      </c>
      <c r="H316" s="1">
        <v>45226</v>
      </c>
      <c r="I316" s="1">
        <f t="shared" si="29"/>
        <v>45226</v>
      </c>
      <c r="J316" s="2">
        <v>45.9</v>
      </c>
      <c r="K316" s="2">
        <v>89.19</v>
      </c>
      <c r="L316" t="s">
        <v>15</v>
      </c>
      <c r="M316" s="2">
        <v>247</v>
      </c>
      <c r="N316" s="2">
        <v>4</v>
      </c>
      <c r="O316" s="2">
        <f t="shared" si="32"/>
        <v>61.75</v>
      </c>
      <c r="P316" s="2">
        <f t="shared" si="33"/>
        <v>0.69234219082856829</v>
      </c>
      <c r="Q316" s="3">
        <f t="shared" si="34"/>
        <v>0.36109311740890687</v>
      </c>
    </row>
    <row r="317" spans="1:17" hidden="1" x14ac:dyDescent="0.25">
      <c r="A317" t="s">
        <v>373</v>
      </c>
      <c r="B317" t="s">
        <v>30</v>
      </c>
      <c r="C317" t="s">
        <v>21</v>
      </c>
      <c r="D317" t="str">
        <f t="shared" si="30"/>
        <v>TX</v>
      </c>
      <c r="E317" t="str">
        <f t="shared" si="31"/>
        <v>Southwest</v>
      </c>
      <c r="F317" t="s">
        <v>32</v>
      </c>
      <c r="G317" s="1">
        <v>45133</v>
      </c>
      <c r="H317" s="1">
        <v>45137</v>
      </c>
      <c r="I317" s="1">
        <f t="shared" si="29"/>
        <v>45137</v>
      </c>
      <c r="J317" s="2">
        <v>14.9</v>
      </c>
      <c r="K317" s="2">
        <v>112.48</v>
      </c>
      <c r="L317" t="s">
        <v>15</v>
      </c>
      <c r="M317" s="2">
        <v>789</v>
      </c>
      <c r="N317" s="2">
        <v>4</v>
      </c>
      <c r="O317" s="2">
        <f t="shared" si="32"/>
        <v>197.25</v>
      </c>
      <c r="P317" s="2">
        <f t="shared" si="33"/>
        <v>1.753645092460882</v>
      </c>
      <c r="Q317" s="3">
        <f t="shared" si="34"/>
        <v>0.14256020278833967</v>
      </c>
    </row>
    <row r="318" spans="1:17" x14ac:dyDescent="0.25">
      <c r="A318" t="s">
        <v>374</v>
      </c>
      <c r="B318" t="s">
        <v>35</v>
      </c>
      <c r="C318" t="s">
        <v>81</v>
      </c>
      <c r="D318" t="str">
        <f t="shared" si="30"/>
        <v>CO</v>
      </c>
      <c r="E318" t="str">
        <f t="shared" si="31"/>
        <v>West</v>
      </c>
      <c r="F318" t="s">
        <v>37</v>
      </c>
      <c r="G318" s="1">
        <v>44962</v>
      </c>
      <c r="H318" s="1">
        <v>44966</v>
      </c>
      <c r="I318" s="1">
        <f t="shared" si="29"/>
        <v>44966</v>
      </c>
      <c r="J318" s="2">
        <v>27.6</v>
      </c>
      <c r="K318" s="2">
        <v>165.2</v>
      </c>
      <c r="L318" t="s">
        <v>15</v>
      </c>
      <c r="M318" s="2">
        <v>1000</v>
      </c>
      <c r="N318" s="2">
        <v>4</v>
      </c>
      <c r="O318" s="2">
        <f t="shared" si="32"/>
        <v>250</v>
      </c>
      <c r="P318" s="2">
        <f t="shared" si="33"/>
        <v>1.513317191283293</v>
      </c>
      <c r="Q318" s="3">
        <f t="shared" si="34"/>
        <v>0.16519999999999999</v>
      </c>
    </row>
    <row r="319" spans="1:17" hidden="1" x14ac:dyDescent="0.25">
      <c r="A319" t="s">
        <v>375</v>
      </c>
      <c r="B319" t="s">
        <v>39</v>
      </c>
      <c r="C319" t="s">
        <v>17</v>
      </c>
      <c r="D319" t="str">
        <f t="shared" si="30"/>
        <v>GA</v>
      </c>
      <c r="E319" t="str">
        <f t="shared" si="31"/>
        <v>Southeast</v>
      </c>
      <c r="F319" t="s">
        <v>18</v>
      </c>
      <c r="G319" s="1">
        <v>45010</v>
      </c>
      <c r="H319" s="1">
        <v>45012</v>
      </c>
      <c r="I319" s="1">
        <f t="shared" si="29"/>
        <v>45012</v>
      </c>
      <c r="J319" s="2">
        <v>8.3000000000000007</v>
      </c>
      <c r="K319" s="2">
        <v>128.12</v>
      </c>
      <c r="L319" t="s">
        <v>15</v>
      </c>
      <c r="M319" s="2">
        <v>800</v>
      </c>
      <c r="N319" s="2">
        <v>2</v>
      </c>
      <c r="O319" s="2">
        <f t="shared" si="32"/>
        <v>400</v>
      </c>
      <c r="P319" s="2">
        <f t="shared" si="33"/>
        <v>3.1220730565095223</v>
      </c>
      <c r="Q319" s="3">
        <f t="shared" si="34"/>
        <v>0.16015000000000001</v>
      </c>
    </row>
    <row r="320" spans="1:17" hidden="1" x14ac:dyDescent="0.25">
      <c r="A320" t="s">
        <v>376</v>
      </c>
      <c r="B320" t="s">
        <v>30</v>
      </c>
      <c r="C320" t="s">
        <v>44</v>
      </c>
      <c r="D320" t="str">
        <f t="shared" si="30"/>
        <v>IL</v>
      </c>
      <c r="E320" t="str">
        <f t="shared" si="31"/>
        <v>Midwest</v>
      </c>
      <c r="F320" t="s">
        <v>18</v>
      </c>
      <c r="G320" s="1">
        <v>45226</v>
      </c>
      <c r="H320" s="1">
        <v>45231</v>
      </c>
      <c r="I320" s="1">
        <f t="shared" si="29"/>
        <v>45231</v>
      </c>
      <c r="J320" s="2">
        <v>41.8</v>
      </c>
      <c r="K320" s="2">
        <v>174.68</v>
      </c>
      <c r="L320" t="s">
        <v>15</v>
      </c>
      <c r="M320" s="2">
        <v>773</v>
      </c>
      <c r="N320" s="2">
        <v>5</v>
      </c>
      <c r="O320" s="2">
        <f t="shared" si="32"/>
        <v>154.6</v>
      </c>
      <c r="P320" s="2">
        <f t="shared" si="33"/>
        <v>0.8850469429814517</v>
      </c>
      <c r="Q320" s="3">
        <f t="shared" si="34"/>
        <v>0.22597671410090558</v>
      </c>
    </row>
    <row r="321" spans="1:17" x14ac:dyDescent="0.25">
      <c r="A321" t="s">
        <v>377</v>
      </c>
      <c r="B321" t="s">
        <v>56</v>
      </c>
      <c r="C321" t="s">
        <v>24</v>
      </c>
      <c r="D321" t="str">
        <f t="shared" si="30"/>
        <v>WA</v>
      </c>
      <c r="E321" t="str">
        <f t="shared" si="31"/>
        <v>West</v>
      </c>
      <c r="F321" t="s">
        <v>37</v>
      </c>
      <c r="G321" s="1">
        <v>45111</v>
      </c>
      <c r="H321" s="1">
        <v>45116</v>
      </c>
      <c r="I321" s="1">
        <f t="shared" si="29"/>
        <v>45116</v>
      </c>
      <c r="J321" s="2">
        <v>10.7</v>
      </c>
      <c r="K321" s="2">
        <v>219.9</v>
      </c>
      <c r="L321" t="s">
        <v>60</v>
      </c>
      <c r="M321" s="2">
        <v>1857</v>
      </c>
      <c r="N321" s="2">
        <v>5</v>
      </c>
      <c r="O321" s="2">
        <f t="shared" si="32"/>
        <v>371.4</v>
      </c>
      <c r="P321" s="2">
        <f t="shared" si="33"/>
        <v>1.6889495225102318</v>
      </c>
      <c r="Q321" s="3">
        <f t="shared" si="34"/>
        <v>0.11841680129240711</v>
      </c>
    </row>
    <row r="322" spans="1:17" hidden="1" x14ac:dyDescent="0.25">
      <c r="A322" t="s">
        <v>378</v>
      </c>
      <c r="B322" t="s">
        <v>12</v>
      </c>
      <c r="C322" t="s">
        <v>40</v>
      </c>
      <c r="D322" t="str">
        <f t="shared" si="30"/>
        <v>MI</v>
      </c>
      <c r="E322" t="str">
        <f t="shared" si="31"/>
        <v>Midwest</v>
      </c>
      <c r="F322" t="s">
        <v>37</v>
      </c>
      <c r="G322" s="1">
        <v>45117</v>
      </c>
      <c r="H322" s="1">
        <v>45120</v>
      </c>
      <c r="I322" s="1">
        <f t="shared" ref="I322:I385" si="35">IF(H322="", G322 + N322, H322)</f>
        <v>45120</v>
      </c>
      <c r="J322" s="2">
        <v>8.3000000000000007</v>
      </c>
      <c r="K322" s="2">
        <v>154.62</v>
      </c>
      <c r="L322" t="s">
        <v>15</v>
      </c>
      <c r="M322" s="2">
        <v>1155</v>
      </c>
      <c r="N322" s="2">
        <v>3</v>
      </c>
      <c r="O322" s="2">
        <f t="shared" si="32"/>
        <v>385</v>
      </c>
      <c r="P322" s="2">
        <f t="shared" si="33"/>
        <v>2.4899754236191955</v>
      </c>
      <c r="Q322" s="3">
        <f t="shared" si="34"/>
        <v>0.13387012987012986</v>
      </c>
    </row>
    <row r="323" spans="1:17" hidden="1" x14ac:dyDescent="0.25">
      <c r="A323" t="s">
        <v>379</v>
      </c>
      <c r="B323" t="s">
        <v>51</v>
      </c>
      <c r="C323" t="s">
        <v>21</v>
      </c>
      <c r="D323" t="str">
        <f t="shared" si="30"/>
        <v>TX</v>
      </c>
      <c r="E323" t="str">
        <f t="shared" si="31"/>
        <v>Southwest</v>
      </c>
      <c r="F323" t="s">
        <v>14</v>
      </c>
      <c r="G323" s="1">
        <v>45080</v>
      </c>
      <c r="H323" s="1">
        <v>45084</v>
      </c>
      <c r="I323" s="1">
        <f t="shared" si="35"/>
        <v>45084</v>
      </c>
      <c r="J323" s="2">
        <v>67.900000000000006</v>
      </c>
      <c r="K323" s="2">
        <v>253.84</v>
      </c>
      <c r="L323" t="s">
        <v>15</v>
      </c>
      <c r="M323" s="2">
        <v>1154</v>
      </c>
      <c r="N323" s="2">
        <v>4</v>
      </c>
      <c r="O323" s="2">
        <f t="shared" si="32"/>
        <v>288.5</v>
      </c>
      <c r="P323" s="2">
        <f t="shared" si="33"/>
        <v>1.1365427040655531</v>
      </c>
      <c r="Q323" s="3">
        <f t="shared" si="34"/>
        <v>0.21996533795493933</v>
      </c>
    </row>
    <row r="324" spans="1:17" x14ac:dyDescent="0.25">
      <c r="A324" t="s">
        <v>380</v>
      </c>
      <c r="B324" t="s">
        <v>12</v>
      </c>
      <c r="C324" t="s">
        <v>81</v>
      </c>
      <c r="D324" t="str">
        <f t="shared" si="30"/>
        <v>CO</v>
      </c>
      <c r="E324" t="str">
        <f t="shared" si="31"/>
        <v>West</v>
      </c>
      <c r="F324" t="s">
        <v>14</v>
      </c>
      <c r="G324" s="1">
        <v>45237</v>
      </c>
      <c r="H324" s="1">
        <v>45241</v>
      </c>
      <c r="I324" s="1">
        <f t="shared" si="35"/>
        <v>45241</v>
      </c>
      <c r="J324" s="2">
        <v>10.3</v>
      </c>
      <c r="K324" s="2">
        <v>233.37</v>
      </c>
      <c r="L324" t="s">
        <v>15</v>
      </c>
      <c r="M324" s="2">
        <v>1477</v>
      </c>
      <c r="N324" s="2">
        <v>4</v>
      </c>
      <c r="O324" s="2">
        <f t="shared" si="32"/>
        <v>369.25</v>
      </c>
      <c r="P324" s="2">
        <f t="shared" si="33"/>
        <v>1.5822513605004926</v>
      </c>
      <c r="Q324" s="3">
        <f t="shared" si="34"/>
        <v>0.15800270819228165</v>
      </c>
    </row>
    <row r="325" spans="1:17" hidden="1" x14ac:dyDescent="0.25">
      <c r="A325" t="s">
        <v>381</v>
      </c>
      <c r="B325" t="s">
        <v>51</v>
      </c>
      <c r="C325" t="s">
        <v>21</v>
      </c>
      <c r="D325" t="str">
        <f t="shared" si="30"/>
        <v>TX</v>
      </c>
      <c r="E325" t="str">
        <f t="shared" si="31"/>
        <v>Southwest</v>
      </c>
      <c r="F325" t="s">
        <v>25</v>
      </c>
      <c r="G325" s="1">
        <v>44956</v>
      </c>
      <c r="H325" s="1">
        <v>44960</v>
      </c>
      <c r="I325" s="1">
        <f t="shared" si="35"/>
        <v>44960</v>
      </c>
      <c r="J325" s="2">
        <v>22.7</v>
      </c>
      <c r="K325" s="2">
        <v>218.75</v>
      </c>
      <c r="L325" t="s">
        <v>15</v>
      </c>
      <c r="M325" s="2">
        <v>1541</v>
      </c>
      <c r="N325" s="2">
        <v>4</v>
      </c>
      <c r="O325" s="2">
        <f t="shared" si="32"/>
        <v>385.25</v>
      </c>
      <c r="P325" s="2">
        <f t="shared" si="33"/>
        <v>1.7611428571428571</v>
      </c>
      <c r="Q325" s="3">
        <f t="shared" si="34"/>
        <v>0.1419532770927969</v>
      </c>
    </row>
    <row r="326" spans="1:17" hidden="1" x14ac:dyDescent="0.25">
      <c r="A326" t="s">
        <v>382</v>
      </c>
      <c r="B326" t="s">
        <v>20</v>
      </c>
      <c r="C326" t="s">
        <v>54</v>
      </c>
      <c r="D326" t="str">
        <f t="shared" si="30"/>
        <v>FL</v>
      </c>
      <c r="E326" t="str">
        <f t="shared" si="31"/>
        <v>Southeast</v>
      </c>
      <c r="F326" t="s">
        <v>18</v>
      </c>
      <c r="G326" s="1">
        <v>45237</v>
      </c>
      <c r="H326" s="1">
        <v>45240</v>
      </c>
      <c r="I326" s="1">
        <f t="shared" si="35"/>
        <v>45240</v>
      </c>
      <c r="J326" s="2">
        <v>19</v>
      </c>
      <c r="K326" s="2">
        <v>127.07</v>
      </c>
      <c r="L326" t="s">
        <v>15</v>
      </c>
      <c r="M326" s="2">
        <v>622</v>
      </c>
      <c r="N326" s="2">
        <v>3</v>
      </c>
      <c r="O326" s="2">
        <f t="shared" si="32"/>
        <v>207.33333333333334</v>
      </c>
      <c r="P326" s="2">
        <f t="shared" si="33"/>
        <v>1.6316465989874349</v>
      </c>
      <c r="Q326" s="3">
        <f t="shared" si="34"/>
        <v>0.20429260450160772</v>
      </c>
    </row>
    <row r="327" spans="1:17" hidden="1" x14ac:dyDescent="0.25">
      <c r="A327" t="s">
        <v>384</v>
      </c>
      <c r="B327" t="s">
        <v>49</v>
      </c>
      <c r="C327" t="s">
        <v>52</v>
      </c>
      <c r="D327" t="str">
        <f t="shared" si="30"/>
        <v>AZ</v>
      </c>
      <c r="E327" t="str">
        <f t="shared" si="31"/>
        <v>Southwest</v>
      </c>
      <c r="F327" t="s">
        <v>37</v>
      </c>
      <c r="G327" s="1">
        <v>45043</v>
      </c>
      <c r="H327" s="1">
        <v>45046</v>
      </c>
      <c r="I327" s="1">
        <f t="shared" si="35"/>
        <v>45046</v>
      </c>
      <c r="J327" s="2">
        <v>12.7</v>
      </c>
      <c r="K327" s="2">
        <v>192.88</v>
      </c>
      <c r="L327" t="s">
        <v>15</v>
      </c>
      <c r="M327" s="2">
        <v>1608</v>
      </c>
      <c r="N327" s="2">
        <v>3</v>
      </c>
      <c r="O327" s="2">
        <f t="shared" si="32"/>
        <v>536</v>
      </c>
      <c r="P327" s="2">
        <f t="shared" si="33"/>
        <v>2.7789299046038987</v>
      </c>
      <c r="Q327" s="3">
        <f t="shared" si="34"/>
        <v>0.1199502487562189</v>
      </c>
    </row>
    <row r="328" spans="1:17" hidden="1" x14ac:dyDescent="0.25">
      <c r="A328" t="s">
        <v>385</v>
      </c>
      <c r="B328" t="s">
        <v>49</v>
      </c>
      <c r="C328" t="s">
        <v>17</v>
      </c>
      <c r="D328" t="str">
        <f t="shared" si="30"/>
        <v>GA</v>
      </c>
      <c r="E328" t="str">
        <f t="shared" si="31"/>
        <v>Southeast</v>
      </c>
      <c r="F328" t="s">
        <v>14</v>
      </c>
      <c r="G328" s="1">
        <v>44936</v>
      </c>
      <c r="H328" s="1">
        <v>44940</v>
      </c>
      <c r="I328" s="1">
        <f t="shared" si="35"/>
        <v>44940</v>
      </c>
      <c r="J328" s="2">
        <v>45.3</v>
      </c>
      <c r="K328" s="2">
        <v>240.32</v>
      </c>
      <c r="L328" t="s">
        <v>15</v>
      </c>
      <c r="M328" s="2">
        <v>1324</v>
      </c>
      <c r="N328" s="2">
        <v>4</v>
      </c>
      <c r="O328" s="2">
        <f t="shared" si="32"/>
        <v>331</v>
      </c>
      <c r="P328" s="2">
        <f t="shared" si="33"/>
        <v>1.3773302263648468</v>
      </c>
      <c r="Q328" s="3">
        <f t="shared" si="34"/>
        <v>0.1815105740181269</v>
      </c>
    </row>
    <row r="329" spans="1:17" x14ac:dyDescent="0.25">
      <c r="A329" t="s">
        <v>386</v>
      </c>
      <c r="B329" t="s">
        <v>35</v>
      </c>
      <c r="C329" t="s">
        <v>36</v>
      </c>
      <c r="D329" t="str">
        <f t="shared" si="30"/>
        <v>OR</v>
      </c>
      <c r="E329" t="str">
        <f t="shared" si="31"/>
        <v>West</v>
      </c>
      <c r="F329" t="s">
        <v>14</v>
      </c>
      <c r="G329" s="1">
        <v>45155</v>
      </c>
      <c r="H329" s="1">
        <v>45160</v>
      </c>
      <c r="I329" s="1">
        <f t="shared" si="35"/>
        <v>45160</v>
      </c>
      <c r="J329" s="2">
        <v>12.3</v>
      </c>
      <c r="K329" s="2">
        <v>310.02</v>
      </c>
      <c r="L329" t="s">
        <v>15</v>
      </c>
      <c r="M329" s="2">
        <v>2328</v>
      </c>
      <c r="N329" s="2">
        <v>5</v>
      </c>
      <c r="O329" s="2">
        <f t="shared" si="32"/>
        <v>465.6</v>
      </c>
      <c r="P329" s="2">
        <f t="shared" si="33"/>
        <v>1.5018385910586416</v>
      </c>
      <c r="Q329" s="3">
        <f t="shared" si="34"/>
        <v>0.13317010309278349</v>
      </c>
    </row>
    <row r="330" spans="1:17" hidden="1" x14ac:dyDescent="0.25">
      <c r="A330" t="s">
        <v>387</v>
      </c>
      <c r="B330" t="s">
        <v>27</v>
      </c>
      <c r="C330" t="s">
        <v>40</v>
      </c>
      <c r="D330" t="str">
        <f t="shared" si="30"/>
        <v>MI</v>
      </c>
      <c r="E330" t="str">
        <f t="shared" si="31"/>
        <v>Midwest</v>
      </c>
      <c r="F330" t="s">
        <v>59</v>
      </c>
      <c r="G330" s="1">
        <v>45209</v>
      </c>
      <c r="H330" s="1">
        <v>45214</v>
      </c>
      <c r="I330" s="1">
        <f t="shared" si="35"/>
        <v>45214</v>
      </c>
      <c r="J330" s="2">
        <v>52.2</v>
      </c>
      <c r="K330" s="2">
        <v>253.33</v>
      </c>
      <c r="L330" t="s">
        <v>47</v>
      </c>
      <c r="M330" s="2">
        <v>1608</v>
      </c>
      <c r="N330" s="2">
        <v>4</v>
      </c>
      <c r="O330" s="2">
        <f t="shared" si="32"/>
        <v>402</v>
      </c>
      <c r="P330" s="2">
        <f t="shared" si="33"/>
        <v>1.5868629850392768</v>
      </c>
      <c r="Q330" s="3">
        <f t="shared" si="34"/>
        <v>0.15754353233830848</v>
      </c>
    </row>
    <row r="331" spans="1:17" hidden="1" x14ac:dyDescent="0.25">
      <c r="A331" t="s">
        <v>388</v>
      </c>
      <c r="B331" t="s">
        <v>30</v>
      </c>
      <c r="C331" t="s">
        <v>52</v>
      </c>
      <c r="D331" t="str">
        <f t="shared" si="30"/>
        <v>AZ</v>
      </c>
      <c r="E331" t="str">
        <f t="shared" si="31"/>
        <v>Southwest</v>
      </c>
      <c r="F331" t="s">
        <v>14</v>
      </c>
      <c r="G331" s="1">
        <v>44938</v>
      </c>
      <c r="H331" s="1">
        <v>44947</v>
      </c>
      <c r="I331" s="1">
        <f t="shared" si="35"/>
        <v>44947</v>
      </c>
      <c r="J331" s="2">
        <v>8.4</v>
      </c>
      <c r="K331" s="2">
        <v>280.39</v>
      </c>
      <c r="L331" t="s">
        <v>15</v>
      </c>
      <c r="M331" s="2">
        <v>2388</v>
      </c>
      <c r="N331" s="2">
        <v>9</v>
      </c>
      <c r="O331" s="2">
        <f t="shared" si="32"/>
        <v>265.33333333333331</v>
      </c>
      <c r="P331" s="2">
        <f t="shared" si="33"/>
        <v>0.94630098553205655</v>
      </c>
      <c r="Q331" s="3">
        <f t="shared" si="34"/>
        <v>0.11741624790619765</v>
      </c>
    </row>
    <row r="332" spans="1:17" hidden="1" x14ac:dyDescent="0.25">
      <c r="A332" t="s">
        <v>389</v>
      </c>
      <c r="B332" t="s">
        <v>39</v>
      </c>
      <c r="C332" t="s">
        <v>44</v>
      </c>
      <c r="D332" t="str">
        <f t="shared" si="30"/>
        <v>IL</v>
      </c>
      <c r="E332" t="str">
        <f t="shared" si="31"/>
        <v>Midwest</v>
      </c>
      <c r="F332" t="s">
        <v>37</v>
      </c>
      <c r="G332" s="1">
        <v>45119</v>
      </c>
      <c r="H332" s="1">
        <v>45122</v>
      </c>
      <c r="I332" s="1">
        <f t="shared" si="35"/>
        <v>45122</v>
      </c>
      <c r="J332" s="2">
        <v>13.9</v>
      </c>
      <c r="K332" s="2">
        <v>136.58000000000001</v>
      </c>
      <c r="L332" t="s">
        <v>15</v>
      </c>
      <c r="M332" s="2">
        <v>1028</v>
      </c>
      <c r="N332" s="2">
        <v>3</v>
      </c>
      <c r="O332" s="2">
        <f t="shared" si="32"/>
        <v>342.66666666666669</v>
      </c>
      <c r="P332" s="2">
        <f t="shared" si="33"/>
        <v>2.5089080880558403</v>
      </c>
      <c r="Q332" s="3">
        <f t="shared" si="34"/>
        <v>0.13285992217898834</v>
      </c>
    </row>
    <row r="333" spans="1:17" hidden="1" x14ac:dyDescent="0.25">
      <c r="A333" t="s">
        <v>390</v>
      </c>
      <c r="B333" t="s">
        <v>20</v>
      </c>
      <c r="C333" t="s">
        <v>17</v>
      </c>
      <c r="D333" t="str">
        <f t="shared" si="30"/>
        <v>GA</v>
      </c>
      <c r="E333" t="str">
        <f t="shared" si="31"/>
        <v>Southeast</v>
      </c>
      <c r="F333" t="s">
        <v>42</v>
      </c>
      <c r="G333" s="1">
        <v>44946</v>
      </c>
      <c r="H333" s="1">
        <v>44955</v>
      </c>
      <c r="I333" s="1">
        <f t="shared" si="35"/>
        <v>44955</v>
      </c>
      <c r="J333" s="2">
        <v>41</v>
      </c>
      <c r="K333" s="2">
        <v>278.39</v>
      </c>
      <c r="L333" t="s">
        <v>47</v>
      </c>
      <c r="M333" s="2">
        <v>2061</v>
      </c>
      <c r="N333" s="2">
        <v>5</v>
      </c>
      <c r="O333" s="2">
        <f t="shared" si="32"/>
        <v>412.2</v>
      </c>
      <c r="P333" s="2">
        <f t="shared" si="33"/>
        <v>1.48065663278135</v>
      </c>
      <c r="Q333" s="3">
        <f t="shared" si="34"/>
        <v>0.13507520621057739</v>
      </c>
    </row>
    <row r="334" spans="1:17" hidden="1" x14ac:dyDescent="0.25">
      <c r="A334" t="s">
        <v>391</v>
      </c>
      <c r="B334" t="s">
        <v>20</v>
      </c>
      <c r="C334" t="s">
        <v>44</v>
      </c>
      <c r="D334" t="str">
        <f t="shared" si="30"/>
        <v>IL</v>
      </c>
      <c r="E334" t="str">
        <f t="shared" si="31"/>
        <v>Midwest</v>
      </c>
      <c r="F334" t="s">
        <v>59</v>
      </c>
      <c r="G334" s="1">
        <v>45213</v>
      </c>
      <c r="H334" s="1">
        <v>45218</v>
      </c>
      <c r="I334" s="1">
        <f t="shared" si="35"/>
        <v>45218</v>
      </c>
      <c r="J334" s="2">
        <v>26.1</v>
      </c>
      <c r="K334" s="2">
        <v>232.56</v>
      </c>
      <c r="L334" t="s">
        <v>15</v>
      </c>
      <c r="M334" s="2">
        <v>1772</v>
      </c>
      <c r="N334" s="2">
        <v>5</v>
      </c>
      <c r="O334" s="2">
        <f t="shared" si="32"/>
        <v>354.4</v>
      </c>
      <c r="P334" s="2">
        <f t="shared" si="33"/>
        <v>1.52390780873753</v>
      </c>
      <c r="Q334" s="3">
        <f t="shared" si="34"/>
        <v>0.13124153498871333</v>
      </c>
    </row>
    <row r="335" spans="1:17" hidden="1" x14ac:dyDescent="0.25">
      <c r="A335" t="s">
        <v>392</v>
      </c>
      <c r="B335" t="s">
        <v>20</v>
      </c>
      <c r="C335" t="s">
        <v>44</v>
      </c>
      <c r="D335" t="str">
        <f t="shared" si="30"/>
        <v>IL</v>
      </c>
      <c r="E335" t="str">
        <f t="shared" si="31"/>
        <v>Midwest</v>
      </c>
      <c r="F335" t="s">
        <v>59</v>
      </c>
      <c r="G335" s="1">
        <v>45219</v>
      </c>
      <c r="H335" s="1">
        <v>45223</v>
      </c>
      <c r="I335" s="1">
        <f t="shared" si="35"/>
        <v>45223</v>
      </c>
      <c r="J335" s="2">
        <v>26.2</v>
      </c>
      <c r="K335" s="2">
        <v>210.07</v>
      </c>
      <c r="L335" t="s">
        <v>15</v>
      </c>
      <c r="M335" s="2">
        <v>1707</v>
      </c>
      <c r="N335" s="2">
        <v>4</v>
      </c>
      <c r="O335" s="2">
        <f t="shared" si="32"/>
        <v>426.75</v>
      </c>
      <c r="P335" s="2">
        <f t="shared" si="33"/>
        <v>2.0314657019088878</v>
      </c>
      <c r="Q335" s="3">
        <f t="shared" si="34"/>
        <v>0.1230638547158758</v>
      </c>
    </row>
    <row r="336" spans="1:17" hidden="1" x14ac:dyDescent="0.25">
      <c r="A336" t="s">
        <v>393</v>
      </c>
      <c r="B336" t="s">
        <v>49</v>
      </c>
      <c r="C336" t="s">
        <v>40</v>
      </c>
      <c r="D336" t="str">
        <f t="shared" si="30"/>
        <v>MI</v>
      </c>
      <c r="E336" t="str">
        <f t="shared" si="31"/>
        <v>Midwest</v>
      </c>
      <c r="F336" t="s">
        <v>59</v>
      </c>
      <c r="G336" s="1">
        <v>44971</v>
      </c>
      <c r="H336" s="1">
        <v>44941</v>
      </c>
      <c r="I336" s="1">
        <f t="shared" si="35"/>
        <v>44941</v>
      </c>
      <c r="J336" s="2">
        <v>47.6</v>
      </c>
      <c r="K336" s="2">
        <v>135.78</v>
      </c>
      <c r="L336" t="s">
        <v>47</v>
      </c>
      <c r="M336" s="2">
        <v>636</v>
      </c>
      <c r="N336" s="2">
        <v>1</v>
      </c>
      <c r="O336" s="2">
        <f t="shared" si="32"/>
        <v>636</v>
      </c>
      <c r="P336" s="2">
        <f t="shared" si="33"/>
        <v>4.6840477242598322</v>
      </c>
      <c r="Q336" s="3">
        <f t="shared" si="34"/>
        <v>0.21349056603773586</v>
      </c>
    </row>
    <row r="337" spans="1:17" hidden="1" x14ac:dyDescent="0.25">
      <c r="A337" t="s">
        <v>394</v>
      </c>
      <c r="B337" t="s">
        <v>27</v>
      </c>
      <c r="C337" t="s">
        <v>21</v>
      </c>
      <c r="D337" t="str">
        <f t="shared" si="30"/>
        <v>TX</v>
      </c>
      <c r="E337" t="str">
        <f t="shared" si="31"/>
        <v>Southwest</v>
      </c>
      <c r="F337" t="s">
        <v>32</v>
      </c>
      <c r="G337" s="1">
        <v>45236</v>
      </c>
      <c r="H337" s="1">
        <v>45246</v>
      </c>
      <c r="I337" s="1">
        <f t="shared" si="35"/>
        <v>45246</v>
      </c>
      <c r="J337" s="2">
        <v>10.8</v>
      </c>
      <c r="K337" s="2">
        <v>349.56</v>
      </c>
      <c r="L337" t="s">
        <v>62</v>
      </c>
      <c r="M337" s="2">
        <v>1953</v>
      </c>
      <c r="N337" s="2">
        <v>10</v>
      </c>
      <c r="O337" s="2">
        <f t="shared" si="32"/>
        <v>195.3</v>
      </c>
      <c r="P337" s="2">
        <f t="shared" si="33"/>
        <v>0.55870236869207002</v>
      </c>
      <c r="Q337" s="3">
        <f t="shared" si="34"/>
        <v>0.17898617511520737</v>
      </c>
    </row>
    <row r="338" spans="1:17" hidden="1" x14ac:dyDescent="0.25">
      <c r="A338" t="s">
        <v>395</v>
      </c>
      <c r="B338" t="s">
        <v>51</v>
      </c>
      <c r="C338" t="s">
        <v>40</v>
      </c>
      <c r="D338" t="str">
        <f t="shared" si="30"/>
        <v>MI</v>
      </c>
      <c r="E338" t="str">
        <f t="shared" si="31"/>
        <v>Midwest</v>
      </c>
      <c r="F338" t="s">
        <v>59</v>
      </c>
      <c r="G338" s="1">
        <v>45227</v>
      </c>
      <c r="H338" s="1">
        <v>45232</v>
      </c>
      <c r="I338" s="1">
        <f t="shared" si="35"/>
        <v>45232</v>
      </c>
      <c r="J338" s="2">
        <v>42.4</v>
      </c>
      <c r="K338" s="2">
        <v>192.86</v>
      </c>
      <c r="L338" t="s">
        <v>15</v>
      </c>
      <c r="M338" s="2">
        <v>1319</v>
      </c>
      <c r="N338" s="2">
        <v>5</v>
      </c>
      <c r="O338" s="2">
        <f t="shared" si="32"/>
        <v>263.8</v>
      </c>
      <c r="P338" s="2">
        <f t="shared" si="33"/>
        <v>1.3678315876801825</v>
      </c>
      <c r="Q338" s="3">
        <f t="shared" si="34"/>
        <v>0.14621683093252466</v>
      </c>
    </row>
    <row r="339" spans="1:17" hidden="1" x14ac:dyDescent="0.25">
      <c r="A339" t="s">
        <v>396</v>
      </c>
      <c r="B339" t="s">
        <v>56</v>
      </c>
      <c r="C339" t="s">
        <v>46</v>
      </c>
      <c r="D339" t="str">
        <f t="shared" si="30"/>
        <v>MA</v>
      </c>
      <c r="E339" t="str">
        <f t="shared" si="31"/>
        <v>Northeast</v>
      </c>
      <c r="F339" t="s">
        <v>25</v>
      </c>
      <c r="G339" s="1">
        <v>45277</v>
      </c>
      <c r="I339" s="1">
        <f t="shared" si="35"/>
        <v>45279</v>
      </c>
      <c r="J339" s="2">
        <v>8.1999999999999993</v>
      </c>
      <c r="K339" s="2">
        <v>69.790000000000006</v>
      </c>
      <c r="L339" t="s">
        <v>15</v>
      </c>
      <c r="M339" s="2">
        <v>383</v>
      </c>
      <c r="N339" s="2">
        <v>2</v>
      </c>
      <c r="O339" s="2">
        <f t="shared" si="32"/>
        <v>191.5</v>
      </c>
      <c r="P339" s="2">
        <f t="shared" si="33"/>
        <v>2.7439461240865453</v>
      </c>
      <c r="Q339" s="3">
        <f t="shared" si="34"/>
        <v>0.18221932114882508</v>
      </c>
    </row>
    <row r="340" spans="1:17" hidden="1" x14ac:dyDescent="0.25">
      <c r="A340" t="s">
        <v>397</v>
      </c>
      <c r="B340" t="s">
        <v>49</v>
      </c>
      <c r="C340" t="s">
        <v>21</v>
      </c>
      <c r="D340" t="str">
        <f t="shared" si="30"/>
        <v>TX</v>
      </c>
      <c r="E340" t="str">
        <f t="shared" si="31"/>
        <v>Southwest</v>
      </c>
      <c r="F340" t="s">
        <v>14</v>
      </c>
      <c r="G340" s="1">
        <v>45170</v>
      </c>
      <c r="H340" s="1">
        <v>45173</v>
      </c>
      <c r="I340" s="1">
        <f t="shared" si="35"/>
        <v>45173</v>
      </c>
      <c r="J340" s="2">
        <v>26.1</v>
      </c>
      <c r="K340" s="2">
        <v>75.760000000000005</v>
      </c>
      <c r="L340" t="s">
        <v>15</v>
      </c>
      <c r="M340" s="2">
        <v>325</v>
      </c>
      <c r="N340" s="2">
        <v>3</v>
      </c>
      <c r="O340" s="2">
        <f t="shared" si="32"/>
        <v>108.33333333333333</v>
      </c>
      <c r="P340" s="2">
        <f t="shared" si="33"/>
        <v>1.429954241464273</v>
      </c>
      <c r="Q340" s="3">
        <f t="shared" si="34"/>
        <v>0.23310769230769232</v>
      </c>
    </row>
    <row r="341" spans="1:17" x14ac:dyDescent="0.25">
      <c r="A341" t="s">
        <v>398</v>
      </c>
      <c r="B341" t="s">
        <v>27</v>
      </c>
      <c r="C341" t="s">
        <v>36</v>
      </c>
      <c r="D341" t="str">
        <f t="shared" si="30"/>
        <v>OR</v>
      </c>
      <c r="E341" t="str">
        <f t="shared" si="31"/>
        <v>West</v>
      </c>
      <c r="F341" t="s">
        <v>14</v>
      </c>
      <c r="G341" s="1">
        <v>45019</v>
      </c>
      <c r="H341" s="1">
        <v>45021</v>
      </c>
      <c r="I341" s="1">
        <f t="shared" si="35"/>
        <v>45021</v>
      </c>
      <c r="J341" s="2">
        <v>21.1</v>
      </c>
      <c r="K341" s="2">
        <v>73.7</v>
      </c>
      <c r="L341" t="s">
        <v>15</v>
      </c>
      <c r="M341" s="2">
        <v>347</v>
      </c>
      <c r="N341" s="2">
        <v>2</v>
      </c>
      <c r="O341" s="2">
        <f t="shared" si="32"/>
        <v>173.5</v>
      </c>
      <c r="P341" s="2">
        <f t="shared" si="33"/>
        <v>2.3541383989145181</v>
      </c>
      <c r="Q341" s="3">
        <f t="shared" si="34"/>
        <v>0.21239193083573488</v>
      </c>
    </row>
    <row r="342" spans="1:17" x14ac:dyDescent="0.25">
      <c r="A342" t="s">
        <v>399</v>
      </c>
      <c r="B342" t="s">
        <v>27</v>
      </c>
      <c r="C342" t="s">
        <v>36</v>
      </c>
      <c r="D342" t="str">
        <f t="shared" si="30"/>
        <v>OR</v>
      </c>
      <c r="E342" t="str">
        <f t="shared" si="31"/>
        <v>West</v>
      </c>
      <c r="F342" t="s">
        <v>37</v>
      </c>
      <c r="G342" s="1">
        <v>45100</v>
      </c>
      <c r="H342" s="1">
        <v>45102</v>
      </c>
      <c r="I342" s="1">
        <f t="shared" si="35"/>
        <v>45102</v>
      </c>
      <c r="J342" s="2">
        <v>15.7</v>
      </c>
      <c r="K342" s="2">
        <v>87.18</v>
      </c>
      <c r="L342" t="s">
        <v>15</v>
      </c>
      <c r="M342" s="2">
        <v>509</v>
      </c>
      <c r="N342" s="2">
        <v>2</v>
      </c>
      <c r="O342" s="2">
        <f t="shared" si="32"/>
        <v>254.5</v>
      </c>
      <c r="P342" s="2">
        <f t="shared" si="33"/>
        <v>2.9192475338380359</v>
      </c>
      <c r="Q342" s="3">
        <f t="shared" si="34"/>
        <v>0.1712770137524558</v>
      </c>
    </row>
    <row r="343" spans="1:17" hidden="1" x14ac:dyDescent="0.25">
      <c r="A343" t="s">
        <v>400</v>
      </c>
      <c r="B343" t="s">
        <v>49</v>
      </c>
      <c r="C343" t="s">
        <v>57</v>
      </c>
      <c r="D343" t="str">
        <f t="shared" si="30"/>
        <v>MN</v>
      </c>
      <c r="E343" t="str">
        <f t="shared" si="31"/>
        <v>Midwest</v>
      </c>
      <c r="F343" t="s">
        <v>25</v>
      </c>
      <c r="G343" s="1">
        <v>45276</v>
      </c>
      <c r="H343" s="1">
        <v>45278</v>
      </c>
      <c r="I343" s="1">
        <f t="shared" si="35"/>
        <v>45278</v>
      </c>
      <c r="J343" s="2">
        <v>14.3</v>
      </c>
      <c r="K343" s="2">
        <v>88.22</v>
      </c>
      <c r="L343" t="s">
        <v>15</v>
      </c>
      <c r="M343" s="2">
        <v>421</v>
      </c>
      <c r="N343" s="2">
        <v>2</v>
      </c>
      <c r="O343" s="2">
        <f t="shared" si="32"/>
        <v>210.5</v>
      </c>
      <c r="P343" s="2">
        <f t="shared" si="33"/>
        <v>2.386080253910678</v>
      </c>
      <c r="Q343" s="3">
        <f t="shared" si="34"/>
        <v>0.20954869358669834</v>
      </c>
    </row>
    <row r="344" spans="1:17" hidden="1" x14ac:dyDescent="0.25">
      <c r="A344" t="s">
        <v>401</v>
      </c>
      <c r="B344" t="s">
        <v>39</v>
      </c>
      <c r="C344" t="s">
        <v>57</v>
      </c>
      <c r="D344" t="str">
        <f t="shared" si="30"/>
        <v>MN</v>
      </c>
      <c r="E344" t="str">
        <f t="shared" si="31"/>
        <v>Midwest</v>
      </c>
      <c r="F344" t="s">
        <v>25</v>
      </c>
      <c r="G344" s="1">
        <v>45166</v>
      </c>
      <c r="H344" s="1">
        <v>45171</v>
      </c>
      <c r="I344" s="1">
        <f t="shared" si="35"/>
        <v>45171</v>
      </c>
      <c r="J344" s="2">
        <v>34.299999999999997</v>
      </c>
      <c r="K344" s="2">
        <v>287.66000000000003</v>
      </c>
      <c r="L344" t="s">
        <v>15</v>
      </c>
      <c r="M344" s="2">
        <v>2065</v>
      </c>
      <c r="N344" s="2">
        <v>5</v>
      </c>
      <c r="O344" s="2">
        <f t="shared" si="32"/>
        <v>413</v>
      </c>
      <c r="P344" s="2">
        <f t="shared" si="33"/>
        <v>1.435722728220816</v>
      </c>
      <c r="Q344" s="3">
        <f t="shared" si="34"/>
        <v>0.13930266343825667</v>
      </c>
    </row>
    <row r="345" spans="1:17" x14ac:dyDescent="0.25">
      <c r="A345" t="s">
        <v>402</v>
      </c>
      <c r="B345" t="s">
        <v>35</v>
      </c>
      <c r="C345" t="s">
        <v>70</v>
      </c>
      <c r="D345" t="str">
        <f t="shared" si="30"/>
        <v>CA</v>
      </c>
      <c r="E345" t="str">
        <f t="shared" si="31"/>
        <v>West</v>
      </c>
      <c r="F345" t="s">
        <v>14</v>
      </c>
      <c r="G345" s="1">
        <v>45059</v>
      </c>
      <c r="H345" s="1">
        <v>45066</v>
      </c>
      <c r="I345" s="1">
        <f t="shared" si="35"/>
        <v>45066</v>
      </c>
      <c r="J345" s="2">
        <v>13.7</v>
      </c>
      <c r="K345" s="2">
        <v>341.16</v>
      </c>
      <c r="L345" t="s">
        <v>15</v>
      </c>
      <c r="M345" s="2">
        <v>2361</v>
      </c>
      <c r="N345" s="2">
        <v>7</v>
      </c>
      <c r="O345" s="2">
        <f t="shared" si="32"/>
        <v>337.28571428571428</v>
      </c>
      <c r="P345" s="2">
        <f t="shared" si="33"/>
        <v>0.98864378674438458</v>
      </c>
      <c r="Q345" s="3">
        <f t="shared" si="34"/>
        <v>0.14449809402795427</v>
      </c>
    </row>
    <row r="346" spans="1:17" x14ac:dyDescent="0.25">
      <c r="A346" t="s">
        <v>403</v>
      </c>
      <c r="B346" t="s">
        <v>12</v>
      </c>
      <c r="C346" t="s">
        <v>13</v>
      </c>
      <c r="D346" t="str">
        <f t="shared" si="30"/>
        <v>CA</v>
      </c>
      <c r="E346" t="str">
        <f t="shared" si="31"/>
        <v>West</v>
      </c>
      <c r="F346" t="s">
        <v>18</v>
      </c>
      <c r="G346" s="1">
        <v>45288</v>
      </c>
      <c r="H346" s="1">
        <v>45292</v>
      </c>
      <c r="I346" s="1">
        <f t="shared" si="35"/>
        <v>45292</v>
      </c>
      <c r="J346" s="2">
        <v>31.2</v>
      </c>
      <c r="K346" s="2">
        <v>274.73</v>
      </c>
      <c r="L346" t="s">
        <v>15</v>
      </c>
      <c r="M346" s="2">
        <v>1415</v>
      </c>
      <c r="N346" s="2">
        <v>4</v>
      </c>
      <c r="O346" s="2">
        <f t="shared" si="32"/>
        <v>353.75</v>
      </c>
      <c r="P346" s="2">
        <f t="shared" si="33"/>
        <v>1.2876278528009317</v>
      </c>
      <c r="Q346" s="3">
        <f t="shared" si="34"/>
        <v>0.19415547703180214</v>
      </c>
    </row>
    <row r="347" spans="1:17" hidden="1" x14ac:dyDescent="0.25">
      <c r="A347" t="s">
        <v>404</v>
      </c>
      <c r="B347" t="s">
        <v>27</v>
      </c>
      <c r="C347" t="s">
        <v>40</v>
      </c>
      <c r="D347" t="str">
        <f t="shared" si="30"/>
        <v>MI</v>
      </c>
      <c r="E347" t="str">
        <f t="shared" si="31"/>
        <v>Midwest</v>
      </c>
      <c r="F347" t="s">
        <v>42</v>
      </c>
      <c r="G347" s="1">
        <v>45249</v>
      </c>
      <c r="H347" s="1">
        <v>45254</v>
      </c>
      <c r="I347" s="1">
        <f t="shared" si="35"/>
        <v>45254</v>
      </c>
      <c r="J347" s="2">
        <v>18.7</v>
      </c>
      <c r="K347" s="2">
        <v>270.75</v>
      </c>
      <c r="L347" t="s">
        <v>15</v>
      </c>
      <c r="M347" s="2">
        <v>1679</v>
      </c>
      <c r="N347" s="2">
        <v>5</v>
      </c>
      <c r="O347" s="2">
        <f t="shared" si="32"/>
        <v>335.8</v>
      </c>
      <c r="P347" s="2">
        <f t="shared" si="33"/>
        <v>1.2402585410895661</v>
      </c>
      <c r="Q347" s="3">
        <f t="shared" si="34"/>
        <v>0.16125670041691484</v>
      </c>
    </row>
    <row r="348" spans="1:17" hidden="1" x14ac:dyDescent="0.25">
      <c r="A348" t="s">
        <v>405</v>
      </c>
      <c r="B348" t="s">
        <v>27</v>
      </c>
      <c r="C348" t="s">
        <v>46</v>
      </c>
      <c r="D348" t="str">
        <f t="shared" si="30"/>
        <v>MA</v>
      </c>
      <c r="E348" t="str">
        <f t="shared" si="31"/>
        <v>Northeast</v>
      </c>
      <c r="F348" t="s">
        <v>18</v>
      </c>
      <c r="G348" s="1">
        <v>45174</v>
      </c>
      <c r="H348" s="1">
        <v>45177</v>
      </c>
      <c r="I348" s="1">
        <f t="shared" si="35"/>
        <v>45177</v>
      </c>
      <c r="J348" s="2">
        <v>30</v>
      </c>
      <c r="K348" s="2">
        <v>187.33</v>
      </c>
      <c r="L348" t="s">
        <v>15</v>
      </c>
      <c r="M348" s="2">
        <v>1180</v>
      </c>
      <c r="N348" s="2">
        <v>3</v>
      </c>
      <c r="O348" s="2">
        <f t="shared" si="32"/>
        <v>393.33333333333331</v>
      </c>
      <c r="P348" s="2">
        <f t="shared" si="33"/>
        <v>2.0996814889944657</v>
      </c>
      <c r="Q348" s="3">
        <f t="shared" si="34"/>
        <v>0.15875423728813559</v>
      </c>
    </row>
    <row r="349" spans="1:17" hidden="1" x14ac:dyDescent="0.25">
      <c r="A349" t="s">
        <v>406</v>
      </c>
      <c r="B349" t="s">
        <v>49</v>
      </c>
      <c r="C349" t="s">
        <v>28</v>
      </c>
      <c r="D349" t="str">
        <f t="shared" si="30"/>
        <v>TX</v>
      </c>
      <c r="E349" t="str">
        <f t="shared" si="31"/>
        <v>Southwest</v>
      </c>
      <c r="F349" t="s">
        <v>59</v>
      </c>
      <c r="G349" s="1">
        <v>44967</v>
      </c>
      <c r="H349" s="1">
        <v>44970</v>
      </c>
      <c r="I349" s="1">
        <f t="shared" si="35"/>
        <v>44970</v>
      </c>
      <c r="J349" s="2">
        <v>20.7</v>
      </c>
      <c r="K349" s="2">
        <v>201.34</v>
      </c>
      <c r="L349" t="s">
        <v>15</v>
      </c>
      <c r="M349" s="2">
        <v>1515</v>
      </c>
      <c r="N349" s="2">
        <v>3</v>
      </c>
      <c r="O349" s="2">
        <f t="shared" si="32"/>
        <v>505</v>
      </c>
      <c r="P349" s="2">
        <f t="shared" si="33"/>
        <v>2.508195092877719</v>
      </c>
      <c r="Q349" s="3">
        <f t="shared" si="34"/>
        <v>0.1328976897689769</v>
      </c>
    </row>
    <row r="350" spans="1:17" hidden="1" x14ac:dyDescent="0.25">
      <c r="A350" t="s">
        <v>407</v>
      </c>
      <c r="B350" t="s">
        <v>35</v>
      </c>
      <c r="C350" t="s">
        <v>40</v>
      </c>
      <c r="D350" t="str">
        <f t="shared" si="30"/>
        <v>MI</v>
      </c>
      <c r="E350" t="str">
        <f t="shared" si="31"/>
        <v>Midwest</v>
      </c>
      <c r="F350" t="s">
        <v>37</v>
      </c>
      <c r="G350" s="1">
        <v>45240</v>
      </c>
      <c r="H350" s="1">
        <v>45242</v>
      </c>
      <c r="I350" s="1">
        <f t="shared" si="35"/>
        <v>45242</v>
      </c>
      <c r="J350" s="2">
        <v>27.2</v>
      </c>
      <c r="K350" s="2">
        <v>87.22</v>
      </c>
      <c r="L350" t="s">
        <v>15</v>
      </c>
      <c r="M350" s="2">
        <v>283</v>
      </c>
      <c r="N350" s="2">
        <v>2</v>
      </c>
      <c r="O350" s="2">
        <f t="shared" si="32"/>
        <v>141.5</v>
      </c>
      <c r="P350" s="2">
        <f t="shared" si="33"/>
        <v>1.6223343269892228</v>
      </c>
      <c r="Q350" s="3">
        <f t="shared" si="34"/>
        <v>0.30819787985865726</v>
      </c>
    </row>
    <row r="351" spans="1:17" hidden="1" x14ac:dyDescent="0.25">
      <c r="A351" t="s">
        <v>408</v>
      </c>
      <c r="B351" t="s">
        <v>12</v>
      </c>
      <c r="C351" t="s">
        <v>52</v>
      </c>
      <c r="D351" t="str">
        <f t="shared" si="30"/>
        <v>AZ</v>
      </c>
      <c r="E351" t="str">
        <f t="shared" si="31"/>
        <v>Southwest</v>
      </c>
      <c r="F351" t="s">
        <v>14</v>
      </c>
      <c r="G351" s="1">
        <v>44981</v>
      </c>
      <c r="H351" s="1">
        <v>44989</v>
      </c>
      <c r="I351" s="1">
        <f t="shared" si="35"/>
        <v>44989</v>
      </c>
      <c r="J351" s="2">
        <v>10.6</v>
      </c>
      <c r="K351" s="2">
        <v>78.78</v>
      </c>
      <c r="L351" t="s">
        <v>47</v>
      </c>
      <c r="M351" s="2">
        <v>517</v>
      </c>
      <c r="N351" s="2">
        <v>2</v>
      </c>
      <c r="O351" s="2">
        <f t="shared" si="32"/>
        <v>258.5</v>
      </c>
      <c r="P351" s="2">
        <f t="shared" si="33"/>
        <v>3.2812896674282812</v>
      </c>
      <c r="Q351" s="3">
        <f t="shared" si="34"/>
        <v>0.15237911025145068</v>
      </c>
    </row>
    <row r="352" spans="1:17" hidden="1" x14ac:dyDescent="0.25">
      <c r="A352" t="s">
        <v>409</v>
      </c>
      <c r="B352" t="s">
        <v>56</v>
      </c>
      <c r="C352" t="s">
        <v>57</v>
      </c>
      <c r="D352" t="str">
        <f t="shared" si="30"/>
        <v>MN</v>
      </c>
      <c r="E352" t="str">
        <f t="shared" si="31"/>
        <v>Midwest</v>
      </c>
      <c r="F352" t="s">
        <v>37</v>
      </c>
      <c r="G352" s="1">
        <v>45006</v>
      </c>
      <c r="H352" s="1">
        <v>45009</v>
      </c>
      <c r="I352" s="1">
        <f t="shared" si="35"/>
        <v>45009</v>
      </c>
      <c r="J352" s="2">
        <v>6.9</v>
      </c>
      <c r="K352" s="2">
        <v>23.19</v>
      </c>
      <c r="L352" t="s">
        <v>15</v>
      </c>
      <c r="M352" s="2">
        <v>140</v>
      </c>
      <c r="N352" s="2">
        <v>3</v>
      </c>
      <c r="O352" s="2">
        <f t="shared" si="32"/>
        <v>46.666666666666664</v>
      </c>
      <c r="P352" s="2">
        <f t="shared" si="33"/>
        <v>2.0123616501365529</v>
      </c>
      <c r="Q352" s="3">
        <f t="shared" si="34"/>
        <v>0.16564285714285715</v>
      </c>
    </row>
    <row r="353" spans="1:17" x14ac:dyDescent="0.25">
      <c r="A353" t="s">
        <v>410</v>
      </c>
      <c r="B353" t="s">
        <v>49</v>
      </c>
      <c r="C353" t="s">
        <v>70</v>
      </c>
      <c r="D353" t="str">
        <f t="shared" si="30"/>
        <v>CA</v>
      </c>
      <c r="E353" t="str">
        <f t="shared" si="31"/>
        <v>West</v>
      </c>
      <c r="F353" t="s">
        <v>32</v>
      </c>
      <c r="G353" s="1">
        <v>45192</v>
      </c>
      <c r="H353" s="1">
        <v>45198</v>
      </c>
      <c r="I353" s="1">
        <f t="shared" si="35"/>
        <v>45198</v>
      </c>
      <c r="J353" s="2">
        <v>17.100000000000001</v>
      </c>
      <c r="K353" s="2">
        <v>309.74</v>
      </c>
      <c r="L353" t="s">
        <v>15</v>
      </c>
      <c r="M353" s="2">
        <v>2081</v>
      </c>
      <c r="N353" s="2">
        <v>6</v>
      </c>
      <c r="O353" s="2">
        <f t="shared" si="32"/>
        <v>346.83333333333331</v>
      </c>
      <c r="P353" s="2">
        <f t="shared" si="33"/>
        <v>1.1197563547921912</v>
      </c>
      <c r="Q353" s="3">
        <f t="shared" si="34"/>
        <v>0.14884190293128305</v>
      </c>
    </row>
    <row r="354" spans="1:17" x14ac:dyDescent="0.25">
      <c r="A354" t="s">
        <v>411</v>
      </c>
      <c r="B354" t="s">
        <v>56</v>
      </c>
      <c r="C354" t="s">
        <v>70</v>
      </c>
      <c r="D354" t="str">
        <f t="shared" si="30"/>
        <v>CA</v>
      </c>
      <c r="E354" t="str">
        <f t="shared" si="31"/>
        <v>West</v>
      </c>
      <c r="F354" t="s">
        <v>14</v>
      </c>
      <c r="G354" s="1">
        <v>45086</v>
      </c>
      <c r="H354" s="1">
        <v>45092</v>
      </c>
      <c r="I354" s="1">
        <f t="shared" si="35"/>
        <v>45092</v>
      </c>
      <c r="J354" s="2">
        <v>33.1</v>
      </c>
      <c r="K354" s="2">
        <v>283.18</v>
      </c>
      <c r="L354" t="s">
        <v>15</v>
      </c>
      <c r="M354" s="2">
        <v>1885</v>
      </c>
      <c r="N354" s="2">
        <v>6</v>
      </c>
      <c r="O354" s="2">
        <f t="shared" si="32"/>
        <v>314.16666666666669</v>
      </c>
      <c r="P354" s="2">
        <f t="shared" si="33"/>
        <v>1.1094239235350896</v>
      </c>
      <c r="Q354" s="3">
        <f t="shared" si="34"/>
        <v>0.15022811671087533</v>
      </c>
    </row>
    <row r="355" spans="1:17" x14ac:dyDescent="0.25">
      <c r="A355" t="s">
        <v>412</v>
      </c>
      <c r="B355" t="s">
        <v>27</v>
      </c>
      <c r="C355" t="s">
        <v>36</v>
      </c>
      <c r="D355" t="str">
        <f t="shared" si="30"/>
        <v>OR</v>
      </c>
      <c r="E355" t="str">
        <f t="shared" si="31"/>
        <v>West</v>
      </c>
      <c r="F355" t="s">
        <v>25</v>
      </c>
      <c r="G355" s="1">
        <v>45163</v>
      </c>
      <c r="H355" s="1">
        <v>45165</v>
      </c>
      <c r="I355" s="1">
        <f t="shared" si="35"/>
        <v>45165</v>
      </c>
      <c r="J355" s="2">
        <v>18.7</v>
      </c>
      <c r="K355" s="2">
        <v>90.94</v>
      </c>
      <c r="L355" t="s">
        <v>15</v>
      </c>
      <c r="M355" s="2">
        <v>604</v>
      </c>
      <c r="N355" s="2">
        <v>2</v>
      </c>
      <c r="O355" s="2">
        <f t="shared" si="32"/>
        <v>302</v>
      </c>
      <c r="P355" s="2">
        <f t="shared" si="33"/>
        <v>3.3208709038926765</v>
      </c>
      <c r="Q355" s="3">
        <f t="shared" si="34"/>
        <v>0.15056291390728477</v>
      </c>
    </row>
    <row r="356" spans="1:17" x14ac:dyDescent="0.25">
      <c r="A356" t="s">
        <v>413</v>
      </c>
      <c r="B356" t="s">
        <v>27</v>
      </c>
      <c r="C356" t="s">
        <v>36</v>
      </c>
      <c r="D356" t="str">
        <f t="shared" si="30"/>
        <v>OR</v>
      </c>
      <c r="E356" t="str">
        <f t="shared" si="31"/>
        <v>West</v>
      </c>
      <c r="F356" t="s">
        <v>18</v>
      </c>
      <c r="G356" s="1">
        <v>45083</v>
      </c>
      <c r="H356" s="1">
        <v>45087</v>
      </c>
      <c r="I356" s="1">
        <f t="shared" si="35"/>
        <v>45087</v>
      </c>
      <c r="J356" s="2">
        <v>21.1</v>
      </c>
      <c r="K356" s="2">
        <v>141.97999999999999</v>
      </c>
      <c r="L356" t="s">
        <v>15</v>
      </c>
      <c r="M356" s="2">
        <v>847</v>
      </c>
      <c r="N356" s="2">
        <v>4</v>
      </c>
      <c r="O356" s="2">
        <f t="shared" si="32"/>
        <v>211.75</v>
      </c>
      <c r="P356" s="2">
        <f t="shared" si="33"/>
        <v>1.4914072404564025</v>
      </c>
      <c r="Q356" s="3">
        <f t="shared" si="34"/>
        <v>0.16762691853600944</v>
      </c>
    </row>
    <row r="357" spans="1:17" hidden="1" x14ac:dyDescent="0.25">
      <c r="A357" t="s">
        <v>414</v>
      </c>
      <c r="B357" t="s">
        <v>23</v>
      </c>
      <c r="C357" t="s">
        <v>46</v>
      </c>
      <c r="D357" t="str">
        <f t="shared" si="30"/>
        <v>MA</v>
      </c>
      <c r="E357" t="str">
        <f t="shared" si="31"/>
        <v>Northeast</v>
      </c>
      <c r="F357" t="s">
        <v>32</v>
      </c>
      <c r="G357" s="1">
        <v>45272</v>
      </c>
      <c r="H357" s="1">
        <v>45283</v>
      </c>
      <c r="I357" s="1">
        <f t="shared" si="35"/>
        <v>45283</v>
      </c>
      <c r="J357" s="2">
        <v>55.1</v>
      </c>
      <c r="K357" s="2">
        <v>474.36</v>
      </c>
      <c r="L357" t="s">
        <v>47</v>
      </c>
      <c r="M357" s="2">
        <v>2247</v>
      </c>
      <c r="N357" s="2">
        <v>6</v>
      </c>
      <c r="O357" s="2">
        <f t="shared" si="32"/>
        <v>374.5</v>
      </c>
      <c r="P357" s="2">
        <f t="shared" si="33"/>
        <v>0.78948477949236862</v>
      </c>
      <c r="Q357" s="3">
        <f t="shared" si="34"/>
        <v>0.21110814419225635</v>
      </c>
    </row>
    <row r="358" spans="1:17" hidden="1" x14ac:dyDescent="0.25">
      <c r="A358" t="s">
        <v>415</v>
      </c>
      <c r="B358" t="s">
        <v>27</v>
      </c>
      <c r="C358" t="s">
        <v>44</v>
      </c>
      <c r="D358" t="str">
        <f t="shared" si="30"/>
        <v>IL</v>
      </c>
      <c r="E358" t="str">
        <f t="shared" si="31"/>
        <v>Midwest</v>
      </c>
      <c r="F358" t="s">
        <v>25</v>
      </c>
      <c r="G358" s="1">
        <v>45041</v>
      </c>
      <c r="H358" s="1">
        <v>45047</v>
      </c>
      <c r="I358" s="1">
        <f t="shared" si="35"/>
        <v>45047</v>
      </c>
      <c r="J358" s="2">
        <v>14.6</v>
      </c>
      <c r="K358" s="2">
        <v>293.83</v>
      </c>
      <c r="L358" t="s">
        <v>15</v>
      </c>
      <c r="M358" s="2">
        <v>2420</v>
      </c>
      <c r="N358" s="2">
        <v>6</v>
      </c>
      <c r="O358" s="2">
        <f t="shared" si="32"/>
        <v>403.33333333333331</v>
      </c>
      <c r="P358" s="2">
        <f t="shared" si="33"/>
        <v>1.372675810275783</v>
      </c>
      <c r="Q358" s="3">
        <f t="shared" si="34"/>
        <v>0.12141735537190082</v>
      </c>
    </row>
    <row r="359" spans="1:17" x14ac:dyDescent="0.25">
      <c r="A359" t="s">
        <v>416</v>
      </c>
      <c r="B359" t="s">
        <v>12</v>
      </c>
      <c r="C359" t="s">
        <v>81</v>
      </c>
      <c r="D359" t="str">
        <f t="shared" si="30"/>
        <v>CO</v>
      </c>
      <c r="E359" t="str">
        <f t="shared" si="31"/>
        <v>West</v>
      </c>
      <c r="F359" t="s">
        <v>32</v>
      </c>
      <c r="G359" s="1">
        <v>45005</v>
      </c>
      <c r="H359" s="1">
        <v>45011</v>
      </c>
      <c r="I359" s="1">
        <f t="shared" si="35"/>
        <v>45011</v>
      </c>
      <c r="J359" s="2">
        <v>20.5</v>
      </c>
      <c r="K359" s="2">
        <v>315.45999999999998</v>
      </c>
      <c r="L359" t="s">
        <v>15</v>
      </c>
      <c r="M359" s="2">
        <v>2294</v>
      </c>
      <c r="N359" s="2">
        <v>6</v>
      </c>
      <c r="O359" s="2">
        <f t="shared" si="32"/>
        <v>382.33333333333331</v>
      </c>
      <c r="P359" s="2">
        <f t="shared" si="33"/>
        <v>1.2119867283754939</v>
      </c>
      <c r="Q359" s="3">
        <f t="shared" si="34"/>
        <v>0.13751525719267654</v>
      </c>
    </row>
    <row r="360" spans="1:17" hidden="1" x14ac:dyDescent="0.25">
      <c r="A360" t="s">
        <v>417</v>
      </c>
      <c r="B360" t="s">
        <v>49</v>
      </c>
      <c r="C360" t="s">
        <v>17</v>
      </c>
      <c r="D360" t="str">
        <f t="shared" si="30"/>
        <v>GA</v>
      </c>
      <c r="E360" t="str">
        <f t="shared" si="31"/>
        <v>Southeast</v>
      </c>
      <c r="F360" t="s">
        <v>18</v>
      </c>
      <c r="G360" s="1">
        <v>45030</v>
      </c>
      <c r="H360" s="1">
        <v>45035</v>
      </c>
      <c r="I360" s="1">
        <f t="shared" si="35"/>
        <v>45035</v>
      </c>
      <c r="J360" s="2">
        <v>16.8</v>
      </c>
      <c r="K360" s="2">
        <v>303.11</v>
      </c>
      <c r="L360" t="s">
        <v>15</v>
      </c>
      <c r="M360" s="2">
        <v>2091</v>
      </c>
      <c r="N360" s="2">
        <v>5</v>
      </c>
      <c r="O360" s="2">
        <f t="shared" si="32"/>
        <v>418.2</v>
      </c>
      <c r="P360" s="2">
        <f t="shared" si="33"/>
        <v>1.3796971396522713</v>
      </c>
      <c r="Q360" s="3">
        <f t="shared" si="34"/>
        <v>0.14495934959349593</v>
      </c>
    </row>
    <row r="361" spans="1:17" x14ac:dyDescent="0.25">
      <c r="A361" t="s">
        <v>418</v>
      </c>
      <c r="B361" t="s">
        <v>23</v>
      </c>
      <c r="C361" t="s">
        <v>70</v>
      </c>
      <c r="D361" t="str">
        <f t="shared" si="30"/>
        <v>CA</v>
      </c>
      <c r="E361" t="str">
        <f t="shared" si="31"/>
        <v>West</v>
      </c>
      <c r="F361" t="s">
        <v>25</v>
      </c>
      <c r="G361" s="1">
        <v>45004</v>
      </c>
      <c r="H361" s="1">
        <v>45008</v>
      </c>
      <c r="I361" s="1">
        <f t="shared" si="35"/>
        <v>45008</v>
      </c>
      <c r="J361" s="2">
        <v>31.2</v>
      </c>
      <c r="K361" s="2">
        <v>206.1</v>
      </c>
      <c r="L361" t="s">
        <v>15</v>
      </c>
      <c r="M361" s="2">
        <v>1358</v>
      </c>
      <c r="N361" s="2">
        <v>4</v>
      </c>
      <c r="O361" s="2">
        <f t="shared" si="32"/>
        <v>339.5</v>
      </c>
      <c r="P361" s="2">
        <f t="shared" si="33"/>
        <v>1.6472586123241146</v>
      </c>
      <c r="Q361" s="3">
        <f t="shared" si="34"/>
        <v>0.15176730486008835</v>
      </c>
    </row>
    <row r="362" spans="1:17" x14ac:dyDescent="0.25">
      <c r="A362" t="s">
        <v>419</v>
      </c>
      <c r="B362" t="s">
        <v>27</v>
      </c>
      <c r="C362" t="s">
        <v>70</v>
      </c>
      <c r="D362" t="str">
        <f t="shared" si="30"/>
        <v>CA</v>
      </c>
      <c r="E362" t="str">
        <f t="shared" si="31"/>
        <v>West</v>
      </c>
      <c r="F362" t="s">
        <v>32</v>
      </c>
      <c r="G362" s="1">
        <v>45196</v>
      </c>
      <c r="H362" s="1">
        <v>45198</v>
      </c>
      <c r="I362" s="1">
        <f t="shared" si="35"/>
        <v>45198</v>
      </c>
      <c r="J362" s="2">
        <v>16</v>
      </c>
      <c r="K362" s="2">
        <v>87.01</v>
      </c>
      <c r="L362" t="s">
        <v>67</v>
      </c>
      <c r="M362" s="2">
        <v>484</v>
      </c>
      <c r="N362" s="2">
        <v>2</v>
      </c>
      <c r="O362" s="2">
        <f t="shared" si="32"/>
        <v>242</v>
      </c>
      <c r="P362" s="2">
        <f t="shared" si="33"/>
        <v>2.7812895069532235</v>
      </c>
      <c r="Q362" s="3">
        <f t="shared" si="34"/>
        <v>0.17977272727272728</v>
      </c>
    </row>
    <row r="363" spans="1:17" hidden="1" x14ac:dyDescent="0.25">
      <c r="A363" t="s">
        <v>420</v>
      </c>
      <c r="B363" t="s">
        <v>12</v>
      </c>
      <c r="C363" t="s">
        <v>54</v>
      </c>
      <c r="D363" t="str">
        <f t="shared" si="30"/>
        <v>FL</v>
      </c>
      <c r="E363" t="str">
        <f t="shared" si="31"/>
        <v>Southeast</v>
      </c>
      <c r="F363" t="s">
        <v>32</v>
      </c>
      <c r="G363" s="1">
        <v>45246</v>
      </c>
      <c r="H363" s="1">
        <v>45247</v>
      </c>
      <c r="I363" s="1">
        <f t="shared" si="35"/>
        <v>45247</v>
      </c>
      <c r="J363" s="2">
        <v>11</v>
      </c>
      <c r="K363" s="2">
        <v>122.5</v>
      </c>
      <c r="L363" t="s">
        <v>15</v>
      </c>
      <c r="M363" s="2">
        <v>675</v>
      </c>
      <c r="N363" s="2">
        <v>1</v>
      </c>
      <c r="O363" s="2">
        <f t="shared" si="32"/>
        <v>675</v>
      </c>
      <c r="P363" s="2">
        <f t="shared" si="33"/>
        <v>5.5102040816326534</v>
      </c>
      <c r="Q363" s="3">
        <f t="shared" si="34"/>
        <v>0.18148148148148149</v>
      </c>
    </row>
    <row r="364" spans="1:17" hidden="1" x14ac:dyDescent="0.25">
      <c r="A364" t="s">
        <v>421</v>
      </c>
      <c r="B364" t="s">
        <v>30</v>
      </c>
      <c r="C364" t="s">
        <v>40</v>
      </c>
      <c r="D364" t="str">
        <f t="shared" si="30"/>
        <v>MI</v>
      </c>
      <c r="E364" t="str">
        <f t="shared" si="31"/>
        <v>Midwest</v>
      </c>
      <c r="F364" t="s">
        <v>59</v>
      </c>
      <c r="G364" s="1">
        <v>45086</v>
      </c>
      <c r="H364" s="1">
        <v>45092</v>
      </c>
      <c r="I364" s="1">
        <f t="shared" si="35"/>
        <v>45092</v>
      </c>
      <c r="J364" s="2">
        <v>37.9</v>
      </c>
      <c r="K364" s="2">
        <v>236.61</v>
      </c>
      <c r="L364" t="s">
        <v>15</v>
      </c>
      <c r="M364" s="2">
        <v>1884</v>
      </c>
      <c r="N364" s="2">
        <v>6</v>
      </c>
      <c r="O364" s="2">
        <f t="shared" si="32"/>
        <v>314</v>
      </c>
      <c r="P364" s="2">
        <f t="shared" si="33"/>
        <v>1.3270783145260132</v>
      </c>
      <c r="Q364" s="3">
        <f t="shared" si="34"/>
        <v>0.1255891719745223</v>
      </c>
    </row>
    <row r="365" spans="1:17" hidden="1" x14ac:dyDescent="0.25">
      <c r="A365" t="s">
        <v>422</v>
      </c>
      <c r="B365" t="s">
        <v>12</v>
      </c>
      <c r="C365" t="s">
        <v>44</v>
      </c>
      <c r="D365" t="str">
        <f t="shared" si="30"/>
        <v>IL</v>
      </c>
      <c r="E365" t="str">
        <f t="shared" si="31"/>
        <v>Midwest</v>
      </c>
      <c r="F365" t="s">
        <v>32</v>
      </c>
      <c r="G365" s="1">
        <v>45150</v>
      </c>
      <c r="H365" s="1">
        <v>45155</v>
      </c>
      <c r="I365" s="1">
        <f t="shared" si="35"/>
        <v>45155</v>
      </c>
      <c r="J365" s="2">
        <v>21.8</v>
      </c>
      <c r="K365" s="2">
        <v>299.39999999999998</v>
      </c>
      <c r="L365" t="s">
        <v>15</v>
      </c>
      <c r="M365" s="2">
        <v>2196</v>
      </c>
      <c r="N365" s="2">
        <v>5</v>
      </c>
      <c r="O365" s="2">
        <f t="shared" si="32"/>
        <v>439.2</v>
      </c>
      <c r="P365" s="2">
        <f t="shared" si="33"/>
        <v>1.4669338677354711</v>
      </c>
      <c r="Q365" s="3">
        <f t="shared" si="34"/>
        <v>0.13633879781420763</v>
      </c>
    </row>
    <row r="366" spans="1:17" hidden="1" x14ac:dyDescent="0.25">
      <c r="A366" t="s">
        <v>423</v>
      </c>
      <c r="B366" t="s">
        <v>35</v>
      </c>
      <c r="C366" t="s">
        <v>17</v>
      </c>
      <c r="D366" t="str">
        <f t="shared" si="30"/>
        <v>GA</v>
      </c>
      <c r="E366" t="str">
        <f t="shared" si="31"/>
        <v>Southeast</v>
      </c>
      <c r="F366" t="s">
        <v>59</v>
      </c>
      <c r="G366" s="1">
        <v>45042</v>
      </c>
      <c r="H366" s="1">
        <v>45048</v>
      </c>
      <c r="I366" s="1">
        <f t="shared" si="35"/>
        <v>45048</v>
      </c>
      <c r="J366" s="2">
        <v>6</v>
      </c>
      <c r="K366" s="2">
        <v>253.02</v>
      </c>
      <c r="L366" t="s">
        <v>15</v>
      </c>
      <c r="M366" s="2">
        <v>2325</v>
      </c>
      <c r="N366" s="2">
        <v>6</v>
      </c>
      <c r="O366" s="2">
        <f t="shared" si="32"/>
        <v>387.5</v>
      </c>
      <c r="P366" s="2">
        <f t="shared" si="33"/>
        <v>1.531499486206624</v>
      </c>
      <c r="Q366" s="3">
        <f t="shared" si="34"/>
        <v>0.10882580645161291</v>
      </c>
    </row>
    <row r="367" spans="1:17" hidden="1" x14ac:dyDescent="0.25">
      <c r="A367" t="s">
        <v>424</v>
      </c>
      <c r="B367" t="s">
        <v>20</v>
      </c>
      <c r="C367" t="s">
        <v>46</v>
      </c>
      <c r="D367" t="str">
        <f t="shared" si="30"/>
        <v>MA</v>
      </c>
      <c r="E367" t="str">
        <f t="shared" si="31"/>
        <v>Northeast</v>
      </c>
      <c r="F367" t="s">
        <v>59</v>
      </c>
      <c r="G367" s="1">
        <v>45116</v>
      </c>
      <c r="H367" s="1">
        <v>45119</v>
      </c>
      <c r="I367" s="1">
        <f t="shared" si="35"/>
        <v>45119</v>
      </c>
      <c r="J367" s="2">
        <v>37.9</v>
      </c>
      <c r="K367" s="2">
        <v>171.78</v>
      </c>
      <c r="L367" t="s">
        <v>62</v>
      </c>
      <c r="M367" s="2">
        <v>1014</v>
      </c>
      <c r="N367" s="2">
        <v>3</v>
      </c>
      <c r="O367" s="2">
        <f t="shared" si="32"/>
        <v>338</v>
      </c>
      <c r="P367" s="2">
        <f t="shared" si="33"/>
        <v>1.9676330189777622</v>
      </c>
      <c r="Q367" s="3">
        <f t="shared" si="34"/>
        <v>0.16940828402366864</v>
      </c>
    </row>
    <row r="368" spans="1:17" hidden="1" x14ac:dyDescent="0.25">
      <c r="A368" t="s">
        <v>425</v>
      </c>
      <c r="B368" t="s">
        <v>23</v>
      </c>
      <c r="C368" t="s">
        <v>28</v>
      </c>
      <c r="D368" t="str">
        <f t="shared" si="30"/>
        <v>TX</v>
      </c>
      <c r="E368" t="str">
        <f t="shared" si="31"/>
        <v>Southwest</v>
      </c>
      <c r="F368" t="s">
        <v>14</v>
      </c>
      <c r="G368" s="1">
        <v>44967</v>
      </c>
      <c r="H368" s="1">
        <v>44972</v>
      </c>
      <c r="I368" s="1">
        <f t="shared" si="35"/>
        <v>44972</v>
      </c>
      <c r="J368" s="2">
        <v>14.8</v>
      </c>
      <c r="K368" s="2">
        <v>286.7</v>
      </c>
      <c r="L368" t="s">
        <v>15</v>
      </c>
      <c r="M368" s="2">
        <v>2050</v>
      </c>
      <c r="N368" s="2">
        <v>5</v>
      </c>
      <c r="O368" s="2">
        <f t="shared" si="32"/>
        <v>410</v>
      </c>
      <c r="P368" s="2">
        <f t="shared" si="33"/>
        <v>1.430066271363795</v>
      </c>
      <c r="Q368" s="3">
        <f t="shared" si="34"/>
        <v>0.13985365853658535</v>
      </c>
    </row>
    <row r="369" spans="1:17" hidden="1" x14ac:dyDescent="0.25">
      <c r="A369" t="s">
        <v>426</v>
      </c>
      <c r="B369" t="s">
        <v>56</v>
      </c>
      <c r="C369" t="s">
        <v>28</v>
      </c>
      <c r="D369" t="str">
        <f t="shared" si="30"/>
        <v>TX</v>
      </c>
      <c r="E369" t="str">
        <f t="shared" si="31"/>
        <v>Southwest</v>
      </c>
      <c r="F369" t="s">
        <v>14</v>
      </c>
      <c r="G369" s="1">
        <v>45135</v>
      </c>
      <c r="H369" s="1">
        <v>45141</v>
      </c>
      <c r="I369" s="1">
        <f t="shared" si="35"/>
        <v>45141</v>
      </c>
      <c r="J369" s="2">
        <v>9.1</v>
      </c>
      <c r="K369" s="2">
        <v>75.28</v>
      </c>
      <c r="L369" t="s">
        <v>47</v>
      </c>
      <c r="M369" s="2">
        <v>474</v>
      </c>
      <c r="N369" s="2">
        <v>5</v>
      </c>
      <c r="O369" s="2">
        <f t="shared" si="32"/>
        <v>94.8</v>
      </c>
      <c r="P369" s="2">
        <f t="shared" si="33"/>
        <v>1.2592986184909669</v>
      </c>
      <c r="Q369" s="3">
        <f t="shared" si="34"/>
        <v>0.15881856540084388</v>
      </c>
    </row>
    <row r="370" spans="1:17" x14ac:dyDescent="0.25">
      <c r="A370" t="s">
        <v>427</v>
      </c>
      <c r="B370" t="s">
        <v>30</v>
      </c>
      <c r="C370" t="s">
        <v>70</v>
      </c>
      <c r="D370" t="str">
        <f t="shared" si="30"/>
        <v>CA</v>
      </c>
      <c r="E370" t="str">
        <f t="shared" si="31"/>
        <v>West</v>
      </c>
      <c r="F370" t="s">
        <v>25</v>
      </c>
      <c r="G370" s="1">
        <v>45195</v>
      </c>
      <c r="H370" s="1">
        <v>45196</v>
      </c>
      <c r="I370" s="1">
        <f t="shared" si="35"/>
        <v>45196</v>
      </c>
      <c r="J370" s="2">
        <v>9.5</v>
      </c>
      <c r="K370" s="2">
        <v>77.13</v>
      </c>
      <c r="L370" t="s">
        <v>15</v>
      </c>
      <c r="M370" s="2">
        <v>498</v>
      </c>
      <c r="N370" s="2">
        <v>1</v>
      </c>
      <c r="O370" s="2">
        <f t="shared" si="32"/>
        <v>498</v>
      </c>
      <c r="P370" s="2">
        <f t="shared" si="33"/>
        <v>6.4566316608323611</v>
      </c>
      <c r="Q370" s="3">
        <f t="shared" si="34"/>
        <v>0.15487951807228914</v>
      </c>
    </row>
    <row r="371" spans="1:17" x14ac:dyDescent="0.25">
      <c r="A371" t="s">
        <v>428</v>
      </c>
      <c r="B371" t="s">
        <v>23</v>
      </c>
      <c r="C371" t="s">
        <v>36</v>
      </c>
      <c r="D371" t="str">
        <f t="shared" si="30"/>
        <v>OR</v>
      </c>
      <c r="E371" t="str">
        <f t="shared" si="31"/>
        <v>West</v>
      </c>
      <c r="F371" t="s">
        <v>25</v>
      </c>
      <c r="G371" s="1">
        <v>45249</v>
      </c>
      <c r="H371" s="1">
        <v>45253</v>
      </c>
      <c r="I371" s="1">
        <f t="shared" si="35"/>
        <v>45253</v>
      </c>
      <c r="J371" s="2">
        <v>33.6</v>
      </c>
      <c r="K371" s="2">
        <v>291.85000000000002</v>
      </c>
      <c r="L371" t="s">
        <v>15</v>
      </c>
      <c r="M371" s="2">
        <v>1512</v>
      </c>
      <c r="N371" s="2">
        <v>4</v>
      </c>
      <c r="O371" s="2">
        <f t="shared" si="32"/>
        <v>378</v>
      </c>
      <c r="P371" s="2">
        <f t="shared" si="33"/>
        <v>1.2951858831591569</v>
      </c>
      <c r="Q371" s="3">
        <f t="shared" si="34"/>
        <v>0.19302248677248679</v>
      </c>
    </row>
    <row r="372" spans="1:17" hidden="1" x14ac:dyDescent="0.25">
      <c r="A372" t="s">
        <v>429</v>
      </c>
      <c r="B372" t="s">
        <v>12</v>
      </c>
      <c r="C372" t="s">
        <v>17</v>
      </c>
      <c r="D372" t="str">
        <f t="shared" si="30"/>
        <v>GA</v>
      </c>
      <c r="E372" t="str">
        <f t="shared" si="31"/>
        <v>Southeast</v>
      </c>
      <c r="F372" t="s">
        <v>59</v>
      </c>
      <c r="G372" s="1">
        <v>45237</v>
      </c>
      <c r="H372" s="1">
        <v>45242</v>
      </c>
      <c r="I372" s="1">
        <f t="shared" si="35"/>
        <v>45242</v>
      </c>
      <c r="J372" s="2">
        <v>40.299999999999997</v>
      </c>
      <c r="K372" s="2">
        <v>206.28</v>
      </c>
      <c r="L372" t="s">
        <v>15</v>
      </c>
      <c r="M372" s="2">
        <v>1076</v>
      </c>
      <c r="N372" s="2">
        <v>5</v>
      </c>
      <c r="O372" s="2">
        <f t="shared" si="32"/>
        <v>215.2</v>
      </c>
      <c r="P372" s="2">
        <f t="shared" si="33"/>
        <v>1.0432421950746558</v>
      </c>
      <c r="Q372" s="3">
        <f t="shared" si="34"/>
        <v>0.19171003717472118</v>
      </c>
    </row>
    <row r="373" spans="1:17" x14ac:dyDescent="0.25">
      <c r="A373" t="s">
        <v>430</v>
      </c>
      <c r="B373" t="s">
        <v>51</v>
      </c>
      <c r="C373" t="s">
        <v>36</v>
      </c>
      <c r="D373" t="str">
        <f t="shared" si="30"/>
        <v>OR</v>
      </c>
      <c r="E373" t="str">
        <f t="shared" si="31"/>
        <v>West</v>
      </c>
      <c r="F373" t="s">
        <v>25</v>
      </c>
      <c r="G373" s="1">
        <v>45009</v>
      </c>
      <c r="H373" s="1">
        <v>45012</v>
      </c>
      <c r="I373" s="1">
        <f t="shared" si="35"/>
        <v>45012</v>
      </c>
      <c r="J373" s="2">
        <v>15</v>
      </c>
      <c r="K373" s="2">
        <v>141.6</v>
      </c>
      <c r="L373" t="s">
        <v>15</v>
      </c>
      <c r="M373" s="2">
        <v>1115</v>
      </c>
      <c r="N373" s="2">
        <v>3</v>
      </c>
      <c r="O373" s="2">
        <f t="shared" si="32"/>
        <v>371.66666666666669</v>
      </c>
      <c r="P373" s="2">
        <f t="shared" si="33"/>
        <v>2.6247645951035783</v>
      </c>
      <c r="Q373" s="3">
        <f t="shared" si="34"/>
        <v>0.12699551569506726</v>
      </c>
    </row>
    <row r="374" spans="1:17" hidden="1" x14ac:dyDescent="0.25">
      <c r="A374" t="s">
        <v>431</v>
      </c>
      <c r="B374" t="s">
        <v>27</v>
      </c>
      <c r="C374" t="s">
        <v>44</v>
      </c>
      <c r="D374" t="str">
        <f t="shared" si="30"/>
        <v>IL</v>
      </c>
      <c r="E374" t="str">
        <f t="shared" si="31"/>
        <v>Midwest</v>
      </c>
      <c r="F374" t="s">
        <v>42</v>
      </c>
      <c r="G374" s="1">
        <v>45183</v>
      </c>
      <c r="H374" s="1">
        <v>45185</v>
      </c>
      <c r="I374" s="1">
        <f t="shared" si="35"/>
        <v>45185</v>
      </c>
      <c r="J374" s="2">
        <v>75.400000000000006</v>
      </c>
      <c r="K374" s="2">
        <v>109.7</v>
      </c>
      <c r="L374" t="s">
        <v>15</v>
      </c>
      <c r="M374" s="2">
        <v>242</v>
      </c>
      <c r="N374" s="2">
        <v>2</v>
      </c>
      <c r="O374" s="2">
        <f t="shared" si="32"/>
        <v>121</v>
      </c>
      <c r="P374" s="2">
        <f t="shared" si="33"/>
        <v>1.1030082041932543</v>
      </c>
      <c r="Q374" s="3">
        <f t="shared" si="34"/>
        <v>0.45330578512396696</v>
      </c>
    </row>
    <row r="375" spans="1:17" hidden="1" x14ac:dyDescent="0.25">
      <c r="A375" t="s">
        <v>432</v>
      </c>
      <c r="B375" t="s">
        <v>20</v>
      </c>
      <c r="C375" t="s">
        <v>40</v>
      </c>
      <c r="D375" t="str">
        <f t="shared" si="30"/>
        <v>MI</v>
      </c>
      <c r="E375" t="str">
        <f t="shared" si="31"/>
        <v>Midwest</v>
      </c>
      <c r="F375" t="s">
        <v>59</v>
      </c>
      <c r="G375" s="1">
        <v>45283</v>
      </c>
      <c r="H375" s="1">
        <v>45284</v>
      </c>
      <c r="I375" s="1">
        <f t="shared" si="35"/>
        <v>45284</v>
      </c>
      <c r="J375" s="2">
        <v>6.4</v>
      </c>
      <c r="K375" s="2">
        <v>78.84</v>
      </c>
      <c r="L375" t="s">
        <v>15</v>
      </c>
      <c r="M375" s="2">
        <v>534</v>
      </c>
      <c r="N375" s="2">
        <v>1</v>
      </c>
      <c r="O375" s="2">
        <f t="shared" si="32"/>
        <v>534</v>
      </c>
      <c r="P375" s="2">
        <f t="shared" si="33"/>
        <v>6.7732115677321154</v>
      </c>
      <c r="Q375" s="3">
        <f t="shared" si="34"/>
        <v>0.14764044943820226</v>
      </c>
    </row>
    <row r="376" spans="1:17" x14ac:dyDescent="0.25">
      <c r="A376" t="s">
        <v>433</v>
      </c>
      <c r="B376" t="s">
        <v>35</v>
      </c>
      <c r="C376" t="s">
        <v>13</v>
      </c>
      <c r="D376" t="str">
        <f t="shared" ref="D376:D438" si="36">IF(C376="Atlanta","GA",
IF(C376="Boston","MA",
IF(C376="Chicago","IL",
IF(C376="Dallas","TX",
IF(C376="Denver","CO",
IF(C376="Detroit","MI",
IF(C376="Houston","TX",
IF(C376="Los Angeles","CA",
IF(C376="Miami","FL",
IF(C376="Minneapolis","MN",
IF(C376="New York","NY",
IF(C376="Phoenix","AZ",
IF(C376="Portland","OR",
IF(C376="San Francisco","CA",
IF(C376="Seattle","WA","Unknown")))))))))))))))</f>
        <v>CA</v>
      </c>
      <c r="E376" t="str">
        <f t="shared" ref="E376:E438" si="37">IF(OR(D376="NY",D376="NJ",D376="PA",D376="MA",D376="CT",D376="RI",D376="VT",D376="NH",D376="ME"),"Northeast",
IF(OR(D376="FL",D376="GA",D376="AL",D376="MS",D376="SC",D376="NC",D376="TN",D376="KY"),"Southeast",
IF(OR(D376="IL",D376="IN",D376="OH",D376="MI",D376="WI",D376="MN",D376="IA",D376="MO",D376="KS",D376="NE",D376="ND",D376="SD"),"Midwest",
IF(OR(D376="TX",D376="OK",D376="NM",D376="AZ"),"Southwest",
IF(OR(D376="CA",D376="OR",D376="WA",D376="NV",D376="CO",D376="UT",D376="ID",D376="MT",D376="WY",D376="AK",D376="HI"),"West","Other")))))</f>
        <v>West</v>
      </c>
      <c r="F376" t="s">
        <v>25</v>
      </c>
      <c r="G376" s="1">
        <v>45154</v>
      </c>
      <c r="H376" s="1">
        <v>45160</v>
      </c>
      <c r="I376" s="1">
        <f t="shared" si="35"/>
        <v>45160</v>
      </c>
      <c r="J376" s="2">
        <v>44.4</v>
      </c>
      <c r="K376" s="2">
        <v>179.93</v>
      </c>
      <c r="L376" t="s">
        <v>15</v>
      </c>
      <c r="M376" s="2">
        <v>1059</v>
      </c>
      <c r="N376" s="2">
        <v>6</v>
      </c>
      <c r="O376" s="2">
        <f t="shared" ref="O376:O438" si="38">M376/N376</f>
        <v>176.5</v>
      </c>
      <c r="P376" s="2">
        <f t="shared" ref="P376:P438" si="39">O376/K376</f>
        <v>0.98093703106763741</v>
      </c>
      <c r="Q376" s="3">
        <f t="shared" ref="Q376:Q438" si="40">K376/M376</f>
        <v>0.16990557129367329</v>
      </c>
    </row>
    <row r="377" spans="1:17" hidden="1" x14ac:dyDescent="0.25">
      <c r="A377" t="s">
        <v>434</v>
      </c>
      <c r="B377" t="s">
        <v>27</v>
      </c>
      <c r="C377" t="s">
        <v>57</v>
      </c>
      <c r="D377" t="str">
        <f t="shared" si="36"/>
        <v>MN</v>
      </c>
      <c r="E377" t="str">
        <f t="shared" si="37"/>
        <v>Midwest</v>
      </c>
      <c r="F377" t="s">
        <v>37</v>
      </c>
      <c r="G377" s="1">
        <v>45104</v>
      </c>
      <c r="H377" s="1">
        <v>45109</v>
      </c>
      <c r="I377" s="1">
        <f t="shared" si="35"/>
        <v>45109</v>
      </c>
      <c r="J377" s="2">
        <v>11.7</v>
      </c>
      <c r="K377" s="2">
        <v>140.32</v>
      </c>
      <c r="L377" t="s">
        <v>15</v>
      </c>
      <c r="M377" s="2">
        <v>1060</v>
      </c>
      <c r="N377" s="2">
        <v>5</v>
      </c>
      <c r="O377" s="2">
        <f t="shared" si="38"/>
        <v>212</v>
      </c>
      <c r="P377" s="2">
        <f t="shared" si="39"/>
        <v>1.5108323831242874</v>
      </c>
      <c r="Q377" s="3">
        <f t="shared" si="40"/>
        <v>0.13237735849056603</v>
      </c>
    </row>
    <row r="378" spans="1:17" x14ac:dyDescent="0.25">
      <c r="A378" t="s">
        <v>435</v>
      </c>
      <c r="B378" t="s">
        <v>39</v>
      </c>
      <c r="C378" t="s">
        <v>70</v>
      </c>
      <c r="D378" t="str">
        <f t="shared" si="36"/>
        <v>CA</v>
      </c>
      <c r="E378" t="str">
        <f t="shared" si="37"/>
        <v>West</v>
      </c>
      <c r="F378" t="s">
        <v>14</v>
      </c>
      <c r="G378" s="1">
        <v>44988</v>
      </c>
      <c r="H378" s="1">
        <v>44993</v>
      </c>
      <c r="I378" s="1">
        <f t="shared" si="35"/>
        <v>44993</v>
      </c>
      <c r="J378" s="2">
        <v>24.4</v>
      </c>
      <c r="K378" s="2">
        <v>326.92</v>
      </c>
      <c r="L378" t="s">
        <v>15</v>
      </c>
      <c r="M378" s="2">
        <v>2330</v>
      </c>
      <c r="N378" s="2">
        <v>5</v>
      </c>
      <c r="O378" s="2">
        <f t="shared" si="38"/>
        <v>466</v>
      </c>
      <c r="P378" s="2">
        <f t="shared" si="39"/>
        <v>1.4254251804722868</v>
      </c>
      <c r="Q378" s="3">
        <f t="shared" si="40"/>
        <v>0.14030901287553649</v>
      </c>
    </row>
    <row r="379" spans="1:17" hidden="1" x14ac:dyDescent="0.25">
      <c r="A379" t="s">
        <v>436</v>
      </c>
      <c r="B379" t="s">
        <v>56</v>
      </c>
      <c r="C379" t="s">
        <v>44</v>
      </c>
      <c r="D379" t="str">
        <f t="shared" si="36"/>
        <v>IL</v>
      </c>
      <c r="E379" t="str">
        <f t="shared" si="37"/>
        <v>Midwest</v>
      </c>
      <c r="F379" t="s">
        <v>32</v>
      </c>
      <c r="G379" s="1">
        <v>45190</v>
      </c>
      <c r="H379" s="1">
        <v>45195</v>
      </c>
      <c r="I379" s="1">
        <f t="shared" si="35"/>
        <v>45195</v>
      </c>
      <c r="J379" s="2">
        <v>20.9</v>
      </c>
      <c r="K379" s="2">
        <v>268.01</v>
      </c>
      <c r="L379" t="s">
        <v>15</v>
      </c>
      <c r="M379" s="2">
        <v>1867</v>
      </c>
      <c r="N379" s="2">
        <v>5</v>
      </c>
      <c r="O379" s="2">
        <f t="shared" si="38"/>
        <v>373.4</v>
      </c>
      <c r="P379" s="2">
        <f t="shared" si="39"/>
        <v>1.3932315958359762</v>
      </c>
      <c r="Q379" s="3">
        <f t="shared" si="40"/>
        <v>0.14355115158007498</v>
      </c>
    </row>
    <row r="380" spans="1:17" hidden="1" x14ac:dyDescent="0.25">
      <c r="A380" t="s">
        <v>438</v>
      </c>
      <c r="B380" t="s">
        <v>49</v>
      </c>
      <c r="C380" t="s">
        <v>28</v>
      </c>
      <c r="D380" t="str">
        <f t="shared" si="36"/>
        <v>TX</v>
      </c>
      <c r="E380" t="str">
        <f t="shared" si="37"/>
        <v>Southwest</v>
      </c>
      <c r="F380" t="s">
        <v>14</v>
      </c>
      <c r="G380" s="1">
        <v>45092</v>
      </c>
      <c r="H380" s="1">
        <v>45098</v>
      </c>
      <c r="I380" s="1">
        <f t="shared" si="35"/>
        <v>45098</v>
      </c>
      <c r="J380" s="2">
        <v>9.1999999999999993</v>
      </c>
      <c r="K380" s="2">
        <v>286.14999999999998</v>
      </c>
      <c r="L380" t="s">
        <v>15</v>
      </c>
      <c r="M380" s="2">
        <v>2096</v>
      </c>
      <c r="N380" s="2">
        <v>6</v>
      </c>
      <c r="O380" s="2">
        <f t="shared" si="38"/>
        <v>349.33333333333331</v>
      </c>
      <c r="P380" s="2">
        <f t="shared" si="39"/>
        <v>1.2208049391344866</v>
      </c>
      <c r="Q380" s="3">
        <f t="shared" si="40"/>
        <v>0.13652194656488548</v>
      </c>
    </row>
    <row r="381" spans="1:17" x14ac:dyDescent="0.25">
      <c r="A381" t="s">
        <v>439</v>
      </c>
      <c r="B381" t="s">
        <v>20</v>
      </c>
      <c r="C381" t="s">
        <v>13</v>
      </c>
      <c r="D381" t="str">
        <f t="shared" si="36"/>
        <v>CA</v>
      </c>
      <c r="E381" t="str">
        <f t="shared" si="37"/>
        <v>West</v>
      </c>
      <c r="F381" t="s">
        <v>37</v>
      </c>
      <c r="G381" s="1">
        <v>45150</v>
      </c>
      <c r="H381" s="1">
        <v>45157</v>
      </c>
      <c r="I381" s="1">
        <f t="shared" si="35"/>
        <v>45157</v>
      </c>
      <c r="J381" s="2">
        <v>32.4</v>
      </c>
      <c r="K381" s="2">
        <v>332.08</v>
      </c>
      <c r="L381" t="s">
        <v>15</v>
      </c>
      <c r="M381" s="2">
        <v>2409</v>
      </c>
      <c r="N381" s="2">
        <v>7</v>
      </c>
      <c r="O381" s="2">
        <f t="shared" si="38"/>
        <v>344.14285714285717</v>
      </c>
      <c r="P381" s="2">
        <f t="shared" si="39"/>
        <v>1.0363251540076404</v>
      </c>
      <c r="Q381" s="3">
        <f t="shared" si="40"/>
        <v>0.1378497301784973</v>
      </c>
    </row>
    <row r="382" spans="1:17" hidden="1" x14ac:dyDescent="0.25">
      <c r="A382" t="s">
        <v>440</v>
      </c>
      <c r="B382" t="s">
        <v>27</v>
      </c>
      <c r="C382" t="s">
        <v>46</v>
      </c>
      <c r="D382" t="str">
        <f t="shared" si="36"/>
        <v>MA</v>
      </c>
      <c r="E382" t="str">
        <f t="shared" si="37"/>
        <v>Northeast</v>
      </c>
      <c r="F382" t="s">
        <v>32</v>
      </c>
      <c r="G382" s="1">
        <v>44953</v>
      </c>
      <c r="H382" s="1">
        <v>44956</v>
      </c>
      <c r="I382" s="1">
        <f t="shared" si="35"/>
        <v>44956</v>
      </c>
      <c r="J382" s="2">
        <v>110.9</v>
      </c>
      <c r="K382" s="2">
        <v>283.94</v>
      </c>
      <c r="L382" t="s">
        <v>15</v>
      </c>
      <c r="M382" s="2">
        <v>1032</v>
      </c>
      <c r="N382" s="2">
        <v>3</v>
      </c>
      <c r="O382" s="2">
        <f t="shared" si="38"/>
        <v>344</v>
      </c>
      <c r="P382" s="2">
        <f t="shared" si="39"/>
        <v>1.2115235613157709</v>
      </c>
      <c r="Q382" s="3">
        <f t="shared" si="40"/>
        <v>0.27513565891472869</v>
      </c>
    </row>
    <row r="383" spans="1:17" hidden="1" x14ac:dyDescent="0.25">
      <c r="A383" t="s">
        <v>441</v>
      </c>
      <c r="B383" t="s">
        <v>51</v>
      </c>
      <c r="C383" t="s">
        <v>17</v>
      </c>
      <c r="D383" t="str">
        <f t="shared" si="36"/>
        <v>GA</v>
      </c>
      <c r="E383" t="str">
        <f t="shared" si="37"/>
        <v>Southeast</v>
      </c>
      <c r="F383" t="s">
        <v>32</v>
      </c>
      <c r="G383" s="1">
        <v>45145</v>
      </c>
      <c r="H383" s="1">
        <v>45147</v>
      </c>
      <c r="I383" s="1">
        <f t="shared" si="35"/>
        <v>45147</v>
      </c>
      <c r="J383" s="2">
        <v>50.4</v>
      </c>
      <c r="K383" s="2">
        <v>175.48</v>
      </c>
      <c r="L383" t="s">
        <v>15</v>
      </c>
      <c r="M383" s="2">
        <v>870</v>
      </c>
      <c r="N383" s="2">
        <v>2</v>
      </c>
      <c r="O383" s="2">
        <f t="shared" si="38"/>
        <v>435</v>
      </c>
      <c r="P383" s="2">
        <f t="shared" si="39"/>
        <v>2.4789149760656488</v>
      </c>
      <c r="Q383" s="3">
        <f t="shared" si="40"/>
        <v>0.20170114942528736</v>
      </c>
    </row>
    <row r="384" spans="1:17" x14ac:dyDescent="0.25">
      <c r="A384" t="s">
        <v>442</v>
      </c>
      <c r="B384" t="s">
        <v>20</v>
      </c>
      <c r="C384" t="s">
        <v>36</v>
      </c>
      <c r="D384" t="str">
        <f t="shared" si="36"/>
        <v>OR</v>
      </c>
      <c r="E384" t="str">
        <f t="shared" si="37"/>
        <v>West</v>
      </c>
      <c r="F384" t="s">
        <v>32</v>
      </c>
      <c r="G384" s="1">
        <v>45078</v>
      </c>
      <c r="H384" s="1">
        <v>45084</v>
      </c>
      <c r="I384" s="1">
        <f t="shared" si="35"/>
        <v>45084</v>
      </c>
      <c r="J384" s="2">
        <v>54.4</v>
      </c>
      <c r="K384" s="2">
        <v>284.26</v>
      </c>
      <c r="L384" t="s">
        <v>15</v>
      </c>
      <c r="M384" s="2">
        <v>1616</v>
      </c>
      <c r="N384" s="2">
        <v>6</v>
      </c>
      <c r="O384" s="2">
        <f t="shared" si="38"/>
        <v>269.33333333333331</v>
      </c>
      <c r="P384" s="2">
        <f t="shared" si="39"/>
        <v>0.94748938764980417</v>
      </c>
      <c r="Q384" s="3">
        <f t="shared" si="40"/>
        <v>0.17590346534653464</v>
      </c>
    </row>
    <row r="385" spans="1:17" hidden="1" x14ac:dyDescent="0.25">
      <c r="A385" t="s">
        <v>443</v>
      </c>
      <c r="B385" t="s">
        <v>49</v>
      </c>
      <c r="C385" t="s">
        <v>28</v>
      </c>
      <c r="D385" t="str">
        <f t="shared" si="36"/>
        <v>TX</v>
      </c>
      <c r="E385" t="str">
        <f t="shared" si="37"/>
        <v>Southwest</v>
      </c>
      <c r="F385" t="s">
        <v>18</v>
      </c>
      <c r="G385" s="1">
        <v>44990</v>
      </c>
      <c r="H385" s="1">
        <v>45002</v>
      </c>
      <c r="I385" s="1">
        <f t="shared" si="35"/>
        <v>45002</v>
      </c>
      <c r="J385" s="2">
        <v>34.5</v>
      </c>
      <c r="K385" s="2">
        <v>233.71</v>
      </c>
      <c r="L385" t="s">
        <v>47</v>
      </c>
      <c r="M385" s="2">
        <v>1366</v>
      </c>
      <c r="N385" s="2">
        <v>4</v>
      </c>
      <c r="O385" s="2">
        <f t="shared" si="38"/>
        <v>341.5</v>
      </c>
      <c r="P385" s="2">
        <f t="shared" si="39"/>
        <v>1.4612126139232382</v>
      </c>
      <c r="Q385" s="3">
        <f t="shared" si="40"/>
        <v>0.17109077598828698</v>
      </c>
    </row>
    <row r="386" spans="1:17" x14ac:dyDescent="0.25">
      <c r="A386" t="s">
        <v>444</v>
      </c>
      <c r="B386" t="s">
        <v>20</v>
      </c>
      <c r="C386" t="s">
        <v>81</v>
      </c>
      <c r="D386" t="str">
        <f t="shared" si="36"/>
        <v>CO</v>
      </c>
      <c r="E386" t="str">
        <f t="shared" si="37"/>
        <v>West</v>
      </c>
      <c r="F386" t="s">
        <v>14</v>
      </c>
      <c r="G386" s="1">
        <v>45025</v>
      </c>
      <c r="H386" s="1">
        <v>45031</v>
      </c>
      <c r="I386" s="1">
        <f t="shared" ref="I386:I449" si="41">IF(H386="", G386 + N386, H386)</f>
        <v>45031</v>
      </c>
      <c r="J386" s="2">
        <v>9.5</v>
      </c>
      <c r="K386" s="2">
        <v>228.41</v>
      </c>
      <c r="L386" t="s">
        <v>15</v>
      </c>
      <c r="M386" s="2">
        <v>1802</v>
      </c>
      <c r="N386" s="2">
        <v>6</v>
      </c>
      <c r="O386" s="2">
        <f t="shared" si="38"/>
        <v>300.33333333333331</v>
      </c>
      <c r="P386" s="2">
        <f t="shared" si="39"/>
        <v>1.3148869722574901</v>
      </c>
      <c r="Q386" s="3">
        <f t="shared" si="40"/>
        <v>0.12675360710321865</v>
      </c>
    </row>
    <row r="387" spans="1:17" hidden="1" x14ac:dyDescent="0.25">
      <c r="A387" t="s">
        <v>445</v>
      </c>
      <c r="B387" t="s">
        <v>30</v>
      </c>
      <c r="C387" t="s">
        <v>40</v>
      </c>
      <c r="D387" t="str">
        <f t="shared" si="36"/>
        <v>MI</v>
      </c>
      <c r="E387" t="str">
        <f t="shared" si="37"/>
        <v>Midwest</v>
      </c>
      <c r="F387" t="s">
        <v>37</v>
      </c>
      <c r="G387" s="1">
        <v>45091</v>
      </c>
      <c r="H387" s="1">
        <v>45061</v>
      </c>
      <c r="I387" s="1">
        <f t="shared" si="41"/>
        <v>45061</v>
      </c>
      <c r="J387" s="2">
        <v>58</v>
      </c>
      <c r="K387" s="2">
        <v>90.41</v>
      </c>
      <c r="L387" t="s">
        <v>15</v>
      </c>
      <c r="M387" s="2">
        <v>196</v>
      </c>
      <c r="N387" s="2">
        <v>2</v>
      </c>
      <c r="O387" s="2">
        <f t="shared" si="38"/>
        <v>98</v>
      </c>
      <c r="P387" s="2">
        <f t="shared" si="39"/>
        <v>1.0839508903882313</v>
      </c>
      <c r="Q387" s="3">
        <f t="shared" si="40"/>
        <v>0.46127551020408164</v>
      </c>
    </row>
    <row r="388" spans="1:17" hidden="1" x14ac:dyDescent="0.25">
      <c r="A388" t="s">
        <v>446</v>
      </c>
      <c r="B388" t="s">
        <v>23</v>
      </c>
      <c r="C388" t="s">
        <v>17</v>
      </c>
      <c r="D388" t="str">
        <f t="shared" si="36"/>
        <v>GA</v>
      </c>
      <c r="E388" t="str">
        <f t="shared" si="37"/>
        <v>Southeast</v>
      </c>
      <c r="F388" t="s">
        <v>25</v>
      </c>
      <c r="G388" s="1">
        <v>45278</v>
      </c>
      <c r="H388" s="1">
        <v>45285</v>
      </c>
      <c r="I388" s="1">
        <f t="shared" si="41"/>
        <v>45285</v>
      </c>
      <c r="J388" s="2">
        <v>10.8</v>
      </c>
      <c r="K388" s="2">
        <v>400.75</v>
      </c>
      <c r="L388" t="s">
        <v>15</v>
      </c>
      <c r="M388" s="2">
        <v>2425</v>
      </c>
      <c r="N388" s="2">
        <v>7</v>
      </c>
      <c r="O388" s="2">
        <f t="shared" si="38"/>
        <v>346.42857142857144</v>
      </c>
      <c r="P388" s="2">
        <f t="shared" si="39"/>
        <v>0.86445058372694061</v>
      </c>
      <c r="Q388" s="3">
        <f t="shared" si="40"/>
        <v>0.16525773195876289</v>
      </c>
    </row>
    <row r="389" spans="1:17" hidden="1" x14ac:dyDescent="0.25">
      <c r="A389" t="s">
        <v>447</v>
      </c>
      <c r="B389" t="s">
        <v>49</v>
      </c>
      <c r="C389" t="s">
        <v>17</v>
      </c>
      <c r="D389" t="str">
        <f t="shared" si="36"/>
        <v>GA</v>
      </c>
      <c r="E389" t="str">
        <f t="shared" si="37"/>
        <v>Southeast</v>
      </c>
      <c r="F389" t="s">
        <v>25</v>
      </c>
      <c r="G389" s="1">
        <v>44995</v>
      </c>
      <c r="H389" s="1">
        <v>44999</v>
      </c>
      <c r="I389" s="1">
        <f t="shared" si="41"/>
        <v>44999</v>
      </c>
      <c r="J389" s="2">
        <v>26</v>
      </c>
      <c r="K389" s="2">
        <v>222.33</v>
      </c>
      <c r="L389" t="s">
        <v>15</v>
      </c>
      <c r="M389" s="2">
        <v>1641</v>
      </c>
      <c r="N389" s="2">
        <v>4</v>
      </c>
      <c r="O389" s="2">
        <f t="shared" si="38"/>
        <v>410.25</v>
      </c>
      <c r="P389" s="2">
        <f t="shared" si="39"/>
        <v>1.8452300634192416</v>
      </c>
      <c r="Q389" s="3">
        <f t="shared" si="40"/>
        <v>0.13548446069469836</v>
      </c>
    </row>
    <row r="390" spans="1:17" x14ac:dyDescent="0.25">
      <c r="A390" t="s">
        <v>448</v>
      </c>
      <c r="B390" t="s">
        <v>30</v>
      </c>
      <c r="C390" t="s">
        <v>13</v>
      </c>
      <c r="D390" t="str">
        <f t="shared" si="36"/>
        <v>CA</v>
      </c>
      <c r="E390" t="str">
        <f t="shared" si="37"/>
        <v>West</v>
      </c>
      <c r="F390" t="s">
        <v>37</v>
      </c>
      <c r="G390" s="1">
        <v>45261</v>
      </c>
      <c r="H390" s="1">
        <v>45266</v>
      </c>
      <c r="I390" s="1">
        <f t="shared" si="41"/>
        <v>45266</v>
      </c>
      <c r="J390" s="2">
        <v>6.5</v>
      </c>
      <c r="K390" s="2">
        <v>28.34</v>
      </c>
      <c r="L390" t="s">
        <v>60</v>
      </c>
      <c r="M390" s="2">
        <v>129</v>
      </c>
      <c r="N390" s="2">
        <v>2</v>
      </c>
      <c r="O390" s="2">
        <f t="shared" si="38"/>
        <v>64.5</v>
      </c>
      <c r="P390" s="2">
        <f t="shared" si="39"/>
        <v>2.2759350741002118</v>
      </c>
      <c r="Q390" s="3">
        <f t="shared" si="40"/>
        <v>0.21968992248062016</v>
      </c>
    </row>
    <row r="391" spans="1:17" x14ac:dyDescent="0.25">
      <c r="A391" t="s">
        <v>449</v>
      </c>
      <c r="B391" t="s">
        <v>30</v>
      </c>
      <c r="C391" t="s">
        <v>36</v>
      </c>
      <c r="D391" t="str">
        <f t="shared" si="36"/>
        <v>OR</v>
      </c>
      <c r="E391" t="str">
        <f t="shared" si="37"/>
        <v>West</v>
      </c>
      <c r="F391" t="s">
        <v>42</v>
      </c>
      <c r="G391" s="1">
        <v>45227</v>
      </c>
      <c r="H391" s="1">
        <v>45231</v>
      </c>
      <c r="I391" s="1">
        <f t="shared" si="41"/>
        <v>45231</v>
      </c>
      <c r="J391" s="2">
        <v>6.9</v>
      </c>
      <c r="K391" s="2">
        <v>194.18</v>
      </c>
      <c r="L391" t="s">
        <v>15</v>
      </c>
      <c r="M391" s="2">
        <v>1649</v>
      </c>
      <c r="N391" s="2">
        <v>4</v>
      </c>
      <c r="O391" s="2">
        <f t="shared" si="38"/>
        <v>412.25</v>
      </c>
      <c r="P391" s="2">
        <f t="shared" si="39"/>
        <v>2.1230301781851888</v>
      </c>
      <c r="Q391" s="3">
        <f t="shared" si="40"/>
        <v>0.11775621588841723</v>
      </c>
    </row>
    <row r="392" spans="1:17" hidden="1" x14ac:dyDescent="0.25">
      <c r="A392" t="s">
        <v>450</v>
      </c>
      <c r="B392" t="s">
        <v>12</v>
      </c>
      <c r="C392" t="s">
        <v>46</v>
      </c>
      <c r="D392" t="str">
        <f t="shared" si="36"/>
        <v>MA</v>
      </c>
      <c r="E392" t="str">
        <f t="shared" si="37"/>
        <v>Northeast</v>
      </c>
      <c r="F392" t="s">
        <v>18</v>
      </c>
      <c r="G392" s="1">
        <v>44969</v>
      </c>
      <c r="H392" s="1">
        <v>44989</v>
      </c>
      <c r="I392" s="1">
        <f t="shared" si="41"/>
        <v>44989</v>
      </c>
      <c r="J392" s="2">
        <v>29.5</v>
      </c>
      <c r="K392" s="2">
        <v>224.76</v>
      </c>
      <c r="L392" t="s">
        <v>47</v>
      </c>
      <c r="M392" s="2">
        <v>1289</v>
      </c>
      <c r="N392" s="2">
        <v>8</v>
      </c>
      <c r="O392" s="2">
        <f t="shared" si="38"/>
        <v>161.125</v>
      </c>
      <c r="P392" s="2">
        <f t="shared" si="39"/>
        <v>0.71687577860829332</v>
      </c>
      <c r="Q392" s="3">
        <f t="shared" si="40"/>
        <v>0.17436772692009309</v>
      </c>
    </row>
    <row r="393" spans="1:17" hidden="1" x14ac:dyDescent="0.25">
      <c r="A393" t="s">
        <v>451</v>
      </c>
      <c r="B393" t="s">
        <v>51</v>
      </c>
      <c r="C393" t="s">
        <v>28</v>
      </c>
      <c r="D393" t="str">
        <f t="shared" si="36"/>
        <v>TX</v>
      </c>
      <c r="E393" t="str">
        <f t="shared" si="37"/>
        <v>Southwest</v>
      </c>
      <c r="F393" t="s">
        <v>42</v>
      </c>
      <c r="G393" s="1">
        <v>45277</v>
      </c>
      <c r="H393" s="1">
        <v>45278</v>
      </c>
      <c r="I393" s="1">
        <f t="shared" si="41"/>
        <v>45278</v>
      </c>
      <c r="J393" s="2">
        <v>12.7</v>
      </c>
      <c r="K393" s="2">
        <v>56.43</v>
      </c>
      <c r="L393" t="s">
        <v>15</v>
      </c>
      <c r="M393" s="2">
        <v>273</v>
      </c>
      <c r="N393" s="2">
        <v>1</v>
      </c>
      <c r="O393" s="2">
        <f t="shared" si="38"/>
        <v>273</v>
      </c>
      <c r="P393" s="2">
        <f t="shared" si="39"/>
        <v>4.8378522062732587</v>
      </c>
      <c r="Q393" s="3">
        <f t="shared" si="40"/>
        <v>0.20670329670329671</v>
      </c>
    </row>
    <row r="394" spans="1:17" hidden="1" x14ac:dyDescent="0.25">
      <c r="A394" t="s">
        <v>452</v>
      </c>
      <c r="B394" t="s">
        <v>39</v>
      </c>
      <c r="C394" t="s">
        <v>54</v>
      </c>
      <c r="D394" t="str">
        <f t="shared" si="36"/>
        <v>FL</v>
      </c>
      <c r="E394" t="str">
        <f t="shared" si="37"/>
        <v>Southeast</v>
      </c>
      <c r="F394" t="s">
        <v>14</v>
      </c>
      <c r="G394" s="1">
        <v>45118</v>
      </c>
      <c r="H394" s="1">
        <v>45121</v>
      </c>
      <c r="I394" s="1">
        <f t="shared" si="41"/>
        <v>45121</v>
      </c>
      <c r="J394" s="2">
        <v>29.1</v>
      </c>
      <c r="K394" s="2">
        <v>160.13999999999999</v>
      </c>
      <c r="L394" t="s">
        <v>15</v>
      </c>
      <c r="M394" s="2">
        <v>940</v>
      </c>
      <c r="N394" s="2">
        <v>3</v>
      </c>
      <c r="O394" s="2">
        <f t="shared" si="38"/>
        <v>313.33333333333331</v>
      </c>
      <c r="P394" s="2">
        <f t="shared" si="39"/>
        <v>1.9566212897048416</v>
      </c>
      <c r="Q394" s="3">
        <f t="shared" si="40"/>
        <v>0.17036170212765955</v>
      </c>
    </row>
    <row r="395" spans="1:17" hidden="1" x14ac:dyDescent="0.25">
      <c r="A395" t="s">
        <v>453</v>
      </c>
      <c r="B395" t="s">
        <v>30</v>
      </c>
      <c r="C395" t="s">
        <v>40</v>
      </c>
      <c r="D395" t="str">
        <f t="shared" si="36"/>
        <v>MI</v>
      </c>
      <c r="E395" t="str">
        <f t="shared" si="37"/>
        <v>Midwest</v>
      </c>
      <c r="F395" t="s">
        <v>59</v>
      </c>
      <c r="G395" s="1">
        <v>45254</v>
      </c>
      <c r="H395" s="1">
        <v>45258</v>
      </c>
      <c r="I395" s="1">
        <f t="shared" si="41"/>
        <v>45258</v>
      </c>
      <c r="J395" s="2">
        <v>34.700000000000003</v>
      </c>
      <c r="K395" s="2">
        <v>329.19</v>
      </c>
      <c r="L395" t="s">
        <v>15</v>
      </c>
      <c r="M395" s="2">
        <v>1913</v>
      </c>
      <c r="N395" s="2">
        <v>4</v>
      </c>
      <c r="O395" s="2">
        <f t="shared" si="38"/>
        <v>478.25</v>
      </c>
      <c r="P395" s="2">
        <f t="shared" si="39"/>
        <v>1.4528084085178772</v>
      </c>
      <c r="Q395" s="3">
        <f t="shared" si="40"/>
        <v>0.17208050182958703</v>
      </c>
    </row>
    <row r="396" spans="1:17" x14ac:dyDescent="0.25">
      <c r="A396" t="s">
        <v>454</v>
      </c>
      <c r="B396" t="s">
        <v>20</v>
      </c>
      <c r="C396" t="s">
        <v>13</v>
      </c>
      <c r="D396" t="str">
        <f t="shared" si="36"/>
        <v>CA</v>
      </c>
      <c r="E396" t="str">
        <f t="shared" si="37"/>
        <v>West</v>
      </c>
      <c r="F396" t="s">
        <v>42</v>
      </c>
      <c r="G396" s="1">
        <v>45104</v>
      </c>
      <c r="H396" s="1">
        <v>45105</v>
      </c>
      <c r="I396" s="1">
        <f t="shared" si="41"/>
        <v>45105</v>
      </c>
      <c r="J396" s="2">
        <v>13.3</v>
      </c>
      <c r="K396" s="2">
        <v>42.44</v>
      </c>
      <c r="L396" t="s">
        <v>15</v>
      </c>
      <c r="M396" s="2">
        <v>252</v>
      </c>
      <c r="N396" s="2">
        <v>1</v>
      </c>
      <c r="O396" s="2">
        <f t="shared" si="38"/>
        <v>252</v>
      </c>
      <c r="P396" s="2">
        <f t="shared" si="39"/>
        <v>5.9377945334590017</v>
      </c>
      <c r="Q396" s="3">
        <f t="shared" si="40"/>
        <v>0.1684126984126984</v>
      </c>
    </row>
    <row r="397" spans="1:17" hidden="1" x14ac:dyDescent="0.25">
      <c r="A397" t="s">
        <v>455</v>
      </c>
      <c r="B397" t="s">
        <v>12</v>
      </c>
      <c r="C397" t="s">
        <v>52</v>
      </c>
      <c r="D397" t="str">
        <f t="shared" si="36"/>
        <v>AZ</v>
      </c>
      <c r="E397" t="str">
        <f t="shared" si="37"/>
        <v>Southwest</v>
      </c>
      <c r="F397" t="s">
        <v>25</v>
      </c>
      <c r="G397" s="1">
        <v>45124</v>
      </c>
      <c r="H397" s="1">
        <v>45127</v>
      </c>
      <c r="I397" s="1">
        <f t="shared" si="41"/>
        <v>45127</v>
      </c>
      <c r="J397" s="2">
        <v>29.3</v>
      </c>
      <c r="K397" s="2">
        <v>136.26</v>
      </c>
      <c r="L397" t="s">
        <v>62</v>
      </c>
      <c r="M397" s="2">
        <v>919</v>
      </c>
      <c r="N397" s="2">
        <v>3</v>
      </c>
      <c r="O397" s="2">
        <f t="shared" si="38"/>
        <v>306.33333333333331</v>
      </c>
      <c r="P397" s="2">
        <f t="shared" si="39"/>
        <v>2.2481530407554184</v>
      </c>
      <c r="Q397" s="3">
        <f t="shared" si="40"/>
        <v>0.14826985854189334</v>
      </c>
    </row>
    <row r="398" spans="1:17" hidden="1" x14ac:dyDescent="0.25">
      <c r="A398" t="s">
        <v>456</v>
      </c>
      <c r="B398" t="s">
        <v>35</v>
      </c>
      <c r="C398" t="s">
        <v>17</v>
      </c>
      <c r="D398" t="str">
        <f t="shared" si="36"/>
        <v>GA</v>
      </c>
      <c r="E398" t="str">
        <f t="shared" si="37"/>
        <v>Southeast</v>
      </c>
      <c r="F398" t="s">
        <v>25</v>
      </c>
      <c r="G398" s="1">
        <v>45262</v>
      </c>
      <c r="H398" s="1">
        <v>45267</v>
      </c>
      <c r="I398" s="1">
        <f t="shared" si="41"/>
        <v>45267</v>
      </c>
      <c r="J398" s="2">
        <v>9.6</v>
      </c>
      <c r="K398" s="2">
        <v>154.66</v>
      </c>
      <c r="L398" t="s">
        <v>15</v>
      </c>
      <c r="M398" s="2">
        <v>1040</v>
      </c>
      <c r="N398" s="2">
        <v>5</v>
      </c>
      <c r="O398" s="2">
        <f t="shared" si="38"/>
        <v>208</v>
      </c>
      <c r="P398" s="2">
        <f t="shared" si="39"/>
        <v>1.3448855554118713</v>
      </c>
      <c r="Q398" s="3">
        <f t="shared" si="40"/>
        <v>0.14871153846153845</v>
      </c>
    </row>
    <row r="399" spans="1:17" hidden="1" x14ac:dyDescent="0.25">
      <c r="A399" t="s">
        <v>457</v>
      </c>
      <c r="B399" t="s">
        <v>23</v>
      </c>
      <c r="C399" t="s">
        <v>31</v>
      </c>
      <c r="D399" t="str">
        <f t="shared" si="36"/>
        <v>NY</v>
      </c>
      <c r="E399" t="str">
        <f t="shared" si="37"/>
        <v>Northeast</v>
      </c>
      <c r="F399" t="s">
        <v>32</v>
      </c>
      <c r="G399" s="1">
        <v>45051</v>
      </c>
      <c r="H399" s="1">
        <v>45057</v>
      </c>
      <c r="I399" s="1">
        <f t="shared" si="41"/>
        <v>45057</v>
      </c>
      <c r="J399" s="2">
        <v>6.3</v>
      </c>
      <c r="K399" s="2">
        <v>267.55</v>
      </c>
      <c r="L399" t="s">
        <v>15</v>
      </c>
      <c r="M399" s="2">
        <v>2108</v>
      </c>
      <c r="N399" s="2">
        <v>6</v>
      </c>
      <c r="O399" s="2">
        <f t="shared" si="38"/>
        <v>351.33333333333331</v>
      </c>
      <c r="P399" s="2">
        <f t="shared" si="39"/>
        <v>1.3131501899956393</v>
      </c>
      <c r="Q399" s="3">
        <f t="shared" si="40"/>
        <v>0.12692125237191651</v>
      </c>
    </row>
    <row r="400" spans="1:17" hidden="1" x14ac:dyDescent="0.25">
      <c r="A400" t="s">
        <v>458</v>
      </c>
      <c r="B400" t="s">
        <v>27</v>
      </c>
      <c r="C400" t="s">
        <v>52</v>
      </c>
      <c r="D400" t="str">
        <f t="shared" si="36"/>
        <v>AZ</v>
      </c>
      <c r="E400" t="str">
        <f t="shared" si="37"/>
        <v>Southwest</v>
      </c>
      <c r="F400" t="s">
        <v>42</v>
      </c>
      <c r="G400" s="1">
        <v>45202</v>
      </c>
      <c r="H400" s="1">
        <v>45206</v>
      </c>
      <c r="I400" s="1">
        <f t="shared" si="41"/>
        <v>45206</v>
      </c>
      <c r="J400" s="2">
        <v>15.6</v>
      </c>
      <c r="K400" s="2">
        <v>95.5</v>
      </c>
      <c r="L400" t="s">
        <v>15</v>
      </c>
      <c r="M400" s="2">
        <v>627</v>
      </c>
      <c r="N400" s="2">
        <v>4</v>
      </c>
      <c r="O400" s="2">
        <f t="shared" si="38"/>
        <v>156.75</v>
      </c>
      <c r="P400" s="2">
        <f t="shared" si="39"/>
        <v>1.6413612565445026</v>
      </c>
      <c r="Q400" s="3">
        <f t="shared" si="40"/>
        <v>0.15231259968102073</v>
      </c>
    </row>
    <row r="401" spans="1:17" hidden="1" x14ac:dyDescent="0.25">
      <c r="A401" t="s">
        <v>459</v>
      </c>
      <c r="B401" t="s">
        <v>49</v>
      </c>
      <c r="C401" t="s">
        <v>21</v>
      </c>
      <c r="D401" t="str">
        <f t="shared" si="36"/>
        <v>TX</v>
      </c>
      <c r="E401" t="str">
        <f t="shared" si="37"/>
        <v>Southwest</v>
      </c>
      <c r="F401" t="s">
        <v>32</v>
      </c>
      <c r="G401" s="1">
        <v>45037</v>
      </c>
      <c r="H401" s="1">
        <v>45038</v>
      </c>
      <c r="I401" s="1">
        <f t="shared" si="41"/>
        <v>45038</v>
      </c>
      <c r="J401" s="2">
        <v>8.6</v>
      </c>
      <c r="K401" s="2">
        <v>33.61</v>
      </c>
      <c r="L401" t="s">
        <v>60</v>
      </c>
      <c r="M401" s="2">
        <v>178</v>
      </c>
      <c r="N401" s="2">
        <v>1</v>
      </c>
      <c r="O401" s="2">
        <f t="shared" si="38"/>
        <v>178</v>
      </c>
      <c r="P401" s="2">
        <f t="shared" si="39"/>
        <v>5.2960428443915504</v>
      </c>
      <c r="Q401" s="3">
        <f t="shared" si="40"/>
        <v>0.18882022471910112</v>
      </c>
    </row>
    <row r="402" spans="1:17" x14ac:dyDescent="0.25">
      <c r="A402" t="s">
        <v>460</v>
      </c>
      <c r="B402" t="s">
        <v>12</v>
      </c>
      <c r="C402" t="s">
        <v>81</v>
      </c>
      <c r="D402" t="str">
        <f t="shared" si="36"/>
        <v>CO</v>
      </c>
      <c r="E402" t="str">
        <f t="shared" si="37"/>
        <v>West</v>
      </c>
      <c r="F402" t="s">
        <v>59</v>
      </c>
      <c r="G402" s="1">
        <v>45169</v>
      </c>
      <c r="H402" s="1">
        <v>45171</v>
      </c>
      <c r="I402" s="1">
        <f t="shared" si="41"/>
        <v>45171</v>
      </c>
      <c r="J402" s="2">
        <v>34.1</v>
      </c>
      <c r="K402" s="2">
        <v>114.04</v>
      </c>
      <c r="L402" t="s">
        <v>15</v>
      </c>
      <c r="M402" s="2">
        <v>616</v>
      </c>
      <c r="N402" s="2">
        <v>2</v>
      </c>
      <c r="O402" s="2">
        <f t="shared" si="38"/>
        <v>308</v>
      </c>
      <c r="P402" s="2">
        <f t="shared" si="39"/>
        <v>2.70080673447913</v>
      </c>
      <c r="Q402" s="3">
        <f t="shared" si="40"/>
        <v>0.18512987012987014</v>
      </c>
    </row>
    <row r="403" spans="1:17" hidden="1" x14ac:dyDescent="0.25">
      <c r="A403" t="s">
        <v>461</v>
      </c>
      <c r="B403" t="s">
        <v>39</v>
      </c>
      <c r="C403" t="s">
        <v>17</v>
      </c>
      <c r="D403" t="str">
        <f t="shared" si="36"/>
        <v>GA</v>
      </c>
      <c r="E403" t="str">
        <f t="shared" si="37"/>
        <v>Southeast</v>
      </c>
      <c r="F403" t="s">
        <v>25</v>
      </c>
      <c r="G403" s="1">
        <v>44975</v>
      </c>
      <c r="H403" s="1">
        <v>44977</v>
      </c>
      <c r="I403" s="1">
        <f t="shared" si="41"/>
        <v>44977</v>
      </c>
      <c r="J403" s="2">
        <v>21.1</v>
      </c>
      <c r="K403" s="2">
        <v>109.65</v>
      </c>
      <c r="L403" t="s">
        <v>15</v>
      </c>
      <c r="M403" s="2">
        <v>800</v>
      </c>
      <c r="N403" s="2">
        <v>2</v>
      </c>
      <c r="O403" s="2">
        <f t="shared" si="38"/>
        <v>400</v>
      </c>
      <c r="P403" s="2">
        <f t="shared" si="39"/>
        <v>3.6479708162334701</v>
      </c>
      <c r="Q403" s="3">
        <f t="shared" si="40"/>
        <v>0.1370625</v>
      </c>
    </row>
    <row r="404" spans="1:17" hidden="1" x14ac:dyDescent="0.25">
      <c r="A404" t="s">
        <v>462</v>
      </c>
      <c r="B404" t="s">
        <v>20</v>
      </c>
      <c r="C404" t="s">
        <v>28</v>
      </c>
      <c r="D404" t="str">
        <f t="shared" si="36"/>
        <v>TX</v>
      </c>
      <c r="E404" t="str">
        <f t="shared" si="37"/>
        <v>Southwest</v>
      </c>
      <c r="F404" t="s">
        <v>37</v>
      </c>
      <c r="G404" s="1">
        <v>45091</v>
      </c>
      <c r="H404" s="1">
        <v>45095</v>
      </c>
      <c r="I404" s="1">
        <f t="shared" si="41"/>
        <v>45095</v>
      </c>
      <c r="J404" s="2">
        <v>33.799999999999997</v>
      </c>
      <c r="K404" s="2">
        <v>204.1</v>
      </c>
      <c r="L404" t="s">
        <v>15</v>
      </c>
      <c r="M404" s="2">
        <v>1435</v>
      </c>
      <c r="N404" s="2">
        <v>4</v>
      </c>
      <c r="O404" s="2">
        <f t="shared" si="38"/>
        <v>358.75</v>
      </c>
      <c r="P404" s="2">
        <f t="shared" si="39"/>
        <v>1.7577168054875061</v>
      </c>
      <c r="Q404" s="3">
        <f t="shared" si="40"/>
        <v>0.14222996515679442</v>
      </c>
    </row>
    <row r="405" spans="1:17" hidden="1" x14ac:dyDescent="0.25">
      <c r="A405" t="s">
        <v>463</v>
      </c>
      <c r="B405" t="s">
        <v>30</v>
      </c>
      <c r="C405" t="s">
        <v>57</v>
      </c>
      <c r="D405" t="str">
        <f t="shared" si="36"/>
        <v>MN</v>
      </c>
      <c r="E405" t="str">
        <f t="shared" si="37"/>
        <v>Midwest</v>
      </c>
      <c r="F405" t="s">
        <v>37</v>
      </c>
      <c r="G405" s="1">
        <v>45041</v>
      </c>
      <c r="H405" s="1">
        <v>45047</v>
      </c>
      <c r="I405" s="1">
        <f t="shared" si="41"/>
        <v>45047</v>
      </c>
      <c r="J405" s="2">
        <v>331.7</v>
      </c>
      <c r="K405" s="2">
        <v>242.34</v>
      </c>
      <c r="L405" t="s">
        <v>15</v>
      </c>
      <c r="M405" s="2">
        <v>1727</v>
      </c>
      <c r="N405" s="2">
        <v>6</v>
      </c>
      <c r="O405" s="2">
        <f t="shared" si="38"/>
        <v>287.83333333333331</v>
      </c>
      <c r="P405" s="2">
        <f t="shared" si="39"/>
        <v>1.1877252345189953</v>
      </c>
      <c r="Q405" s="3">
        <f t="shared" si="40"/>
        <v>0.14032426172553561</v>
      </c>
    </row>
    <row r="406" spans="1:17" hidden="1" x14ac:dyDescent="0.25">
      <c r="A406" t="s">
        <v>464</v>
      </c>
      <c r="B406" t="s">
        <v>39</v>
      </c>
      <c r="C406" t="s">
        <v>44</v>
      </c>
      <c r="D406" t="str">
        <f t="shared" si="36"/>
        <v>IL</v>
      </c>
      <c r="E406" t="str">
        <f t="shared" si="37"/>
        <v>Midwest</v>
      </c>
      <c r="F406" t="s">
        <v>18</v>
      </c>
      <c r="G406" s="1">
        <v>45191</v>
      </c>
      <c r="H406" s="1">
        <v>45195</v>
      </c>
      <c r="I406" s="1">
        <f t="shared" si="41"/>
        <v>45195</v>
      </c>
      <c r="J406" s="2">
        <v>9.5</v>
      </c>
      <c r="K406" s="2">
        <v>271.58999999999997</v>
      </c>
      <c r="L406" t="s">
        <v>15</v>
      </c>
      <c r="M406" s="2">
        <v>2007</v>
      </c>
      <c r="N406" s="2">
        <v>4</v>
      </c>
      <c r="O406" s="2">
        <f t="shared" si="38"/>
        <v>501.75</v>
      </c>
      <c r="P406" s="2">
        <f t="shared" si="39"/>
        <v>1.8474538826908209</v>
      </c>
      <c r="Q406" s="3">
        <f t="shared" si="40"/>
        <v>0.13532137518684603</v>
      </c>
    </row>
    <row r="407" spans="1:17" hidden="1" x14ac:dyDescent="0.25">
      <c r="A407" t="s">
        <v>465</v>
      </c>
      <c r="B407" t="s">
        <v>51</v>
      </c>
      <c r="C407" t="s">
        <v>28</v>
      </c>
      <c r="D407" t="str">
        <f t="shared" si="36"/>
        <v>TX</v>
      </c>
      <c r="E407" t="str">
        <f t="shared" si="37"/>
        <v>Southwest</v>
      </c>
      <c r="F407" t="s">
        <v>42</v>
      </c>
      <c r="G407" s="1">
        <v>45083</v>
      </c>
      <c r="H407" s="1">
        <v>45091</v>
      </c>
      <c r="I407" s="1">
        <f t="shared" si="41"/>
        <v>45091</v>
      </c>
      <c r="J407" s="2">
        <v>21.6</v>
      </c>
      <c r="K407" s="2">
        <v>221.42</v>
      </c>
      <c r="L407" t="s">
        <v>47</v>
      </c>
      <c r="M407" s="2">
        <v>1619</v>
      </c>
      <c r="N407" s="2">
        <v>4</v>
      </c>
      <c r="O407" s="2">
        <f t="shared" si="38"/>
        <v>404.75</v>
      </c>
      <c r="P407" s="2">
        <f t="shared" si="39"/>
        <v>1.8279739860897841</v>
      </c>
      <c r="Q407" s="3">
        <f t="shared" si="40"/>
        <v>0.13676343421865347</v>
      </c>
    </row>
    <row r="408" spans="1:17" hidden="1" x14ac:dyDescent="0.25">
      <c r="A408" t="s">
        <v>466</v>
      </c>
      <c r="B408" t="s">
        <v>30</v>
      </c>
      <c r="C408" t="s">
        <v>44</v>
      </c>
      <c r="D408" t="str">
        <f t="shared" si="36"/>
        <v>IL</v>
      </c>
      <c r="E408" t="str">
        <f t="shared" si="37"/>
        <v>Midwest</v>
      </c>
      <c r="F408" t="s">
        <v>18</v>
      </c>
      <c r="G408" s="1">
        <v>44944</v>
      </c>
      <c r="H408" s="1">
        <v>44951</v>
      </c>
      <c r="I408" s="1">
        <f t="shared" si="41"/>
        <v>44951</v>
      </c>
      <c r="J408" s="2">
        <v>10</v>
      </c>
      <c r="K408" s="2">
        <v>360.44</v>
      </c>
      <c r="L408" t="s">
        <v>15</v>
      </c>
      <c r="M408" s="2">
        <v>2344</v>
      </c>
      <c r="N408" s="2">
        <v>7</v>
      </c>
      <c r="O408" s="2">
        <f t="shared" si="38"/>
        <v>334.85714285714283</v>
      </c>
      <c r="P408" s="2">
        <f t="shared" si="39"/>
        <v>0.9290232572887106</v>
      </c>
      <c r="Q408" s="3">
        <f t="shared" si="40"/>
        <v>0.15377133105802049</v>
      </c>
    </row>
    <row r="409" spans="1:17" hidden="1" x14ac:dyDescent="0.25">
      <c r="A409" t="s">
        <v>467</v>
      </c>
      <c r="B409" t="s">
        <v>12</v>
      </c>
      <c r="C409" t="s">
        <v>28</v>
      </c>
      <c r="D409" t="str">
        <f t="shared" si="36"/>
        <v>TX</v>
      </c>
      <c r="E409" t="str">
        <f t="shared" si="37"/>
        <v>Southwest</v>
      </c>
      <c r="F409" t="s">
        <v>25</v>
      </c>
      <c r="G409" s="1">
        <v>45264</v>
      </c>
      <c r="H409" s="1">
        <v>45234</v>
      </c>
      <c r="I409" s="1">
        <f t="shared" si="41"/>
        <v>45234</v>
      </c>
      <c r="J409" s="2">
        <v>7.8</v>
      </c>
      <c r="K409" s="2">
        <v>330.04</v>
      </c>
      <c r="L409" t="s">
        <v>15</v>
      </c>
      <c r="M409" s="2">
        <v>2242</v>
      </c>
      <c r="N409" s="2">
        <v>5</v>
      </c>
      <c r="O409" s="2">
        <f t="shared" si="38"/>
        <v>448.4</v>
      </c>
      <c r="P409" s="2">
        <f t="shared" si="39"/>
        <v>1.3586231971882194</v>
      </c>
      <c r="Q409" s="3">
        <f t="shared" si="40"/>
        <v>0.1472078501338091</v>
      </c>
    </row>
    <row r="410" spans="1:17" hidden="1" x14ac:dyDescent="0.25">
      <c r="A410" t="s">
        <v>468</v>
      </c>
      <c r="B410" t="s">
        <v>12</v>
      </c>
      <c r="C410" t="s">
        <v>21</v>
      </c>
      <c r="D410" t="str">
        <f t="shared" si="36"/>
        <v>TX</v>
      </c>
      <c r="E410" t="str">
        <f t="shared" si="37"/>
        <v>Southwest</v>
      </c>
      <c r="F410" t="s">
        <v>25</v>
      </c>
      <c r="G410" s="1">
        <v>45166</v>
      </c>
      <c r="H410" s="1">
        <v>45170</v>
      </c>
      <c r="I410" s="1">
        <f t="shared" si="41"/>
        <v>45170</v>
      </c>
      <c r="J410" s="2">
        <v>26.8</v>
      </c>
      <c r="K410" s="2">
        <v>190.03</v>
      </c>
      <c r="L410" t="s">
        <v>62</v>
      </c>
      <c r="M410" s="2">
        <v>1346</v>
      </c>
      <c r="N410" s="2">
        <v>4</v>
      </c>
      <c r="O410" s="2">
        <f t="shared" si="38"/>
        <v>336.5</v>
      </c>
      <c r="P410" s="2">
        <f t="shared" si="39"/>
        <v>1.7707730358364469</v>
      </c>
      <c r="Q410" s="3">
        <f t="shared" si="40"/>
        <v>0.14118127786032689</v>
      </c>
    </row>
    <row r="411" spans="1:17" hidden="1" x14ac:dyDescent="0.25">
      <c r="A411" t="s">
        <v>469</v>
      </c>
      <c r="B411" t="s">
        <v>51</v>
      </c>
      <c r="C411" t="s">
        <v>54</v>
      </c>
      <c r="D411" t="str">
        <f t="shared" si="36"/>
        <v>FL</v>
      </c>
      <c r="E411" t="str">
        <f t="shared" si="37"/>
        <v>Southeast</v>
      </c>
      <c r="F411" t="s">
        <v>14</v>
      </c>
      <c r="G411" s="1">
        <v>45002</v>
      </c>
      <c r="H411" s="1">
        <v>45003</v>
      </c>
      <c r="I411" s="1">
        <f t="shared" si="41"/>
        <v>45003</v>
      </c>
      <c r="J411" s="2">
        <v>36.299999999999997</v>
      </c>
      <c r="K411" s="2">
        <v>77.48</v>
      </c>
      <c r="L411" t="s">
        <v>15</v>
      </c>
      <c r="M411" s="2">
        <v>283</v>
      </c>
      <c r="N411" s="2">
        <v>1</v>
      </c>
      <c r="O411" s="2">
        <f t="shared" si="38"/>
        <v>283</v>
      </c>
      <c r="P411" s="2">
        <f t="shared" si="39"/>
        <v>3.6525554981930819</v>
      </c>
      <c r="Q411" s="3">
        <f t="shared" si="40"/>
        <v>0.27378091872791521</v>
      </c>
    </row>
    <row r="412" spans="1:17" x14ac:dyDescent="0.25">
      <c r="A412" t="s">
        <v>470</v>
      </c>
      <c r="B412" t="s">
        <v>56</v>
      </c>
      <c r="C412" t="s">
        <v>70</v>
      </c>
      <c r="D412" t="str">
        <f t="shared" si="36"/>
        <v>CA</v>
      </c>
      <c r="E412" t="str">
        <f t="shared" si="37"/>
        <v>West</v>
      </c>
      <c r="F412" t="s">
        <v>42</v>
      </c>
      <c r="G412" s="1">
        <v>45066</v>
      </c>
      <c r="H412" s="1">
        <v>45070</v>
      </c>
      <c r="I412" s="1">
        <f t="shared" si="41"/>
        <v>45070</v>
      </c>
      <c r="J412" s="2">
        <v>7.1</v>
      </c>
      <c r="K412" s="2">
        <v>26.87</v>
      </c>
      <c r="L412" t="s">
        <v>62</v>
      </c>
      <c r="M412" s="2">
        <v>164</v>
      </c>
      <c r="N412" s="2">
        <v>4</v>
      </c>
      <c r="O412" s="2">
        <f t="shared" si="38"/>
        <v>41</v>
      </c>
      <c r="P412" s="2">
        <f t="shared" si="39"/>
        <v>1.5258652772608856</v>
      </c>
      <c r="Q412" s="3">
        <f t="shared" si="40"/>
        <v>0.16384146341463415</v>
      </c>
    </row>
    <row r="413" spans="1:17" hidden="1" x14ac:dyDescent="0.25">
      <c r="A413" t="s">
        <v>471</v>
      </c>
      <c r="B413" t="s">
        <v>27</v>
      </c>
      <c r="C413" t="s">
        <v>46</v>
      </c>
      <c r="D413" t="str">
        <f t="shared" si="36"/>
        <v>MA</v>
      </c>
      <c r="E413" t="str">
        <f t="shared" si="37"/>
        <v>Northeast</v>
      </c>
      <c r="F413" t="s">
        <v>37</v>
      </c>
      <c r="G413" s="1">
        <v>44930</v>
      </c>
      <c r="H413" s="1">
        <v>44937</v>
      </c>
      <c r="I413" s="1">
        <f t="shared" si="41"/>
        <v>44937</v>
      </c>
      <c r="J413" s="2">
        <v>14.6</v>
      </c>
      <c r="K413" s="2">
        <v>188.17</v>
      </c>
      <c r="L413" t="s">
        <v>15</v>
      </c>
      <c r="M413" s="2">
        <v>1324</v>
      </c>
      <c r="N413" s="2">
        <v>7</v>
      </c>
      <c r="O413" s="2">
        <f t="shared" si="38"/>
        <v>189.14285714285714</v>
      </c>
      <c r="P413" s="2">
        <f t="shared" si="39"/>
        <v>1.0051700969488078</v>
      </c>
      <c r="Q413" s="3">
        <f t="shared" si="40"/>
        <v>0.14212235649546825</v>
      </c>
    </row>
    <row r="414" spans="1:17" hidden="1" x14ac:dyDescent="0.25">
      <c r="A414" t="s">
        <v>472</v>
      </c>
      <c r="B414" t="s">
        <v>12</v>
      </c>
      <c r="C414" t="s">
        <v>57</v>
      </c>
      <c r="D414" t="str">
        <f t="shared" si="36"/>
        <v>MN</v>
      </c>
      <c r="E414" t="str">
        <f t="shared" si="37"/>
        <v>Midwest</v>
      </c>
      <c r="F414" t="s">
        <v>32</v>
      </c>
      <c r="G414" s="1">
        <v>45269</v>
      </c>
      <c r="H414" s="1">
        <v>45274</v>
      </c>
      <c r="I414" s="1">
        <f t="shared" si="41"/>
        <v>45274</v>
      </c>
      <c r="J414" s="2">
        <v>8.8000000000000007</v>
      </c>
      <c r="K414" s="2">
        <v>157.81</v>
      </c>
      <c r="L414" t="s">
        <v>47</v>
      </c>
      <c r="M414" s="2">
        <v>849</v>
      </c>
      <c r="N414" s="2">
        <v>2</v>
      </c>
      <c r="O414" s="2">
        <f t="shared" si="38"/>
        <v>424.5</v>
      </c>
      <c r="P414" s="2">
        <f t="shared" si="39"/>
        <v>2.6899436030669794</v>
      </c>
      <c r="Q414" s="3">
        <f t="shared" si="40"/>
        <v>0.18587750294464075</v>
      </c>
    </row>
    <row r="415" spans="1:17" x14ac:dyDescent="0.25">
      <c r="A415" t="s">
        <v>473</v>
      </c>
      <c r="B415" t="s">
        <v>30</v>
      </c>
      <c r="C415" t="s">
        <v>81</v>
      </c>
      <c r="D415" t="str">
        <f t="shared" si="36"/>
        <v>CO</v>
      </c>
      <c r="E415" t="str">
        <f t="shared" si="37"/>
        <v>West</v>
      </c>
      <c r="F415" t="s">
        <v>42</v>
      </c>
      <c r="G415" s="1">
        <v>45142</v>
      </c>
      <c r="H415" s="1">
        <v>45143</v>
      </c>
      <c r="I415" s="1">
        <f t="shared" si="41"/>
        <v>45143</v>
      </c>
      <c r="J415" s="2">
        <v>5.9</v>
      </c>
      <c r="K415" s="2">
        <v>30.32</v>
      </c>
      <c r="L415" t="s">
        <v>15</v>
      </c>
      <c r="M415" s="2">
        <v>212</v>
      </c>
      <c r="N415" s="2">
        <v>1</v>
      </c>
      <c r="O415" s="2">
        <f t="shared" si="38"/>
        <v>212</v>
      </c>
      <c r="P415" s="2">
        <f t="shared" si="39"/>
        <v>6.9920844327176779</v>
      </c>
      <c r="Q415" s="3">
        <f t="shared" si="40"/>
        <v>0.14301886792452831</v>
      </c>
    </row>
    <row r="416" spans="1:17" x14ac:dyDescent="0.25">
      <c r="A416" t="s">
        <v>474</v>
      </c>
      <c r="B416" t="s">
        <v>49</v>
      </c>
      <c r="C416" t="s">
        <v>81</v>
      </c>
      <c r="D416" t="str">
        <f t="shared" si="36"/>
        <v>CO</v>
      </c>
      <c r="E416" t="str">
        <f t="shared" si="37"/>
        <v>West</v>
      </c>
      <c r="F416" t="s">
        <v>32</v>
      </c>
      <c r="G416" s="1">
        <v>44978</v>
      </c>
      <c r="H416" s="1">
        <v>44984</v>
      </c>
      <c r="I416" s="1">
        <f t="shared" si="41"/>
        <v>44984</v>
      </c>
      <c r="J416" s="2">
        <v>11.1</v>
      </c>
      <c r="K416" s="2">
        <v>139.41999999999999</v>
      </c>
      <c r="L416" t="s">
        <v>15</v>
      </c>
      <c r="M416" s="2">
        <v>1035</v>
      </c>
      <c r="N416" s="2">
        <v>6</v>
      </c>
      <c r="O416" s="2">
        <f t="shared" si="38"/>
        <v>172.5</v>
      </c>
      <c r="P416" s="2">
        <f t="shared" si="39"/>
        <v>1.2372686845502798</v>
      </c>
      <c r="Q416" s="3">
        <f t="shared" si="40"/>
        <v>0.13470531400966182</v>
      </c>
    </row>
    <row r="417" spans="1:17" hidden="1" x14ac:dyDescent="0.25">
      <c r="A417" t="s">
        <v>475</v>
      </c>
      <c r="B417" t="s">
        <v>20</v>
      </c>
      <c r="C417" t="s">
        <v>52</v>
      </c>
      <c r="D417" t="str">
        <f t="shared" si="36"/>
        <v>AZ</v>
      </c>
      <c r="E417" t="str">
        <f t="shared" si="37"/>
        <v>Southwest</v>
      </c>
      <c r="F417" t="s">
        <v>59</v>
      </c>
      <c r="G417" s="1">
        <v>45090</v>
      </c>
      <c r="H417" s="1">
        <v>45091</v>
      </c>
      <c r="I417" s="1">
        <f t="shared" si="41"/>
        <v>45091</v>
      </c>
      <c r="J417" s="2">
        <v>1062.2</v>
      </c>
      <c r="K417" s="2">
        <v>51.54</v>
      </c>
      <c r="L417" t="s">
        <v>15</v>
      </c>
      <c r="M417" s="2">
        <v>373</v>
      </c>
      <c r="N417" s="2">
        <v>1</v>
      </c>
      <c r="O417" s="2">
        <f t="shared" si="38"/>
        <v>373</v>
      </c>
      <c r="P417" s="2">
        <f t="shared" si="39"/>
        <v>7.2370974000776096</v>
      </c>
      <c r="Q417" s="3">
        <f t="shared" si="40"/>
        <v>0.13817694369973191</v>
      </c>
    </row>
    <row r="418" spans="1:17" hidden="1" x14ac:dyDescent="0.25">
      <c r="A418" t="s">
        <v>476</v>
      </c>
      <c r="B418" t="s">
        <v>30</v>
      </c>
      <c r="C418" t="s">
        <v>17</v>
      </c>
      <c r="D418" t="str">
        <f t="shared" si="36"/>
        <v>GA</v>
      </c>
      <c r="E418" t="str">
        <f t="shared" si="37"/>
        <v>Southeast</v>
      </c>
      <c r="F418" t="s">
        <v>59</v>
      </c>
      <c r="G418" s="1">
        <v>45185</v>
      </c>
      <c r="H418" s="1">
        <v>45188</v>
      </c>
      <c r="I418" s="1">
        <f t="shared" si="41"/>
        <v>45188</v>
      </c>
      <c r="J418" s="2">
        <v>58.9</v>
      </c>
      <c r="K418" s="2">
        <v>136.22</v>
      </c>
      <c r="L418" t="s">
        <v>15</v>
      </c>
      <c r="M418" s="2">
        <v>569</v>
      </c>
      <c r="N418" s="2">
        <v>3</v>
      </c>
      <c r="O418" s="2">
        <f t="shared" si="38"/>
        <v>189.66666666666666</v>
      </c>
      <c r="P418" s="2">
        <f t="shared" si="39"/>
        <v>1.39235550335242</v>
      </c>
      <c r="Q418" s="3">
        <f t="shared" si="40"/>
        <v>0.239402460456942</v>
      </c>
    </row>
    <row r="419" spans="1:17" hidden="1" x14ac:dyDescent="0.25">
      <c r="A419" t="s">
        <v>477</v>
      </c>
      <c r="B419" t="s">
        <v>51</v>
      </c>
      <c r="C419" t="s">
        <v>40</v>
      </c>
      <c r="D419" t="str">
        <f t="shared" si="36"/>
        <v>MI</v>
      </c>
      <c r="E419" t="str">
        <f t="shared" si="37"/>
        <v>Midwest</v>
      </c>
      <c r="F419" t="s">
        <v>25</v>
      </c>
      <c r="G419" s="1">
        <v>45159</v>
      </c>
      <c r="H419" s="1">
        <v>45168</v>
      </c>
      <c r="I419" s="1">
        <f t="shared" si="41"/>
        <v>45168</v>
      </c>
      <c r="J419" s="2">
        <v>36.6</v>
      </c>
      <c r="K419" s="2">
        <v>311.83999999999997</v>
      </c>
      <c r="L419" t="s">
        <v>62</v>
      </c>
      <c r="M419" s="2">
        <v>2250</v>
      </c>
      <c r="N419" s="2">
        <v>9</v>
      </c>
      <c r="O419" s="2">
        <f t="shared" si="38"/>
        <v>250</v>
      </c>
      <c r="P419" s="2">
        <f t="shared" si="39"/>
        <v>0.80169317598768608</v>
      </c>
      <c r="Q419" s="3">
        <f t="shared" si="40"/>
        <v>0.13859555555555556</v>
      </c>
    </row>
    <row r="420" spans="1:17" x14ac:dyDescent="0.25">
      <c r="A420" t="s">
        <v>478</v>
      </c>
      <c r="B420" t="s">
        <v>56</v>
      </c>
      <c r="C420" t="s">
        <v>24</v>
      </c>
      <c r="D420" t="str">
        <f t="shared" si="36"/>
        <v>WA</v>
      </c>
      <c r="E420" t="str">
        <f t="shared" si="37"/>
        <v>West</v>
      </c>
      <c r="F420" t="s">
        <v>25</v>
      </c>
      <c r="G420" s="1">
        <v>45039</v>
      </c>
      <c r="H420" s="1">
        <v>45044</v>
      </c>
      <c r="I420" s="1">
        <f t="shared" si="41"/>
        <v>45044</v>
      </c>
      <c r="J420" s="2">
        <v>23</v>
      </c>
      <c r="K420" s="2">
        <v>166.87</v>
      </c>
      <c r="L420" t="s">
        <v>15</v>
      </c>
      <c r="M420" s="2">
        <v>1171</v>
      </c>
      <c r="N420" s="2">
        <v>5</v>
      </c>
      <c r="O420" s="2">
        <f t="shared" si="38"/>
        <v>234.2</v>
      </c>
      <c r="P420" s="2">
        <f t="shared" si="39"/>
        <v>1.4034877449511596</v>
      </c>
      <c r="Q420" s="3">
        <f t="shared" si="40"/>
        <v>0.14250213492741248</v>
      </c>
    </row>
    <row r="421" spans="1:17" hidden="1" x14ac:dyDescent="0.25">
      <c r="A421" t="s">
        <v>479</v>
      </c>
      <c r="B421" t="s">
        <v>39</v>
      </c>
      <c r="C421" t="s">
        <v>31</v>
      </c>
      <c r="D421" t="str">
        <f t="shared" si="36"/>
        <v>NY</v>
      </c>
      <c r="E421" t="str">
        <f t="shared" si="37"/>
        <v>Northeast</v>
      </c>
      <c r="F421" t="s">
        <v>18</v>
      </c>
      <c r="G421" s="1">
        <v>44966</v>
      </c>
      <c r="H421" s="1">
        <v>44969</v>
      </c>
      <c r="I421" s="1">
        <f t="shared" si="41"/>
        <v>44969</v>
      </c>
      <c r="J421" s="2">
        <v>23</v>
      </c>
      <c r="K421" s="2">
        <v>94.01</v>
      </c>
      <c r="L421" t="s">
        <v>15</v>
      </c>
      <c r="M421" s="2">
        <v>462</v>
      </c>
      <c r="N421" s="2">
        <v>3</v>
      </c>
      <c r="O421" s="2">
        <f t="shared" si="38"/>
        <v>154</v>
      </c>
      <c r="P421" s="2">
        <f t="shared" si="39"/>
        <v>1.6381236038719285</v>
      </c>
      <c r="Q421" s="3">
        <f t="shared" si="40"/>
        <v>0.20348484848484849</v>
      </c>
    </row>
    <row r="422" spans="1:17" x14ac:dyDescent="0.25">
      <c r="A422" t="s">
        <v>480</v>
      </c>
      <c r="B422" t="s">
        <v>39</v>
      </c>
      <c r="C422" t="s">
        <v>13</v>
      </c>
      <c r="D422" t="str">
        <f t="shared" si="36"/>
        <v>CA</v>
      </c>
      <c r="E422" t="str">
        <f t="shared" si="37"/>
        <v>West</v>
      </c>
      <c r="F422" t="s">
        <v>32</v>
      </c>
      <c r="G422" s="1">
        <v>45054</v>
      </c>
      <c r="H422" s="1">
        <v>45058</v>
      </c>
      <c r="I422" s="1">
        <f t="shared" si="41"/>
        <v>45058</v>
      </c>
      <c r="J422" s="2">
        <v>18.5</v>
      </c>
      <c r="K422" s="2">
        <v>232.87</v>
      </c>
      <c r="L422" t="s">
        <v>15</v>
      </c>
      <c r="M422" s="2">
        <v>1761</v>
      </c>
      <c r="N422" s="2">
        <v>4</v>
      </c>
      <c r="O422" s="2">
        <f t="shared" si="38"/>
        <v>440.25</v>
      </c>
      <c r="P422" s="2">
        <f t="shared" si="39"/>
        <v>1.8905397861467772</v>
      </c>
      <c r="Q422" s="3">
        <f t="shared" si="40"/>
        <v>0.13223736513344692</v>
      </c>
    </row>
    <row r="423" spans="1:17" hidden="1" x14ac:dyDescent="0.25">
      <c r="A423" t="s">
        <v>481</v>
      </c>
      <c r="B423" t="s">
        <v>39</v>
      </c>
      <c r="C423" t="s">
        <v>57</v>
      </c>
      <c r="D423" t="str">
        <f t="shared" si="36"/>
        <v>MN</v>
      </c>
      <c r="E423" t="str">
        <f t="shared" si="37"/>
        <v>Midwest</v>
      </c>
      <c r="F423" t="s">
        <v>18</v>
      </c>
      <c r="G423" s="1">
        <v>44957</v>
      </c>
      <c r="H423" s="1">
        <v>44959</v>
      </c>
      <c r="I423" s="1">
        <f t="shared" si="41"/>
        <v>44959</v>
      </c>
      <c r="J423" s="2">
        <v>16.8</v>
      </c>
      <c r="K423" s="2">
        <v>118.63</v>
      </c>
      <c r="L423" t="s">
        <v>15</v>
      </c>
      <c r="M423" s="2">
        <v>658</v>
      </c>
      <c r="N423" s="2">
        <v>2</v>
      </c>
      <c r="O423" s="2">
        <f t="shared" si="38"/>
        <v>329</v>
      </c>
      <c r="P423" s="2">
        <f t="shared" si="39"/>
        <v>2.7733288375621683</v>
      </c>
      <c r="Q423" s="3">
        <f t="shared" si="40"/>
        <v>0.1802887537993921</v>
      </c>
    </row>
    <row r="424" spans="1:17" hidden="1" x14ac:dyDescent="0.25">
      <c r="A424" t="s">
        <v>482</v>
      </c>
      <c r="B424" t="s">
        <v>39</v>
      </c>
      <c r="C424" t="s">
        <v>52</v>
      </c>
      <c r="D424" t="str">
        <f t="shared" si="36"/>
        <v>AZ</v>
      </c>
      <c r="E424" t="str">
        <f t="shared" si="37"/>
        <v>Southwest</v>
      </c>
      <c r="F424" t="s">
        <v>18</v>
      </c>
      <c r="G424" s="1">
        <v>45219</v>
      </c>
      <c r="H424" s="1">
        <v>45222</v>
      </c>
      <c r="I424" s="1">
        <f t="shared" si="41"/>
        <v>45222</v>
      </c>
      <c r="J424" s="2">
        <v>14.2</v>
      </c>
      <c r="K424" s="2">
        <v>161.26</v>
      </c>
      <c r="L424" t="s">
        <v>15</v>
      </c>
      <c r="M424" s="2">
        <v>978</v>
      </c>
      <c r="N424" s="2">
        <v>3</v>
      </c>
      <c r="O424" s="2">
        <f t="shared" si="38"/>
        <v>326</v>
      </c>
      <c r="P424" s="2">
        <f t="shared" si="39"/>
        <v>2.0215800570507256</v>
      </c>
      <c r="Q424" s="3">
        <f t="shared" si="40"/>
        <v>0.16488752556237218</v>
      </c>
    </row>
    <row r="425" spans="1:17" hidden="1" x14ac:dyDescent="0.25">
      <c r="A425" t="s">
        <v>483</v>
      </c>
      <c r="B425" t="s">
        <v>35</v>
      </c>
      <c r="C425" t="s">
        <v>52</v>
      </c>
      <c r="D425" t="str">
        <f t="shared" si="36"/>
        <v>AZ</v>
      </c>
      <c r="E425" t="str">
        <f t="shared" si="37"/>
        <v>Southwest</v>
      </c>
      <c r="F425" t="s">
        <v>18</v>
      </c>
      <c r="G425" s="1">
        <v>44948</v>
      </c>
      <c r="H425" s="1">
        <v>44951</v>
      </c>
      <c r="I425" s="1">
        <f t="shared" si="41"/>
        <v>44951</v>
      </c>
      <c r="J425" s="2">
        <v>45.1</v>
      </c>
      <c r="K425" s="2">
        <v>238.38</v>
      </c>
      <c r="L425" t="s">
        <v>15</v>
      </c>
      <c r="M425" s="2">
        <v>1349</v>
      </c>
      <c r="N425" s="2">
        <v>3</v>
      </c>
      <c r="O425" s="2">
        <f t="shared" si="38"/>
        <v>449.66666666666669</v>
      </c>
      <c r="P425" s="2">
        <f t="shared" si="39"/>
        <v>1.886343932656543</v>
      </c>
      <c r="Q425" s="3">
        <f t="shared" si="40"/>
        <v>0.17670867309117866</v>
      </c>
    </row>
    <row r="426" spans="1:17" hidden="1" x14ac:dyDescent="0.25">
      <c r="A426" t="s">
        <v>484</v>
      </c>
      <c r="B426" t="s">
        <v>30</v>
      </c>
      <c r="C426" t="s">
        <v>21</v>
      </c>
      <c r="D426" t="str">
        <f t="shared" si="36"/>
        <v>TX</v>
      </c>
      <c r="E426" t="str">
        <f t="shared" si="37"/>
        <v>Southwest</v>
      </c>
      <c r="F426" t="s">
        <v>37</v>
      </c>
      <c r="G426" s="1">
        <v>45014</v>
      </c>
      <c r="H426" s="1">
        <v>45015</v>
      </c>
      <c r="I426" s="1">
        <f t="shared" si="41"/>
        <v>45015</v>
      </c>
      <c r="J426" s="2">
        <v>19</v>
      </c>
      <c r="K426" s="2">
        <v>77.14</v>
      </c>
      <c r="L426" t="s">
        <v>15</v>
      </c>
      <c r="M426" s="2">
        <v>483</v>
      </c>
      <c r="N426" s="2">
        <v>1</v>
      </c>
      <c r="O426" s="2">
        <f t="shared" si="38"/>
        <v>483</v>
      </c>
      <c r="P426" s="2">
        <f t="shared" si="39"/>
        <v>6.2613430127041738</v>
      </c>
      <c r="Q426" s="3">
        <f t="shared" si="40"/>
        <v>0.15971014492753624</v>
      </c>
    </row>
    <row r="427" spans="1:17" hidden="1" x14ac:dyDescent="0.25">
      <c r="A427" t="s">
        <v>485</v>
      </c>
      <c r="B427" t="s">
        <v>56</v>
      </c>
      <c r="C427" t="s">
        <v>21</v>
      </c>
      <c r="D427" t="str">
        <f t="shared" si="36"/>
        <v>TX</v>
      </c>
      <c r="E427" t="str">
        <f t="shared" si="37"/>
        <v>Southwest</v>
      </c>
      <c r="F427" t="s">
        <v>32</v>
      </c>
      <c r="G427" s="1">
        <v>45030</v>
      </c>
      <c r="H427" s="1">
        <v>45037</v>
      </c>
      <c r="I427" s="1">
        <f t="shared" si="41"/>
        <v>45037</v>
      </c>
      <c r="J427" s="2">
        <v>9.9</v>
      </c>
      <c r="K427" s="2">
        <v>256.92</v>
      </c>
      <c r="L427" t="s">
        <v>15</v>
      </c>
      <c r="M427" s="2">
        <v>1707</v>
      </c>
      <c r="N427" s="2">
        <v>7</v>
      </c>
      <c r="O427" s="2">
        <f t="shared" si="38"/>
        <v>243.85714285714286</v>
      </c>
      <c r="P427" s="2">
        <f t="shared" si="39"/>
        <v>0.94915593514379126</v>
      </c>
      <c r="Q427" s="3">
        <f t="shared" si="40"/>
        <v>0.1505096660808436</v>
      </c>
    </row>
    <row r="428" spans="1:17" hidden="1" x14ac:dyDescent="0.25">
      <c r="A428" t="s">
        <v>486</v>
      </c>
      <c r="B428" t="s">
        <v>30</v>
      </c>
      <c r="C428" t="s">
        <v>28</v>
      </c>
      <c r="D428" t="str">
        <f t="shared" si="36"/>
        <v>TX</v>
      </c>
      <c r="E428" t="str">
        <f t="shared" si="37"/>
        <v>Southwest</v>
      </c>
      <c r="F428" t="s">
        <v>59</v>
      </c>
      <c r="G428" s="1">
        <v>45194</v>
      </c>
      <c r="H428" s="1">
        <v>45199</v>
      </c>
      <c r="I428" s="1">
        <f t="shared" si="41"/>
        <v>45199</v>
      </c>
      <c r="J428" s="2">
        <v>46.2</v>
      </c>
      <c r="K428" s="2">
        <v>329.57</v>
      </c>
      <c r="L428" t="s">
        <v>15</v>
      </c>
      <c r="M428" s="2">
        <v>2333</v>
      </c>
      <c r="N428" s="2">
        <v>5</v>
      </c>
      <c r="O428" s="2">
        <f t="shared" si="38"/>
        <v>466.6</v>
      </c>
      <c r="P428" s="2">
        <f t="shared" si="39"/>
        <v>1.4157842036593138</v>
      </c>
      <c r="Q428" s="3">
        <f t="shared" si="40"/>
        <v>0.14126446635233605</v>
      </c>
    </row>
    <row r="429" spans="1:17" hidden="1" x14ac:dyDescent="0.25">
      <c r="A429" t="s">
        <v>487</v>
      </c>
      <c r="B429" t="s">
        <v>51</v>
      </c>
      <c r="C429" t="s">
        <v>44</v>
      </c>
      <c r="D429" t="str">
        <f t="shared" si="36"/>
        <v>IL</v>
      </c>
      <c r="E429" t="str">
        <f t="shared" si="37"/>
        <v>Midwest</v>
      </c>
      <c r="F429" t="s">
        <v>42</v>
      </c>
      <c r="G429" s="1">
        <v>45264</v>
      </c>
      <c r="H429" s="1">
        <v>45266</v>
      </c>
      <c r="I429" s="1">
        <f t="shared" si="41"/>
        <v>45266</v>
      </c>
      <c r="J429" s="2">
        <v>10.199999999999999</v>
      </c>
      <c r="K429" s="2">
        <v>120.04</v>
      </c>
      <c r="L429" t="s">
        <v>15</v>
      </c>
      <c r="M429" s="2">
        <v>790</v>
      </c>
      <c r="N429" s="2">
        <v>2</v>
      </c>
      <c r="O429" s="2">
        <f t="shared" si="38"/>
        <v>395</v>
      </c>
      <c r="P429" s="2">
        <f t="shared" si="39"/>
        <v>3.2905698100633121</v>
      </c>
      <c r="Q429" s="3">
        <f t="shared" si="40"/>
        <v>0.1519493670886076</v>
      </c>
    </row>
    <row r="430" spans="1:17" x14ac:dyDescent="0.25">
      <c r="A430" t="s">
        <v>488</v>
      </c>
      <c r="B430" t="s">
        <v>35</v>
      </c>
      <c r="C430" t="s">
        <v>13</v>
      </c>
      <c r="D430" t="str">
        <f t="shared" si="36"/>
        <v>CA</v>
      </c>
      <c r="E430" t="str">
        <f t="shared" si="37"/>
        <v>West</v>
      </c>
      <c r="F430" t="s">
        <v>18</v>
      </c>
      <c r="G430" s="1">
        <v>45019</v>
      </c>
      <c r="H430" s="1">
        <v>45027</v>
      </c>
      <c r="I430" s="1">
        <f t="shared" si="41"/>
        <v>45027</v>
      </c>
      <c r="J430" s="2">
        <v>5.2</v>
      </c>
      <c r="K430" s="2">
        <v>216.66</v>
      </c>
      <c r="L430" t="s">
        <v>15</v>
      </c>
      <c r="M430" s="2">
        <v>1605</v>
      </c>
      <c r="N430" s="2">
        <v>8</v>
      </c>
      <c r="O430" s="2">
        <f t="shared" si="38"/>
        <v>200.625</v>
      </c>
      <c r="P430" s="2">
        <f t="shared" si="39"/>
        <v>0.92599003046247574</v>
      </c>
      <c r="Q430" s="3">
        <f t="shared" si="40"/>
        <v>0.13499065420560746</v>
      </c>
    </row>
    <row r="431" spans="1:17" x14ac:dyDescent="0.25">
      <c r="A431" t="s">
        <v>489</v>
      </c>
      <c r="B431" t="s">
        <v>27</v>
      </c>
      <c r="C431" t="s">
        <v>24</v>
      </c>
      <c r="D431" t="str">
        <f t="shared" si="36"/>
        <v>WA</v>
      </c>
      <c r="E431" t="str">
        <f t="shared" si="37"/>
        <v>West</v>
      </c>
      <c r="F431" t="s">
        <v>14</v>
      </c>
      <c r="G431" s="1">
        <v>45231</v>
      </c>
      <c r="H431" s="1">
        <v>45235</v>
      </c>
      <c r="I431" s="1">
        <f t="shared" si="41"/>
        <v>45235</v>
      </c>
      <c r="J431" s="2">
        <v>26</v>
      </c>
      <c r="K431" s="2">
        <v>183.17</v>
      </c>
      <c r="L431" t="s">
        <v>15</v>
      </c>
      <c r="M431" s="2">
        <v>1019</v>
      </c>
      <c r="N431" s="2">
        <v>4</v>
      </c>
      <c r="O431" s="2">
        <f t="shared" si="38"/>
        <v>254.75</v>
      </c>
      <c r="P431" s="2">
        <f t="shared" si="39"/>
        <v>1.3907845171152482</v>
      </c>
      <c r="Q431" s="3">
        <f t="shared" si="40"/>
        <v>0.17975466143277721</v>
      </c>
    </row>
    <row r="432" spans="1:17" x14ac:dyDescent="0.25">
      <c r="A432" t="s">
        <v>490</v>
      </c>
      <c r="B432" t="s">
        <v>51</v>
      </c>
      <c r="C432" t="s">
        <v>13</v>
      </c>
      <c r="D432" t="str">
        <f t="shared" si="36"/>
        <v>CA</v>
      </c>
      <c r="E432" t="str">
        <f t="shared" si="37"/>
        <v>West</v>
      </c>
      <c r="F432" t="s">
        <v>59</v>
      </c>
      <c r="G432" s="1">
        <v>45185</v>
      </c>
      <c r="H432" s="1">
        <v>45189</v>
      </c>
      <c r="I432" s="1">
        <f t="shared" si="41"/>
        <v>45189</v>
      </c>
      <c r="J432" s="2">
        <v>13.2</v>
      </c>
      <c r="K432" s="2">
        <v>256.52999999999997</v>
      </c>
      <c r="L432" t="s">
        <v>15</v>
      </c>
      <c r="M432" s="2">
        <v>1945</v>
      </c>
      <c r="N432" s="2">
        <v>4</v>
      </c>
      <c r="O432" s="2">
        <f t="shared" si="38"/>
        <v>486.25</v>
      </c>
      <c r="P432" s="2">
        <f t="shared" si="39"/>
        <v>1.8954898062604766</v>
      </c>
      <c r="Q432" s="3">
        <f t="shared" si="40"/>
        <v>0.13189203084832904</v>
      </c>
    </row>
    <row r="433" spans="1:17" hidden="1" x14ac:dyDescent="0.25">
      <c r="A433" t="s">
        <v>491</v>
      </c>
      <c r="B433" t="s">
        <v>39</v>
      </c>
      <c r="C433" t="s">
        <v>52</v>
      </c>
      <c r="D433" t="str">
        <f t="shared" si="36"/>
        <v>AZ</v>
      </c>
      <c r="E433" t="str">
        <f t="shared" si="37"/>
        <v>Southwest</v>
      </c>
      <c r="F433" t="s">
        <v>37</v>
      </c>
      <c r="G433" s="1">
        <v>45017</v>
      </c>
      <c r="H433" s="1">
        <v>45019</v>
      </c>
      <c r="I433" s="1">
        <f t="shared" si="41"/>
        <v>45019</v>
      </c>
      <c r="J433" s="2">
        <v>55.5</v>
      </c>
      <c r="K433" s="2">
        <v>169.22</v>
      </c>
      <c r="L433" t="s">
        <v>15</v>
      </c>
      <c r="M433" s="2">
        <v>804</v>
      </c>
      <c r="N433" s="2">
        <v>2</v>
      </c>
      <c r="O433" s="2">
        <f t="shared" si="38"/>
        <v>402</v>
      </c>
      <c r="P433" s="2">
        <f t="shared" si="39"/>
        <v>2.3756057203640233</v>
      </c>
      <c r="Q433" s="3">
        <f t="shared" si="40"/>
        <v>0.21047263681592041</v>
      </c>
    </row>
    <row r="434" spans="1:17" hidden="1" x14ac:dyDescent="0.25">
      <c r="A434" t="s">
        <v>492</v>
      </c>
      <c r="B434" t="s">
        <v>20</v>
      </c>
      <c r="C434" t="s">
        <v>28</v>
      </c>
      <c r="D434" t="str">
        <f t="shared" si="36"/>
        <v>TX</v>
      </c>
      <c r="E434" t="str">
        <f t="shared" si="37"/>
        <v>Southwest</v>
      </c>
      <c r="F434" t="s">
        <v>37</v>
      </c>
      <c r="G434" s="1">
        <v>45186</v>
      </c>
      <c r="H434" s="1">
        <v>45192</v>
      </c>
      <c r="I434" s="1">
        <f t="shared" si="41"/>
        <v>45192</v>
      </c>
      <c r="J434" s="2">
        <v>23.9</v>
      </c>
      <c r="K434" s="2">
        <v>188.32</v>
      </c>
      <c r="L434" t="s">
        <v>15</v>
      </c>
      <c r="M434" s="2">
        <v>1435</v>
      </c>
      <c r="N434" s="2">
        <v>6</v>
      </c>
      <c r="O434" s="2">
        <f t="shared" si="38"/>
        <v>239.16666666666666</v>
      </c>
      <c r="P434" s="2">
        <f t="shared" si="39"/>
        <v>1.2700014160294535</v>
      </c>
      <c r="Q434" s="3">
        <f t="shared" si="40"/>
        <v>0.13123344947735191</v>
      </c>
    </row>
    <row r="435" spans="1:17" hidden="1" x14ac:dyDescent="0.25">
      <c r="A435" t="s">
        <v>493</v>
      </c>
      <c r="B435" t="s">
        <v>39</v>
      </c>
      <c r="C435" t="s">
        <v>52</v>
      </c>
      <c r="D435" t="str">
        <f t="shared" si="36"/>
        <v>AZ</v>
      </c>
      <c r="E435" t="str">
        <f t="shared" si="37"/>
        <v>Southwest</v>
      </c>
      <c r="F435" t="s">
        <v>37</v>
      </c>
      <c r="G435" s="1">
        <v>45026</v>
      </c>
      <c r="H435" s="1">
        <v>45029</v>
      </c>
      <c r="I435" s="1">
        <f t="shared" si="41"/>
        <v>45029</v>
      </c>
      <c r="J435" s="2">
        <v>31.6</v>
      </c>
      <c r="K435" s="2">
        <v>152.35</v>
      </c>
      <c r="L435" t="s">
        <v>62</v>
      </c>
      <c r="M435" s="2">
        <v>1081</v>
      </c>
      <c r="N435" s="2">
        <v>3</v>
      </c>
      <c r="O435" s="2">
        <f t="shared" si="38"/>
        <v>360.33333333333331</v>
      </c>
      <c r="P435" s="2">
        <f t="shared" si="39"/>
        <v>2.3651679247347115</v>
      </c>
      <c r="Q435" s="3">
        <f t="shared" si="40"/>
        <v>0.14093432007400555</v>
      </c>
    </row>
    <row r="436" spans="1:17" x14ac:dyDescent="0.25">
      <c r="A436" t="s">
        <v>494</v>
      </c>
      <c r="B436" t="s">
        <v>49</v>
      </c>
      <c r="C436" t="s">
        <v>24</v>
      </c>
      <c r="D436" t="str">
        <f t="shared" si="36"/>
        <v>WA</v>
      </c>
      <c r="E436" t="str">
        <f t="shared" si="37"/>
        <v>West</v>
      </c>
      <c r="F436" t="s">
        <v>32</v>
      </c>
      <c r="G436" s="1">
        <v>45259</v>
      </c>
      <c r="H436" s="1">
        <v>45265</v>
      </c>
      <c r="I436" s="1">
        <f t="shared" si="41"/>
        <v>45265</v>
      </c>
      <c r="J436" s="2">
        <v>34</v>
      </c>
      <c r="K436" s="2">
        <v>234.67</v>
      </c>
      <c r="L436" t="s">
        <v>15</v>
      </c>
      <c r="M436" s="2">
        <v>1211</v>
      </c>
      <c r="N436" s="2">
        <v>6</v>
      </c>
      <c r="O436" s="2">
        <f t="shared" si="38"/>
        <v>201.83333333333334</v>
      </c>
      <c r="P436" s="2">
        <f t="shared" si="39"/>
        <v>0.86007301032655792</v>
      </c>
      <c r="Q436" s="3">
        <f t="shared" si="40"/>
        <v>0.19378199834847232</v>
      </c>
    </row>
    <row r="437" spans="1:17" x14ac:dyDescent="0.25">
      <c r="A437" t="s">
        <v>495</v>
      </c>
      <c r="B437" t="s">
        <v>39</v>
      </c>
      <c r="C437" t="s">
        <v>70</v>
      </c>
      <c r="D437" t="str">
        <f t="shared" si="36"/>
        <v>CA</v>
      </c>
      <c r="E437" t="str">
        <f t="shared" si="37"/>
        <v>West</v>
      </c>
      <c r="F437" t="s">
        <v>18</v>
      </c>
      <c r="G437" s="1">
        <v>45135</v>
      </c>
      <c r="I437" s="1">
        <f t="shared" si="41"/>
        <v>45139</v>
      </c>
      <c r="J437" s="2">
        <v>29.3</v>
      </c>
      <c r="K437" s="2">
        <v>171.21</v>
      </c>
      <c r="L437" t="s">
        <v>15</v>
      </c>
      <c r="M437" s="2">
        <v>916</v>
      </c>
      <c r="N437" s="2">
        <v>4</v>
      </c>
      <c r="O437" s="2">
        <f t="shared" si="38"/>
        <v>229</v>
      </c>
      <c r="P437" s="2">
        <f t="shared" si="39"/>
        <v>1.3375386951696746</v>
      </c>
      <c r="Q437" s="3">
        <f t="shared" si="40"/>
        <v>0.18691048034934499</v>
      </c>
    </row>
    <row r="438" spans="1:17" hidden="1" x14ac:dyDescent="0.25">
      <c r="A438" t="s">
        <v>496</v>
      </c>
      <c r="B438" t="s">
        <v>23</v>
      </c>
      <c r="C438" t="s">
        <v>44</v>
      </c>
      <c r="D438" t="str">
        <f t="shared" si="36"/>
        <v>IL</v>
      </c>
      <c r="E438" t="str">
        <f t="shared" si="37"/>
        <v>Midwest</v>
      </c>
      <c r="F438" t="s">
        <v>59</v>
      </c>
      <c r="G438" s="1">
        <v>45030</v>
      </c>
      <c r="H438" s="1">
        <v>45034</v>
      </c>
      <c r="I438" s="1">
        <f t="shared" si="41"/>
        <v>45034</v>
      </c>
      <c r="J438" s="2">
        <v>87.5</v>
      </c>
      <c r="K438" s="2">
        <v>322.08999999999997</v>
      </c>
      <c r="L438" t="s">
        <v>15</v>
      </c>
      <c r="M438" s="2">
        <v>1941</v>
      </c>
      <c r="N438" s="2">
        <v>4</v>
      </c>
      <c r="O438" s="2">
        <f t="shared" si="38"/>
        <v>485.25</v>
      </c>
      <c r="P438" s="2">
        <f t="shared" si="39"/>
        <v>1.5065664876276819</v>
      </c>
      <c r="Q438" s="3">
        <f t="shared" si="40"/>
        <v>0.16594023699124161</v>
      </c>
    </row>
    <row r="439" spans="1:17" hidden="1" x14ac:dyDescent="0.25">
      <c r="A439" t="s">
        <v>497</v>
      </c>
      <c r="B439" t="s">
        <v>35</v>
      </c>
      <c r="C439" t="s">
        <v>21</v>
      </c>
      <c r="D439" t="str">
        <f t="shared" ref="D439:D501" si="42">IF(C439="Atlanta","GA",
IF(C439="Boston","MA",
IF(C439="Chicago","IL",
IF(C439="Dallas","TX",
IF(C439="Denver","CO",
IF(C439="Detroit","MI",
IF(C439="Houston","TX",
IF(C439="Los Angeles","CA",
IF(C439="Miami","FL",
IF(C439="Minneapolis","MN",
IF(C439="New York","NY",
IF(C439="Phoenix","AZ",
IF(C439="Portland","OR",
IF(C439="San Francisco","CA",
IF(C439="Seattle","WA","Unknown")))))))))))))))</f>
        <v>TX</v>
      </c>
      <c r="E439" t="str">
        <f t="shared" ref="E439:E501" si="43">IF(OR(D439="NY",D439="NJ",D439="PA",D439="MA",D439="CT",D439="RI",D439="VT",D439="NH",D439="ME"),"Northeast",
IF(OR(D439="FL",D439="GA",D439="AL",D439="MS",D439="SC",D439="NC",D439="TN",D439="KY"),"Southeast",
IF(OR(D439="IL",D439="IN",D439="OH",D439="MI",D439="WI",D439="MN",D439="IA",D439="MO",D439="KS",D439="NE",D439="ND",D439="SD"),"Midwest",
IF(OR(D439="TX",D439="OK",D439="NM",D439="AZ"),"Southwest",
IF(OR(D439="CA",D439="OR",D439="WA",D439="NV",D439="CO",D439="UT",D439="ID",D439="MT",D439="WY",D439="AK",D439="HI"),"West","Other")))))</f>
        <v>Southwest</v>
      </c>
      <c r="F439" t="s">
        <v>25</v>
      </c>
      <c r="G439" s="1">
        <v>45198</v>
      </c>
      <c r="H439" s="1">
        <v>45203</v>
      </c>
      <c r="I439" s="1">
        <f t="shared" si="41"/>
        <v>45203</v>
      </c>
      <c r="J439" s="2">
        <v>6.6</v>
      </c>
      <c r="K439" s="2">
        <v>211.32</v>
      </c>
      <c r="L439" t="s">
        <v>15</v>
      </c>
      <c r="M439" s="2">
        <v>1560</v>
      </c>
      <c r="N439" s="2">
        <v>5</v>
      </c>
      <c r="O439" s="2">
        <f t="shared" ref="O439:O501" si="44">M439/N439</f>
        <v>312</v>
      </c>
      <c r="P439" s="2">
        <f t="shared" ref="P439:P501" si="45">O439/K439</f>
        <v>1.4764338444065872</v>
      </c>
      <c r="Q439" s="3">
        <f t="shared" ref="Q439:Q501" si="46">K439/M439</f>
        <v>0.13546153846153847</v>
      </c>
    </row>
    <row r="440" spans="1:17" hidden="1" x14ac:dyDescent="0.25">
      <c r="A440" t="s">
        <v>498</v>
      </c>
      <c r="B440" t="s">
        <v>23</v>
      </c>
      <c r="C440" t="s">
        <v>44</v>
      </c>
      <c r="D440" t="str">
        <f t="shared" si="42"/>
        <v>IL</v>
      </c>
      <c r="E440" t="str">
        <f t="shared" si="43"/>
        <v>Midwest</v>
      </c>
      <c r="F440" t="s">
        <v>18</v>
      </c>
      <c r="G440" s="1">
        <v>45183</v>
      </c>
      <c r="H440" s="1">
        <v>45188</v>
      </c>
      <c r="I440" s="1">
        <f t="shared" si="41"/>
        <v>45188</v>
      </c>
      <c r="J440" s="2">
        <v>14.2</v>
      </c>
      <c r="K440" s="2">
        <v>279.38</v>
      </c>
      <c r="L440" t="s">
        <v>15</v>
      </c>
      <c r="M440" s="2">
        <v>1843</v>
      </c>
      <c r="N440" s="2">
        <v>5</v>
      </c>
      <c r="O440" s="2">
        <f t="shared" si="44"/>
        <v>368.6</v>
      </c>
      <c r="P440" s="2">
        <f t="shared" si="45"/>
        <v>1.3193499892619371</v>
      </c>
      <c r="Q440" s="3">
        <f t="shared" si="46"/>
        <v>0.15158979924036897</v>
      </c>
    </row>
    <row r="441" spans="1:17" x14ac:dyDescent="0.25">
      <c r="A441" t="s">
        <v>499</v>
      </c>
      <c r="B441" t="s">
        <v>49</v>
      </c>
      <c r="C441" t="s">
        <v>24</v>
      </c>
      <c r="D441" t="str">
        <f t="shared" si="42"/>
        <v>WA</v>
      </c>
      <c r="E441" t="str">
        <f t="shared" si="43"/>
        <v>West</v>
      </c>
      <c r="F441" t="s">
        <v>25</v>
      </c>
      <c r="G441" s="1">
        <v>44991</v>
      </c>
      <c r="H441" s="1">
        <v>44999</v>
      </c>
      <c r="I441" s="1">
        <f t="shared" si="41"/>
        <v>44999</v>
      </c>
      <c r="J441" s="2">
        <v>8.3000000000000007</v>
      </c>
      <c r="K441" s="2">
        <v>274.13</v>
      </c>
      <c r="L441" t="s">
        <v>15</v>
      </c>
      <c r="M441" s="2">
        <v>2418</v>
      </c>
      <c r="N441" s="2">
        <v>8</v>
      </c>
      <c r="O441" s="2">
        <f t="shared" si="44"/>
        <v>302.25</v>
      </c>
      <c r="P441" s="2">
        <f t="shared" si="45"/>
        <v>1.1025790683252472</v>
      </c>
      <c r="Q441" s="3">
        <f t="shared" si="46"/>
        <v>0.11337055417700578</v>
      </c>
    </row>
    <row r="442" spans="1:17" x14ac:dyDescent="0.25">
      <c r="A442" t="s">
        <v>500</v>
      </c>
      <c r="B442" t="s">
        <v>23</v>
      </c>
      <c r="C442" t="s">
        <v>13</v>
      </c>
      <c r="D442" t="str">
        <f t="shared" si="42"/>
        <v>CA</v>
      </c>
      <c r="E442" t="str">
        <f t="shared" si="43"/>
        <v>West</v>
      </c>
      <c r="F442" t="s">
        <v>42</v>
      </c>
      <c r="G442" s="1">
        <v>44930</v>
      </c>
      <c r="H442" s="1">
        <v>44947</v>
      </c>
      <c r="I442" s="1">
        <f t="shared" si="41"/>
        <v>44947</v>
      </c>
      <c r="J442" s="2">
        <v>18</v>
      </c>
      <c r="K442" s="2">
        <v>271.68</v>
      </c>
      <c r="L442" t="s">
        <v>47</v>
      </c>
      <c r="M442" s="2">
        <v>2067</v>
      </c>
      <c r="N442" s="2">
        <v>5</v>
      </c>
      <c r="O442" s="2">
        <f t="shared" si="44"/>
        <v>413.4</v>
      </c>
      <c r="P442" s="2">
        <f t="shared" si="45"/>
        <v>1.521643109540636</v>
      </c>
      <c r="Q442" s="3">
        <f t="shared" si="46"/>
        <v>0.13143686502177068</v>
      </c>
    </row>
    <row r="443" spans="1:17" x14ac:dyDescent="0.25">
      <c r="A443" t="s">
        <v>501</v>
      </c>
      <c r="B443" t="s">
        <v>51</v>
      </c>
      <c r="C443" t="s">
        <v>36</v>
      </c>
      <c r="D443" t="str">
        <f t="shared" si="42"/>
        <v>OR</v>
      </c>
      <c r="E443" t="str">
        <f t="shared" si="43"/>
        <v>West</v>
      </c>
      <c r="F443" t="s">
        <v>25</v>
      </c>
      <c r="G443" s="1">
        <v>44947</v>
      </c>
      <c r="H443" s="1">
        <v>44949</v>
      </c>
      <c r="I443" s="1">
        <f t="shared" si="41"/>
        <v>44949</v>
      </c>
      <c r="J443" s="2">
        <v>45</v>
      </c>
      <c r="K443" s="2">
        <v>124.14</v>
      </c>
      <c r="L443" t="s">
        <v>15</v>
      </c>
      <c r="M443" s="2">
        <v>568</v>
      </c>
      <c r="N443" s="2">
        <v>2</v>
      </c>
      <c r="O443" s="2">
        <f t="shared" si="44"/>
        <v>284</v>
      </c>
      <c r="P443" s="2">
        <f t="shared" si="45"/>
        <v>2.2877396487836315</v>
      </c>
      <c r="Q443" s="3">
        <f t="shared" si="46"/>
        <v>0.21855633802816901</v>
      </c>
    </row>
    <row r="444" spans="1:17" x14ac:dyDescent="0.25">
      <c r="A444" t="s">
        <v>502</v>
      </c>
      <c r="B444" t="s">
        <v>51</v>
      </c>
      <c r="C444" t="s">
        <v>13</v>
      </c>
      <c r="D444" t="str">
        <f t="shared" si="42"/>
        <v>CA</v>
      </c>
      <c r="E444" t="str">
        <f t="shared" si="43"/>
        <v>West</v>
      </c>
      <c r="F444" t="s">
        <v>32</v>
      </c>
      <c r="G444" s="1">
        <v>45086</v>
      </c>
      <c r="H444" s="1">
        <v>45092</v>
      </c>
      <c r="I444" s="1">
        <f t="shared" si="41"/>
        <v>45092</v>
      </c>
      <c r="J444" s="2">
        <v>8.1</v>
      </c>
      <c r="K444" s="2">
        <v>119.16</v>
      </c>
      <c r="L444" t="s">
        <v>15</v>
      </c>
      <c r="M444" s="2">
        <v>906</v>
      </c>
      <c r="N444" s="2">
        <v>6</v>
      </c>
      <c r="O444" s="2">
        <f t="shared" si="44"/>
        <v>151</v>
      </c>
      <c r="P444" s="2">
        <f t="shared" si="45"/>
        <v>1.2672037596508896</v>
      </c>
      <c r="Q444" s="3">
        <f t="shared" si="46"/>
        <v>0.13152317880794701</v>
      </c>
    </row>
    <row r="445" spans="1:17" hidden="1" x14ac:dyDescent="0.25">
      <c r="A445" t="s">
        <v>503</v>
      </c>
      <c r="B445" t="s">
        <v>49</v>
      </c>
      <c r="C445" t="s">
        <v>21</v>
      </c>
      <c r="D445" t="str">
        <f t="shared" si="42"/>
        <v>TX</v>
      </c>
      <c r="E445" t="str">
        <f t="shared" si="43"/>
        <v>Southwest</v>
      </c>
      <c r="F445" t="s">
        <v>59</v>
      </c>
      <c r="G445" s="1">
        <v>44944</v>
      </c>
      <c r="H445" s="1">
        <v>44949</v>
      </c>
      <c r="I445" s="1">
        <f t="shared" si="41"/>
        <v>44949</v>
      </c>
      <c r="J445" s="2">
        <v>16.3</v>
      </c>
      <c r="K445" s="2">
        <v>87.95</v>
      </c>
      <c r="L445" t="s">
        <v>15</v>
      </c>
      <c r="M445" s="2">
        <v>642</v>
      </c>
      <c r="N445" s="2">
        <v>5</v>
      </c>
      <c r="O445" s="2">
        <f t="shared" si="44"/>
        <v>128.4</v>
      </c>
      <c r="P445" s="2">
        <f t="shared" si="45"/>
        <v>1.4599204093234792</v>
      </c>
      <c r="Q445" s="3">
        <f t="shared" si="46"/>
        <v>0.13699376947040498</v>
      </c>
    </row>
    <row r="446" spans="1:17" hidden="1" x14ac:dyDescent="0.25">
      <c r="A446" t="s">
        <v>504</v>
      </c>
      <c r="B446" t="s">
        <v>35</v>
      </c>
      <c r="C446" t="s">
        <v>21</v>
      </c>
      <c r="D446" t="str">
        <f t="shared" si="42"/>
        <v>TX</v>
      </c>
      <c r="E446" t="str">
        <f t="shared" si="43"/>
        <v>Southwest</v>
      </c>
      <c r="F446" t="s">
        <v>59</v>
      </c>
      <c r="G446" s="1">
        <v>45233</v>
      </c>
      <c r="H446" s="1">
        <v>45238</v>
      </c>
      <c r="I446" s="1">
        <f t="shared" si="41"/>
        <v>45238</v>
      </c>
      <c r="J446" s="2">
        <v>10.9</v>
      </c>
      <c r="K446" s="2">
        <v>281.08</v>
      </c>
      <c r="L446" t="s">
        <v>15</v>
      </c>
      <c r="M446" s="2">
        <v>1954</v>
      </c>
      <c r="N446" s="2">
        <v>5</v>
      </c>
      <c r="O446" s="2">
        <f t="shared" si="44"/>
        <v>390.8</v>
      </c>
      <c r="P446" s="2">
        <f t="shared" si="45"/>
        <v>1.3903515013519283</v>
      </c>
      <c r="Q446" s="3">
        <f t="shared" si="46"/>
        <v>0.14384851586489253</v>
      </c>
    </row>
    <row r="447" spans="1:17" hidden="1" x14ac:dyDescent="0.25">
      <c r="A447" t="s">
        <v>505</v>
      </c>
      <c r="B447" t="s">
        <v>12</v>
      </c>
      <c r="C447" t="s">
        <v>46</v>
      </c>
      <c r="D447" t="str">
        <f t="shared" si="42"/>
        <v>MA</v>
      </c>
      <c r="E447" t="str">
        <f t="shared" si="43"/>
        <v>Northeast</v>
      </c>
      <c r="F447" t="s">
        <v>32</v>
      </c>
      <c r="G447" s="1">
        <v>45000</v>
      </c>
      <c r="H447" s="1">
        <v>45006</v>
      </c>
      <c r="I447" s="1">
        <f t="shared" si="41"/>
        <v>45006</v>
      </c>
      <c r="J447" s="2">
        <v>6</v>
      </c>
      <c r="K447" s="2">
        <v>311.67</v>
      </c>
      <c r="L447" t="s">
        <v>15</v>
      </c>
      <c r="M447" s="2">
        <v>2192</v>
      </c>
      <c r="N447" s="2">
        <v>6</v>
      </c>
      <c r="O447" s="2">
        <f t="shared" si="44"/>
        <v>365.33333333333331</v>
      </c>
      <c r="P447" s="2">
        <f t="shared" si="45"/>
        <v>1.1721799766847412</v>
      </c>
      <c r="Q447" s="3">
        <f t="shared" si="46"/>
        <v>0.14218521897810218</v>
      </c>
    </row>
    <row r="448" spans="1:17" x14ac:dyDescent="0.25">
      <c r="A448" t="s">
        <v>506</v>
      </c>
      <c r="B448" t="s">
        <v>27</v>
      </c>
      <c r="C448" t="s">
        <v>81</v>
      </c>
      <c r="D448" t="str">
        <f t="shared" si="42"/>
        <v>CO</v>
      </c>
      <c r="E448" t="str">
        <f t="shared" si="43"/>
        <v>West</v>
      </c>
      <c r="F448" t="s">
        <v>14</v>
      </c>
      <c r="G448" s="1">
        <v>45184</v>
      </c>
      <c r="H448" s="1">
        <v>45187</v>
      </c>
      <c r="I448" s="1">
        <f t="shared" si="41"/>
        <v>45187</v>
      </c>
      <c r="J448" s="2">
        <v>33.6</v>
      </c>
      <c r="K448" s="2">
        <v>195.61</v>
      </c>
      <c r="L448" t="s">
        <v>15</v>
      </c>
      <c r="M448" s="2">
        <v>1113</v>
      </c>
      <c r="N448" s="2">
        <v>3</v>
      </c>
      <c r="O448" s="2">
        <f t="shared" si="44"/>
        <v>371</v>
      </c>
      <c r="P448" s="2">
        <f t="shared" si="45"/>
        <v>1.8966310515822298</v>
      </c>
      <c r="Q448" s="3">
        <f t="shared" si="46"/>
        <v>0.17575022461814915</v>
      </c>
    </row>
    <row r="449" spans="1:17" hidden="1" x14ac:dyDescent="0.25">
      <c r="A449" t="s">
        <v>507</v>
      </c>
      <c r="B449" t="s">
        <v>27</v>
      </c>
      <c r="C449" t="s">
        <v>40</v>
      </c>
      <c r="D449" t="str">
        <f t="shared" si="42"/>
        <v>MI</v>
      </c>
      <c r="E449" t="str">
        <f t="shared" si="43"/>
        <v>Midwest</v>
      </c>
      <c r="F449" t="s">
        <v>18</v>
      </c>
      <c r="G449" s="1">
        <v>44974</v>
      </c>
      <c r="H449" s="1">
        <v>44982</v>
      </c>
      <c r="I449" s="1">
        <f t="shared" si="41"/>
        <v>44982</v>
      </c>
      <c r="J449" s="2">
        <v>11.8</v>
      </c>
      <c r="K449" s="2">
        <v>283.33999999999997</v>
      </c>
      <c r="L449" t="s">
        <v>15</v>
      </c>
      <c r="M449" s="2">
        <v>1837</v>
      </c>
      <c r="N449" s="2">
        <v>8</v>
      </c>
      <c r="O449" s="2">
        <f t="shared" si="44"/>
        <v>229.625</v>
      </c>
      <c r="P449" s="2">
        <f t="shared" si="45"/>
        <v>0.81042210771511269</v>
      </c>
      <c r="Q449" s="3">
        <f t="shared" si="46"/>
        <v>0.15424060968971148</v>
      </c>
    </row>
    <row r="450" spans="1:17" hidden="1" x14ac:dyDescent="0.25">
      <c r="A450" t="s">
        <v>509</v>
      </c>
      <c r="B450" t="s">
        <v>20</v>
      </c>
      <c r="C450" t="s">
        <v>57</v>
      </c>
      <c r="D450" t="str">
        <f t="shared" si="42"/>
        <v>MN</v>
      </c>
      <c r="E450" t="str">
        <f t="shared" si="43"/>
        <v>Midwest</v>
      </c>
      <c r="F450" t="s">
        <v>32</v>
      </c>
      <c r="G450" s="1">
        <v>45154</v>
      </c>
      <c r="H450" s="1">
        <v>45155</v>
      </c>
      <c r="I450" s="1">
        <f t="shared" ref="I450:I513" si="47">IF(H450="", G450 + N450, H450)</f>
        <v>45155</v>
      </c>
      <c r="J450" s="2">
        <v>21.4</v>
      </c>
      <c r="K450" s="2">
        <v>49.49</v>
      </c>
      <c r="L450" t="s">
        <v>15</v>
      </c>
      <c r="M450" s="2">
        <v>162</v>
      </c>
      <c r="N450" s="2">
        <v>1</v>
      </c>
      <c r="O450" s="2">
        <f t="shared" si="44"/>
        <v>162</v>
      </c>
      <c r="P450" s="2">
        <f t="shared" si="45"/>
        <v>3.2733885633461304</v>
      </c>
      <c r="Q450" s="3">
        <f t="shared" si="46"/>
        <v>0.30549382716049384</v>
      </c>
    </row>
    <row r="451" spans="1:17" hidden="1" x14ac:dyDescent="0.25">
      <c r="A451" t="s">
        <v>510</v>
      </c>
      <c r="B451" t="s">
        <v>49</v>
      </c>
      <c r="C451" t="s">
        <v>57</v>
      </c>
      <c r="D451" t="str">
        <f t="shared" si="42"/>
        <v>MN</v>
      </c>
      <c r="E451" t="str">
        <f t="shared" si="43"/>
        <v>Midwest</v>
      </c>
      <c r="F451" t="s">
        <v>59</v>
      </c>
      <c r="G451" s="1">
        <v>44984</v>
      </c>
      <c r="H451" s="1">
        <v>44990</v>
      </c>
      <c r="I451" s="1">
        <f t="shared" si="47"/>
        <v>44990</v>
      </c>
      <c r="J451" s="2">
        <v>31.3</v>
      </c>
      <c r="K451" s="2">
        <v>308.27999999999997</v>
      </c>
      <c r="L451" t="s">
        <v>15</v>
      </c>
      <c r="M451" s="2">
        <v>2454</v>
      </c>
      <c r="N451" s="2">
        <v>6</v>
      </c>
      <c r="O451" s="2">
        <f t="shared" si="44"/>
        <v>409</v>
      </c>
      <c r="P451" s="2">
        <f t="shared" si="45"/>
        <v>1.3267159724925395</v>
      </c>
      <c r="Q451" s="3">
        <f t="shared" si="46"/>
        <v>0.12562347188264059</v>
      </c>
    </row>
    <row r="452" spans="1:17" hidden="1" x14ac:dyDescent="0.25">
      <c r="A452" t="s">
        <v>511</v>
      </c>
      <c r="B452" t="s">
        <v>39</v>
      </c>
      <c r="C452" t="s">
        <v>28</v>
      </c>
      <c r="D452" t="str">
        <f t="shared" si="42"/>
        <v>TX</v>
      </c>
      <c r="E452" t="str">
        <f t="shared" si="43"/>
        <v>Southwest</v>
      </c>
      <c r="F452" t="s">
        <v>42</v>
      </c>
      <c r="G452" s="1">
        <v>45224</v>
      </c>
      <c r="H452" s="1">
        <v>45226</v>
      </c>
      <c r="I452" s="1">
        <f t="shared" si="47"/>
        <v>45226</v>
      </c>
      <c r="J452" s="2">
        <v>38.9</v>
      </c>
      <c r="K452" s="2">
        <v>114.76</v>
      </c>
      <c r="L452" t="s">
        <v>15</v>
      </c>
      <c r="M452" s="2">
        <v>603</v>
      </c>
      <c r="N452" s="2">
        <v>2</v>
      </c>
      <c r="O452" s="2">
        <f t="shared" si="44"/>
        <v>301.5</v>
      </c>
      <c r="P452" s="2">
        <f t="shared" si="45"/>
        <v>2.6272220285813872</v>
      </c>
      <c r="Q452" s="3">
        <f t="shared" si="46"/>
        <v>0.1903150912106136</v>
      </c>
    </row>
    <row r="453" spans="1:17" hidden="1" x14ac:dyDescent="0.25">
      <c r="A453" t="s">
        <v>512</v>
      </c>
      <c r="B453" t="s">
        <v>23</v>
      </c>
      <c r="C453" t="s">
        <v>44</v>
      </c>
      <c r="D453" t="str">
        <f t="shared" si="42"/>
        <v>IL</v>
      </c>
      <c r="E453" t="str">
        <f t="shared" si="43"/>
        <v>Midwest</v>
      </c>
      <c r="F453" t="s">
        <v>42</v>
      </c>
      <c r="G453" s="1">
        <v>45269</v>
      </c>
      <c r="H453" s="1">
        <v>45273</v>
      </c>
      <c r="I453" s="1">
        <f t="shared" si="47"/>
        <v>45273</v>
      </c>
      <c r="J453" s="2">
        <v>29</v>
      </c>
      <c r="K453" s="2">
        <v>228.35</v>
      </c>
      <c r="L453" t="s">
        <v>15</v>
      </c>
      <c r="M453" s="2">
        <v>1340</v>
      </c>
      <c r="N453" s="2">
        <v>4</v>
      </c>
      <c r="O453" s="2">
        <f t="shared" si="44"/>
        <v>335</v>
      </c>
      <c r="P453" s="2">
        <f t="shared" si="45"/>
        <v>1.4670462010072258</v>
      </c>
      <c r="Q453" s="3">
        <f t="shared" si="46"/>
        <v>0.17041044776119402</v>
      </c>
    </row>
    <row r="454" spans="1:17" hidden="1" x14ac:dyDescent="0.25">
      <c r="A454" t="s">
        <v>513</v>
      </c>
      <c r="B454" t="s">
        <v>27</v>
      </c>
      <c r="C454" t="s">
        <v>52</v>
      </c>
      <c r="D454" t="str">
        <f t="shared" si="42"/>
        <v>AZ</v>
      </c>
      <c r="E454" t="str">
        <f t="shared" si="43"/>
        <v>Southwest</v>
      </c>
      <c r="F454" t="s">
        <v>59</v>
      </c>
      <c r="G454" s="1">
        <v>45123</v>
      </c>
      <c r="H454" s="1">
        <v>45127</v>
      </c>
      <c r="I454" s="1">
        <f t="shared" si="47"/>
        <v>45127</v>
      </c>
      <c r="J454" s="2">
        <v>39.6</v>
      </c>
      <c r="K454" s="2">
        <v>270.85000000000002</v>
      </c>
      <c r="L454" t="s">
        <v>15</v>
      </c>
      <c r="M454" s="2">
        <v>1963</v>
      </c>
      <c r="N454" s="2">
        <v>4</v>
      </c>
      <c r="O454" s="2">
        <f t="shared" si="44"/>
        <v>490.75</v>
      </c>
      <c r="P454" s="2">
        <f t="shared" si="45"/>
        <v>1.8118884991692816</v>
      </c>
      <c r="Q454" s="3">
        <f t="shared" si="46"/>
        <v>0.13797758532857871</v>
      </c>
    </row>
    <row r="455" spans="1:17" hidden="1" x14ac:dyDescent="0.25">
      <c r="A455" t="s">
        <v>514</v>
      </c>
      <c r="B455" t="s">
        <v>20</v>
      </c>
      <c r="C455" t="s">
        <v>31</v>
      </c>
      <c r="D455" t="str">
        <f t="shared" si="42"/>
        <v>NY</v>
      </c>
      <c r="E455" t="str">
        <f t="shared" si="43"/>
        <v>Northeast</v>
      </c>
      <c r="F455" t="s">
        <v>42</v>
      </c>
      <c r="G455" s="1">
        <v>45049</v>
      </c>
      <c r="H455" s="1">
        <v>45054</v>
      </c>
      <c r="I455" s="1">
        <f t="shared" si="47"/>
        <v>45054</v>
      </c>
      <c r="J455" s="2">
        <v>11.8</v>
      </c>
      <c r="K455" s="2">
        <v>270.13</v>
      </c>
      <c r="L455" t="s">
        <v>15</v>
      </c>
      <c r="M455" s="2">
        <v>2254</v>
      </c>
      <c r="N455" s="2">
        <v>5</v>
      </c>
      <c r="O455" s="2">
        <f t="shared" si="44"/>
        <v>450.8</v>
      </c>
      <c r="P455" s="2">
        <f t="shared" si="45"/>
        <v>1.6688261207566728</v>
      </c>
      <c r="Q455" s="3">
        <f t="shared" si="46"/>
        <v>0.1198447204968944</v>
      </c>
    </row>
    <row r="456" spans="1:17" hidden="1" x14ac:dyDescent="0.25">
      <c r="A456" t="s">
        <v>515</v>
      </c>
      <c r="B456" t="s">
        <v>27</v>
      </c>
      <c r="C456" t="s">
        <v>28</v>
      </c>
      <c r="D456" t="str">
        <f t="shared" si="42"/>
        <v>TX</v>
      </c>
      <c r="E456" t="str">
        <f t="shared" si="43"/>
        <v>Southwest</v>
      </c>
      <c r="F456" t="s">
        <v>59</v>
      </c>
      <c r="G456" s="1">
        <v>45249</v>
      </c>
      <c r="H456" s="1">
        <v>45252</v>
      </c>
      <c r="I456" s="1">
        <f t="shared" si="47"/>
        <v>45252</v>
      </c>
      <c r="J456" s="2">
        <v>15.7</v>
      </c>
      <c r="K456" s="2">
        <v>121.5</v>
      </c>
      <c r="L456" t="s">
        <v>62</v>
      </c>
      <c r="M456" s="2">
        <v>664</v>
      </c>
      <c r="N456" s="2">
        <v>3</v>
      </c>
      <c r="O456" s="2">
        <f t="shared" si="44"/>
        <v>221.33333333333334</v>
      </c>
      <c r="P456" s="2">
        <f t="shared" si="45"/>
        <v>1.8216735253772292</v>
      </c>
      <c r="Q456" s="3">
        <f t="shared" si="46"/>
        <v>0.18298192771084337</v>
      </c>
    </row>
    <row r="457" spans="1:17" hidden="1" x14ac:dyDescent="0.25">
      <c r="A457" t="s">
        <v>516</v>
      </c>
      <c r="B457" t="s">
        <v>20</v>
      </c>
      <c r="C457" t="s">
        <v>28</v>
      </c>
      <c r="D457" t="str">
        <f t="shared" si="42"/>
        <v>TX</v>
      </c>
      <c r="E457" t="str">
        <f t="shared" si="43"/>
        <v>Southwest</v>
      </c>
      <c r="F457" t="s">
        <v>59</v>
      </c>
      <c r="G457" s="1">
        <v>44976</v>
      </c>
      <c r="H457" s="1">
        <v>44980</v>
      </c>
      <c r="I457" s="1">
        <f t="shared" si="47"/>
        <v>44980</v>
      </c>
      <c r="J457" s="2">
        <v>45.3</v>
      </c>
      <c r="K457" s="2">
        <v>195.45</v>
      </c>
      <c r="L457" t="s">
        <v>15</v>
      </c>
      <c r="M457" s="2">
        <v>1435</v>
      </c>
      <c r="N457" s="2">
        <v>4</v>
      </c>
      <c r="O457" s="2">
        <f t="shared" si="44"/>
        <v>358.75</v>
      </c>
      <c r="P457" s="2">
        <f t="shared" si="45"/>
        <v>1.835507802507035</v>
      </c>
      <c r="Q457" s="3">
        <f t="shared" si="46"/>
        <v>0.13620209059233448</v>
      </c>
    </row>
    <row r="458" spans="1:17" hidden="1" x14ac:dyDescent="0.25">
      <c r="A458" t="s">
        <v>517</v>
      </c>
      <c r="B458" t="s">
        <v>20</v>
      </c>
      <c r="C458" t="s">
        <v>28</v>
      </c>
      <c r="D458" t="str">
        <f t="shared" si="42"/>
        <v>TX</v>
      </c>
      <c r="E458" t="str">
        <f t="shared" si="43"/>
        <v>Southwest</v>
      </c>
      <c r="F458" t="s">
        <v>18</v>
      </c>
      <c r="G458" s="1">
        <v>45166</v>
      </c>
      <c r="H458" s="1">
        <v>45172</v>
      </c>
      <c r="I458" s="1">
        <f t="shared" si="47"/>
        <v>45172</v>
      </c>
      <c r="J458" s="2">
        <v>19.7</v>
      </c>
      <c r="K458" s="2">
        <v>244.45</v>
      </c>
      <c r="L458" t="s">
        <v>15</v>
      </c>
      <c r="M458" s="2">
        <v>1435</v>
      </c>
      <c r="N458" s="2">
        <v>6</v>
      </c>
      <c r="O458" s="2">
        <f t="shared" si="44"/>
        <v>239.16666666666666</v>
      </c>
      <c r="P458" s="2">
        <f t="shared" si="45"/>
        <v>0.97838685484420806</v>
      </c>
      <c r="Q458" s="3">
        <f t="shared" si="46"/>
        <v>0.17034843205574912</v>
      </c>
    </row>
    <row r="459" spans="1:17" hidden="1" x14ac:dyDescent="0.25">
      <c r="A459" t="s">
        <v>518</v>
      </c>
      <c r="B459" t="s">
        <v>35</v>
      </c>
      <c r="C459" t="s">
        <v>21</v>
      </c>
      <c r="D459" t="str">
        <f t="shared" si="42"/>
        <v>TX</v>
      </c>
      <c r="E459" t="str">
        <f t="shared" si="43"/>
        <v>Southwest</v>
      </c>
      <c r="F459" t="s">
        <v>14</v>
      </c>
      <c r="G459" s="1">
        <v>45037</v>
      </c>
      <c r="I459" s="1">
        <f t="shared" si="47"/>
        <v>45038</v>
      </c>
      <c r="J459" s="2">
        <v>8.6999999999999993</v>
      </c>
      <c r="K459" s="2">
        <v>35.590000000000003</v>
      </c>
      <c r="L459" t="s">
        <v>47</v>
      </c>
      <c r="M459" s="2">
        <v>195</v>
      </c>
      <c r="N459" s="2">
        <v>1</v>
      </c>
      <c r="O459" s="2">
        <f t="shared" si="44"/>
        <v>195</v>
      </c>
      <c r="P459" s="2">
        <f t="shared" si="45"/>
        <v>5.4790671536948574</v>
      </c>
      <c r="Q459" s="3">
        <f t="shared" si="46"/>
        <v>0.18251282051282053</v>
      </c>
    </row>
    <row r="460" spans="1:17" x14ac:dyDescent="0.25">
      <c r="A460" t="s">
        <v>519</v>
      </c>
      <c r="B460" t="s">
        <v>12</v>
      </c>
      <c r="C460" t="s">
        <v>70</v>
      </c>
      <c r="D460" t="str">
        <f t="shared" si="42"/>
        <v>CA</v>
      </c>
      <c r="E460" t="str">
        <f t="shared" si="43"/>
        <v>West</v>
      </c>
      <c r="F460" t="s">
        <v>42</v>
      </c>
      <c r="G460" s="1">
        <v>45215</v>
      </c>
      <c r="H460" s="1">
        <v>45221</v>
      </c>
      <c r="I460" s="1">
        <f t="shared" si="47"/>
        <v>45221</v>
      </c>
      <c r="J460" s="2">
        <v>10.5</v>
      </c>
      <c r="K460" s="2">
        <v>133.36000000000001</v>
      </c>
      <c r="L460" t="s">
        <v>15</v>
      </c>
      <c r="M460" s="2">
        <v>1072</v>
      </c>
      <c r="N460" s="2">
        <v>6</v>
      </c>
      <c r="O460" s="2">
        <f t="shared" si="44"/>
        <v>178.66666666666666</v>
      </c>
      <c r="P460" s="2">
        <f t="shared" si="45"/>
        <v>1.339732053589282</v>
      </c>
      <c r="Q460" s="3">
        <f t="shared" si="46"/>
        <v>0.12440298507462688</v>
      </c>
    </row>
    <row r="461" spans="1:17" x14ac:dyDescent="0.25">
      <c r="A461" t="s">
        <v>520</v>
      </c>
      <c r="B461" t="s">
        <v>39</v>
      </c>
      <c r="C461" t="s">
        <v>81</v>
      </c>
      <c r="D461" t="str">
        <f t="shared" si="42"/>
        <v>CO</v>
      </c>
      <c r="E461" t="str">
        <f t="shared" si="43"/>
        <v>West</v>
      </c>
      <c r="F461" t="s">
        <v>18</v>
      </c>
      <c r="G461" s="1">
        <v>45277</v>
      </c>
      <c r="H461" s="1">
        <v>45280</v>
      </c>
      <c r="I461" s="1">
        <f t="shared" si="47"/>
        <v>45280</v>
      </c>
      <c r="J461" s="2">
        <v>52.6</v>
      </c>
      <c r="K461" s="2">
        <v>258.14</v>
      </c>
      <c r="L461" t="s">
        <v>15</v>
      </c>
      <c r="M461" s="2">
        <v>1030</v>
      </c>
      <c r="N461" s="2">
        <v>3</v>
      </c>
      <c r="O461" s="2">
        <f t="shared" si="44"/>
        <v>343.33333333333331</v>
      </c>
      <c r="P461" s="2">
        <f t="shared" si="45"/>
        <v>1.3300276335838435</v>
      </c>
      <c r="Q461" s="3">
        <f t="shared" si="46"/>
        <v>0.25062135922330098</v>
      </c>
    </row>
    <row r="462" spans="1:17" hidden="1" x14ac:dyDescent="0.25">
      <c r="A462" t="s">
        <v>521</v>
      </c>
      <c r="B462" t="s">
        <v>12</v>
      </c>
      <c r="C462" t="s">
        <v>17</v>
      </c>
      <c r="D462" t="str">
        <f t="shared" si="42"/>
        <v>GA</v>
      </c>
      <c r="E462" t="str">
        <f t="shared" si="43"/>
        <v>Southeast</v>
      </c>
      <c r="F462" t="s">
        <v>32</v>
      </c>
      <c r="G462" s="1">
        <v>45081</v>
      </c>
      <c r="H462" s="1">
        <v>45086</v>
      </c>
      <c r="I462" s="1">
        <f t="shared" si="47"/>
        <v>45086</v>
      </c>
      <c r="J462" s="2">
        <v>27.7</v>
      </c>
      <c r="K462" s="2">
        <v>237.6</v>
      </c>
      <c r="L462" t="s">
        <v>15</v>
      </c>
      <c r="M462" s="2">
        <v>1363</v>
      </c>
      <c r="N462" s="2">
        <v>5</v>
      </c>
      <c r="O462" s="2">
        <f t="shared" si="44"/>
        <v>272.60000000000002</v>
      </c>
      <c r="P462" s="2">
        <f t="shared" si="45"/>
        <v>1.1473063973063975</v>
      </c>
      <c r="Q462" s="3">
        <f t="shared" si="46"/>
        <v>0.17432134996331622</v>
      </c>
    </row>
    <row r="463" spans="1:17" hidden="1" x14ac:dyDescent="0.25">
      <c r="A463" t="s">
        <v>522</v>
      </c>
      <c r="B463" t="s">
        <v>51</v>
      </c>
      <c r="C463" t="s">
        <v>57</v>
      </c>
      <c r="D463" t="str">
        <f t="shared" si="42"/>
        <v>MN</v>
      </c>
      <c r="E463" t="str">
        <f t="shared" si="43"/>
        <v>Midwest</v>
      </c>
      <c r="F463" t="s">
        <v>59</v>
      </c>
      <c r="G463" s="1">
        <v>45041</v>
      </c>
      <c r="H463" s="1">
        <v>45043</v>
      </c>
      <c r="I463" s="1">
        <f t="shared" si="47"/>
        <v>45043</v>
      </c>
      <c r="J463" s="2">
        <v>29.6</v>
      </c>
      <c r="K463" s="2">
        <v>84.55</v>
      </c>
      <c r="L463" t="s">
        <v>60</v>
      </c>
      <c r="M463" s="2">
        <v>515</v>
      </c>
      <c r="N463" s="2">
        <v>2</v>
      </c>
      <c r="O463" s="2">
        <f t="shared" si="44"/>
        <v>257.5</v>
      </c>
      <c r="P463" s="2">
        <f t="shared" si="45"/>
        <v>3.0455351862803077</v>
      </c>
      <c r="Q463" s="3">
        <f t="shared" si="46"/>
        <v>0.1641747572815534</v>
      </c>
    </row>
    <row r="464" spans="1:17" hidden="1" x14ac:dyDescent="0.25">
      <c r="A464" t="s">
        <v>523</v>
      </c>
      <c r="B464" t="s">
        <v>49</v>
      </c>
      <c r="C464" t="s">
        <v>40</v>
      </c>
      <c r="D464" t="str">
        <f t="shared" si="42"/>
        <v>MI</v>
      </c>
      <c r="E464" t="str">
        <f t="shared" si="43"/>
        <v>Midwest</v>
      </c>
      <c r="F464" t="s">
        <v>25</v>
      </c>
      <c r="G464" s="1">
        <v>45172</v>
      </c>
      <c r="H464" s="1">
        <v>45175</v>
      </c>
      <c r="I464" s="1">
        <f t="shared" si="47"/>
        <v>45175</v>
      </c>
      <c r="J464" s="2">
        <v>10.8</v>
      </c>
      <c r="K464" s="2">
        <v>48.75</v>
      </c>
      <c r="L464" t="s">
        <v>15</v>
      </c>
      <c r="M464" s="2">
        <v>262</v>
      </c>
      <c r="N464" s="2">
        <v>3</v>
      </c>
      <c r="O464" s="2">
        <f t="shared" si="44"/>
        <v>87.333333333333329</v>
      </c>
      <c r="P464" s="2">
        <f t="shared" si="45"/>
        <v>1.7914529914529913</v>
      </c>
      <c r="Q464" s="3">
        <f t="shared" si="46"/>
        <v>0.18606870229007633</v>
      </c>
    </row>
    <row r="465" spans="1:17" hidden="1" x14ac:dyDescent="0.25">
      <c r="A465" t="s">
        <v>524</v>
      </c>
      <c r="B465" t="s">
        <v>49</v>
      </c>
      <c r="C465" t="s">
        <v>31</v>
      </c>
      <c r="D465" t="str">
        <f t="shared" si="42"/>
        <v>NY</v>
      </c>
      <c r="E465" t="str">
        <f t="shared" si="43"/>
        <v>Northeast</v>
      </c>
      <c r="F465" t="s">
        <v>37</v>
      </c>
      <c r="G465" s="1">
        <v>44976</v>
      </c>
      <c r="H465" s="1">
        <v>44980</v>
      </c>
      <c r="I465" s="1">
        <f t="shared" si="47"/>
        <v>44980</v>
      </c>
      <c r="J465" s="2">
        <v>10.6</v>
      </c>
      <c r="K465" s="2">
        <v>217.45</v>
      </c>
      <c r="L465" t="s">
        <v>15</v>
      </c>
      <c r="M465" s="2">
        <v>1866</v>
      </c>
      <c r="N465" s="2">
        <v>4</v>
      </c>
      <c r="O465" s="2">
        <f t="shared" si="44"/>
        <v>466.5</v>
      </c>
      <c r="P465" s="2">
        <f t="shared" si="45"/>
        <v>2.1453207633938836</v>
      </c>
      <c r="Q465" s="3">
        <f t="shared" si="46"/>
        <v>0.11653269024651661</v>
      </c>
    </row>
    <row r="466" spans="1:17" hidden="1" x14ac:dyDescent="0.25">
      <c r="A466" t="s">
        <v>525</v>
      </c>
      <c r="B466" t="s">
        <v>35</v>
      </c>
      <c r="C466" t="s">
        <v>52</v>
      </c>
      <c r="D466" t="str">
        <f t="shared" si="42"/>
        <v>AZ</v>
      </c>
      <c r="E466" t="str">
        <f t="shared" si="43"/>
        <v>Southwest</v>
      </c>
      <c r="F466" t="s">
        <v>18</v>
      </c>
      <c r="G466" s="1">
        <v>45280</v>
      </c>
      <c r="H466" s="1">
        <v>45297</v>
      </c>
      <c r="I466" s="1">
        <f t="shared" si="47"/>
        <v>45297</v>
      </c>
      <c r="J466" s="2">
        <v>17.899999999999999</v>
      </c>
      <c r="K466" s="2">
        <v>373.8</v>
      </c>
      <c r="L466" t="s">
        <v>47</v>
      </c>
      <c r="M466" s="2">
        <v>1998</v>
      </c>
      <c r="N466" s="2">
        <v>5</v>
      </c>
      <c r="O466" s="2">
        <f t="shared" si="44"/>
        <v>399.6</v>
      </c>
      <c r="P466" s="2">
        <f t="shared" si="45"/>
        <v>1.0690208667736758</v>
      </c>
      <c r="Q466" s="3">
        <f t="shared" si="46"/>
        <v>0.1870870870870871</v>
      </c>
    </row>
    <row r="467" spans="1:17" hidden="1" x14ac:dyDescent="0.25">
      <c r="A467" t="s">
        <v>526</v>
      </c>
      <c r="B467" t="s">
        <v>56</v>
      </c>
      <c r="C467" t="s">
        <v>44</v>
      </c>
      <c r="D467" t="str">
        <f t="shared" si="42"/>
        <v>IL</v>
      </c>
      <c r="E467" t="str">
        <f t="shared" si="43"/>
        <v>Midwest</v>
      </c>
      <c r="F467" t="s">
        <v>14</v>
      </c>
      <c r="G467" s="1">
        <v>45123</v>
      </c>
      <c r="H467" s="1">
        <v>45128</v>
      </c>
      <c r="I467" s="1">
        <f t="shared" si="47"/>
        <v>45128</v>
      </c>
      <c r="J467" s="2">
        <v>14.8</v>
      </c>
      <c r="K467" s="2">
        <v>182.07</v>
      </c>
      <c r="L467" t="s">
        <v>15</v>
      </c>
      <c r="M467" s="2">
        <v>1304</v>
      </c>
      <c r="N467" s="2">
        <v>5</v>
      </c>
      <c r="O467" s="2">
        <f t="shared" si="44"/>
        <v>260.8</v>
      </c>
      <c r="P467" s="2">
        <f t="shared" si="45"/>
        <v>1.4324161036963807</v>
      </c>
      <c r="Q467" s="3">
        <f t="shared" si="46"/>
        <v>0.13962423312883435</v>
      </c>
    </row>
    <row r="468" spans="1:17" hidden="1" x14ac:dyDescent="0.25">
      <c r="A468" t="s">
        <v>527</v>
      </c>
      <c r="B468" t="s">
        <v>49</v>
      </c>
      <c r="C468" t="s">
        <v>28</v>
      </c>
      <c r="D468" t="str">
        <f t="shared" si="42"/>
        <v>TX</v>
      </c>
      <c r="E468" t="str">
        <f t="shared" si="43"/>
        <v>Southwest</v>
      </c>
      <c r="F468" t="s">
        <v>14</v>
      </c>
      <c r="G468" s="1">
        <v>45035</v>
      </c>
      <c r="H468" s="1">
        <v>45037</v>
      </c>
      <c r="I468" s="1">
        <f t="shared" si="47"/>
        <v>45037</v>
      </c>
      <c r="J468" s="2">
        <v>11.9</v>
      </c>
      <c r="K468" s="2">
        <v>41.55</v>
      </c>
      <c r="L468" t="s">
        <v>15</v>
      </c>
      <c r="M468" s="2">
        <v>187</v>
      </c>
      <c r="N468" s="2">
        <v>2</v>
      </c>
      <c r="O468" s="2">
        <f t="shared" si="44"/>
        <v>93.5</v>
      </c>
      <c r="P468" s="2">
        <f t="shared" si="45"/>
        <v>2.2503008423586044</v>
      </c>
      <c r="Q468" s="3">
        <f t="shared" si="46"/>
        <v>0.22219251336898393</v>
      </c>
    </row>
    <row r="469" spans="1:17" hidden="1" x14ac:dyDescent="0.25">
      <c r="A469" t="s">
        <v>528</v>
      </c>
      <c r="B469" t="s">
        <v>20</v>
      </c>
      <c r="C469" t="s">
        <v>44</v>
      </c>
      <c r="D469" t="str">
        <f t="shared" si="42"/>
        <v>IL</v>
      </c>
      <c r="E469" t="str">
        <f t="shared" si="43"/>
        <v>Midwest</v>
      </c>
      <c r="F469" t="s">
        <v>59</v>
      </c>
      <c r="G469" s="1">
        <v>45016</v>
      </c>
      <c r="H469" s="1">
        <v>45021</v>
      </c>
      <c r="I469" s="1">
        <f t="shared" si="47"/>
        <v>45021</v>
      </c>
      <c r="J469" s="2">
        <v>26.7</v>
      </c>
      <c r="K469" s="2">
        <v>209.87</v>
      </c>
      <c r="L469" t="s">
        <v>15</v>
      </c>
      <c r="M469" s="2">
        <v>1486</v>
      </c>
      <c r="N469" s="2">
        <v>5</v>
      </c>
      <c r="O469" s="2">
        <f t="shared" si="44"/>
        <v>297.2</v>
      </c>
      <c r="P469" s="2">
        <f t="shared" si="45"/>
        <v>1.4161147376947634</v>
      </c>
      <c r="Q469" s="3">
        <f t="shared" si="46"/>
        <v>0.14123149394347242</v>
      </c>
    </row>
    <row r="470" spans="1:17" hidden="1" x14ac:dyDescent="0.25">
      <c r="A470" t="s">
        <v>529</v>
      </c>
      <c r="B470" t="s">
        <v>27</v>
      </c>
      <c r="C470" t="s">
        <v>31</v>
      </c>
      <c r="D470" t="str">
        <f t="shared" si="42"/>
        <v>NY</v>
      </c>
      <c r="E470" t="str">
        <f t="shared" si="43"/>
        <v>Northeast</v>
      </c>
      <c r="F470" t="s">
        <v>37</v>
      </c>
      <c r="G470" s="1">
        <v>44934</v>
      </c>
      <c r="H470" s="1">
        <v>44938</v>
      </c>
      <c r="I470" s="1">
        <f t="shared" si="47"/>
        <v>44938</v>
      </c>
      <c r="J470" s="2">
        <v>7.7</v>
      </c>
      <c r="K470" s="2">
        <v>170.97</v>
      </c>
      <c r="L470" t="s">
        <v>15</v>
      </c>
      <c r="M470" s="2">
        <v>1468</v>
      </c>
      <c r="N470" s="2">
        <v>4</v>
      </c>
      <c r="O470" s="2">
        <f t="shared" si="44"/>
        <v>367</v>
      </c>
      <c r="P470" s="2">
        <f t="shared" si="45"/>
        <v>2.1465754225887581</v>
      </c>
      <c r="Q470" s="3">
        <f t="shared" si="46"/>
        <v>0.11646457765667576</v>
      </c>
    </row>
    <row r="471" spans="1:17" x14ac:dyDescent="0.25">
      <c r="A471" t="s">
        <v>530</v>
      </c>
      <c r="B471" t="s">
        <v>35</v>
      </c>
      <c r="C471" t="s">
        <v>24</v>
      </c>
      <c r="D471" t="str">
        <f t="shared" si="42"/>
        <v>WA</v>
      </c>
      <c r="E471" t="str">
        <f t="shared" si="43"/>
        <v>West</v>
      </c>
      <c r="F471" t="s">
        <v>37</v>
      </c>
      <c r="G471" s="1">
        <v>45012</v>
      </c>
      <c r="H471" s="1">
        <v>45017</v>
      </c>
      <c r="I471" s="1">
        <f t="shared" si="47"/>
        <v>45017</v>
      </c>
      <c r="J471" s="2">
        <v>17.8</v>
      </c>
      <c r="K471" s="2">
        <v>323.01</v>
      </c>
      <c r="L471" t="s">
        <v>15</v>
      </c>
      <c r="M471" s="2">
        <v>2283</v>
      </c>
      <c r="N471" s="2">
        <v>5</v>
      </c>
      <c r="O471" s="2">
        <f t="shared" si="44"/>
        <v>456.6</v>
      </c>
      <c r="P471" s="2">
        <f t="shared" si="45"/>
        <v>1.4135785269805889</v>
      </c>
      <c r="Q471" s="3">
        <f t="shared" si="46"/>
        <v>0.14148488830486203</v>
      </c>
    </row>
    <row r="472" spans="1:17" hidden="1" x14ac:dyDescent="0.25">
      <c r="A472" t="s">
        <v>531</v>
      </c>
      <c r="B472" t="s">
        <v>27</v>
      </c>
      <c r="C472" t="s">
        <v>21</v>
      </c>
      <c r="D472" t="str">
        <f t="shared" si="42"/>
        <v>TX</v>
      </c>
      <c r="E472" t="str">
        <f t="shared" si="43"/>
        <v>Southwest</v>
      </c>
      <c r="F472" t="s">
        <v>14</v>
      </c>
      <c r="G472" s="1">
        <v>44945</v>
      </c>
      <c r="H472" s="1">
        <v>44949</v>
      </c>
      <c r="I472" s="1">
        <f t="shared" si="47"/>
        <v>44949</v>
      </c>
      <c r="J472" s="2">
        <v>57.6</v>
      </c>
      <c r="K472" s="2">
        <v>346.17</v>
      </c>
      <c r="L472" t="s">
        <v>15</v>
      </c>
      <c r="M472" s="2">
        <v>1950</v>
      </c>
      <c r="N472" s="2">
        <v>4</v>
      </c>
      <c r="O472" s="2">
        <f t="shared" si="44"/>
        <v>487.5</v>
      </c>
      <c r="P472" s="2">
        <f t="shared" si="45"/>
        <v>1.4082676141780051</v>
      </c>
      <c r="Q472" s="3">
        <f t="shared" si="46"/>
        <v>0.17752307692307692</v>
      </c>
    </row>
    <row r="473" spans="1:17" hidden="1" x14ac:dyDescent="0.25">
      <c r="A473" t="s">
        <v>532</v>
      </c>
      <c r="B473" t="s">
        <v>12</v>
      </c>
      <c r="C473" t="s">
        <v>40</v>
      </c>
      <c r="D473" t="str">
        <f t="shared" si="42"/>
        <v>MI</v>
      </c>
      <c r="E473" t="str">
        <f t="shared" si="43"/>
        <v>Midwest</v>
      </c>
      <c r="F473" t="s">
        <v>42</v>
      </c>
      <c r="G473" s="1">
        <v>45162</v>
      </c>
      <c r="H473" s="1">
        <v>45171</v>
      </c>
      <c r="I473" s="1">
        <f t="shared" si="47"/>
        <v>45171</v>
      </c>
      <c r="J473" s="2">
        <v>13.4</v>
      </c>
      <c r="K473" s="2">
        <v>31.36</v>
      </c>
      <c r="L473" t="s">
        <v>47</v>
      </c>
      <c r="M473" s="2">
        <v>119</v>
      </c>
      <c r="N473" s="2">
        <v>2</v>
      </c>
      <c r="O473" s="2">
        <f t="shared" si="44"/>
        <v>59.5</v>
      </c>
      <c r="P473" s="2">
        <f t="shared" si="45"/>
        <v>1.8973214285714286</v>
      </c>
      <c r="Q473" s="3">
        <f t="shared" si="46"/>
        <v>0.2635294117647059</v>
      </c>
    </row>
    <row r="474" spans="1:17" hidden="1" x14ac:dyDescent="0.25">
      <c r="A474" t="s">
        <v>533</v>
      </c>
      <c r="B474" t="s">
        <v>12</v>
      </c>
      <c r="C474" t="s">
        <v>44</v>
      </c>
      <c r="D474" t="str">
        <f t="shared" si="42"/>
        <v>IL</v>
      </c>
      <c r="E474" t="str">
        <f t="shared" si="43"/>
        <v>Midwest</v>
      </c>
      <c r="F474" t="s">
        <v>42</v>
      </c>
      <c r="G474" s="1">
        <v>44992</v>
      </c>
      <c r="H474" s="1">
        <v>44995</v>
      </c>
      <c r="I474" s="1">
        <f t="shared" si="47"/>
        <v>44995</v>
      </c>
      <c r="J474" s="2">
        <v>11.5</v>
      </c>
      <c r="K474" s="2">
        <v>143.87</v>
      </c>
      <c r="L474" t="s">
        <v>15</v>
      </c>
      <c r="M474" s="2">
        <v>983</v>
      </c>
      <c r="N474" s="2">
        <v>3</v>
      </c>
      <c r="O474" s="2">
        <f t="shared" si="44"/>
        <v>327.66666666666669</v>
      </c>
      <c r="P474" s="2">
        <f t="shared" si="45"/>
        <v>2.2775190565556871</v>
      </c>
      <c r="Q474" s="3">
        <f t="shared" si="46"/>
        <v>0.14635808748728382</v>
      </c>
    </row>
    <row r="475" spans="1:17" x14ac:dyDescent="0.25">
      <c r="A475" t="s">
        <v>534</v>
      </c>
      <c r="B475" t="s">
        <v>56</v>
      </c>
      <c r="C475" t="s">
        <v>70</v>
      </c>
      <c r="D475" t="str">
        <f t="shared" si="42"/>
        <v>CA</v>
      </c>
      <c r="E475" t="str">
        <f t="shared" si="43"/>
        <v>West</v>
      </c>
      <c r="F475" t="s">
        <v>59</v>
      </c>
      <c r="G475" s="1">
        <v>44975</v>
      </c>
      <c r="H475" s="1">
        <v>44977</v>
      </c>
      <c r="I475" s="1">
        <f t="shared" si="47"/>
        <v>44977</v>
      </c>
      <c r="J475" s="2">
        <v>18.600000000000001</v>
      </c>
      <c r="K475" s="2">
        <v>64.53</v>
      </c>
      <c r="L475" t="s">
        <v>60</v>
      </c>
      <c r="M475" s="2">
        <v>344</v>
      </c>
      <c r="N475" s="2">
        <v>2</v>
      </c>
      <c r="O475" s="2">
        <f t="shared" si="44"/>
        <v>172</v>
      </c>
      <c r="P475" s="2">
        <f t="shared" si="45"/>
        <v>2.6654269332093601</v>
      </c>
      <c r="Q475" s="3">
        <f t="shared" si="46"/>
        <v>0.18758720930232559</v>
      </c>
    </row>
    <row r="476" spans="1:17" hidden="1" x14ac:dyDescent="0.25">
      <c r="A476" t="s">
        <v>535</v>
      </c>
      <c r="B476" t="s">
        <v>23</v>
      </c>
      <c r="C476" t="s">
        <v>40</v>
      </c>
      <c r="D476" t="str">
        <f t="shared" si="42"/>
        <v>MI</v>
      </c>
      <c r="E476" t="str">
        <f t="shared" si="43"/>
        <v>Midwest</v>
      </c>
      <c r="F476" t="s">
        <v>37</v>
      </c>
      <c r="G476" s="1">
        <v>45161</v>
      </c>
      <c r="H476" s="1">
        <v>45166</v>
      </c>
      <c r="I476" s="1">
        <f t="shared" si="47"/>
        <v>45166</v>
      </c>
      <c r="J476" s="2">
        <v>26.8</v>
      </c>
      <c r="K476" s="2">
        <v>280.97000000000003</v>
      </c>
      <c r="L476" t="s">
        <v>15</v>
      </c>
      <c r="M476" s="2">
        <v>1996</v>
      </c>
      <c r="N476" s="2">
        <v>5</v>
      </c>
      <c r="O476" s="2">
        <f t="shared" si="44"/>
        <v>399.2</v>
      </c>
      <c r="P476" s="2">
        <f t="shared" si="45"/>
        <v>1.4207922554009322</v>
      </c>
      <c r="Q476" s="3">
        <f t="shared" si="46"/>
        <v>0.14076653306613227</v>
      </c>
    </row>
    <row r="477" spans="1:17" x14ac:dyDescent="0.25">
      <c r="A477" t="s">
        <v>536</v>
      </c>
      <c r="B477" t="s">
        <v>56</v>
      </c>
      <c r="C477" t="s">
        <v>70</v>
      </c>
      <c r="D477" t="str">
        <f t="shared" si="42"/>
        <v>CA</v>
      </c>
      <c r="E477" t="str">
        <f t="shared" si="43"/>
        <v>West</v>
      </c>
      <c r="F477" t="s">
        <v>25</v>
      </c>
      <c r="G477" s="1">
        <v>45102</v>
      </c>
      <c r="H477" s="1">
        <v>45108</v>
      </c>
      <c r="I477" s="1">
        <f t="shared" si="47"/>
        <v>45108</v>
      </c>
      <c r="J477" s="2">
        <v>8.6</v>
      </c>
      <c r="K477" s="2">
        <v>219.42</v>
      </c>
      <c r="L477" t="s">
        <v>47</v>
      </c>
      <c r="M477" s="2">
        <v>1671</v>
      </c>
      <c r="N477" s="2">
        <v>5</v>
      </c>
      <c r="O477" s="2">
        <f t="shared" si="44"/>
        <v>334.2</v>
      </c>
      <c r="P477" s="2">
        <f t="shared" si="45"/>
        <v>1.5231063713426307</v>
      </c>
      <c r="Q477" s="3">
        <f t="shared" si="46"/>
        <v>0.13131059245960502</v>
      </c>
    </row>
    <row r="478" spans="1:17" hidden="1" x14ac:dyDescent="0.25">
      <c r="A478" t="s">
        <v>537</v>
      </c>
      <c r="B478" t="s">
        <v>51</v>
      </c>
      <c r="C478" t="s">
        <v>54</v>
      </c>
      <c r="D478" t="str">
        <f t="shared" si="42"/>
        <v>FL</v>
      </c>
      <c r="E478" t="str">
        <f t="shared" si="43"/>
        <v>Southeast</v>
      </c>
      <c r="F478" t="s">
        <v>32</v>
      </c>
      <c r="G478" s="1">
        <v>45282</v>
      </c>
      <c r="H478" s="1">
        <v>45286</v>
      </c>
      <c r="I478" s="1">
        <f t="shared" si="47"/>
        <v>45286</v>
      </c>
      <c r="J478" s="2">
        <v>53.2</v>
      </c>
      <c r="K478" s="2">
        <v>204.86</v>
      </c>
      <c r="L478" t="s">
        <v>15</v>
      </c>
      <c r="M478" s="2">
        <v>829</v>
      </c>
      <c r="N478" s="2">
        <v>4</v>
      </c>
      <c r="O478" s="2">
        <f t="shared" si="44"/>
        <v>207.25</v>
      </c>
      <c r="P478" s="2">
        <f t="shared" si="45"/>
        <v>1.0116665039539197</v>
      </c>
      <c r="Q478" s="3">
        <f t="shared" si="46"/>
        <v>0.24711700844390833</v>
      </c>
    </row>
    <row r="479" spans="1:17" x14ac:dyDescent="0.25">
      <c r="A479" t="s">
        <v>538</v>
      </c>
      <c r="B479" t="s">
        <v>27</v>
      </c>
      <c r="C479" t="s">
        <v>70</v>
      </c>
      <c r="D479" t="str">
        <f t="shared" si="42"/>
        <v>CA</v>
      </c>
      <c r="E479" t="str">
        <f t="shared" si="43"/>
        <v>West</v>
      </c>
      <c r="F479" t="s">
        <v>37</v>
      </c>
      <c r="G479" s="1">
        <v>45169</v>
      </c>
      <c r="H479" s="1">
        <v>45175</v>
      </c>
      <c r="I479" s="1">
        <f t="shared" si="47"/>
        <v>45175</v>
      </c>
      <c r="J479" s="2">
        <v>14.9</v>
      </c>
      <c r="K479" s="2">
        <v>186.3</v>
      </c>
      <c r="L479" t="s">
        <v>15</v>
      </c>
      <c r="M479" s="2">
        <v>1508</v>
      </c>
      <c r="N479" s="2">
        <v>6</v>
      </c>
      <c r="O479" s="2">
        <f t="shared" si="44"/>
        <v>251.33333333333334</v>
      </c>
      <c r="P479" s="2">
        <f t="shared" si="45"/>
        <v>1.3490785471461799</v>
      </c>
      <c r="Q479" s="3">
        <f t="shared" si="46"/>
        <v>0.12354111405835544</v>
      </c>
    </row>
    <row r="480" spans="1:17" hidden="1" x14ac:dyDescent="0.25">
      <c r="A480" t="s">
        <v>539</v>
      </c>
      <c r="B480" t="s">
        <v>20</v>
      </c>
      <c r="C480" t="s">
        <v>46</v>
      </c>
      <c r="D480" t="str">
        <f t="shared" si="42"/>
        <v>MA</v>
      </c>
      <c r="E480" t="str">
        <f t="shared" si="43"/>
        <v>Northeast</v>
      </c>
      <c r="F480" t="s">
        <v>18</v>
      </c>
      <c r="G480" s="1">
        <v>45094</v>
      </c>
      <c r="H480" s="1">
        <v>45097</v>
      </c>
      <c r="I480" s="1">
        <f t="shared" si="47"/>
        <v>45097</v>
      </c>
      <c r="J480" s="2">
        <v>59.4</v>
      </c>
      <c r="K480" s="2">
        <v>316.73</v>
      </c>
      <c r="L480" t="s">
        <v>15</v>
      </c>
      <c r="M480" s="2">
        <v>1504</v>
      </c>
      <c r="N480" s="2">
        <v>3</v>
      </c>
      <c r="O480" s="2">
        <f t="shared" si="44"/>
        <v>501.33333333333331</v>
      </c>
      <c r="P480" s="2">
        <f t="shared" si="45"/>
        <v>1.5828413264715477</v>
      </c>
      <c r="Q480" s="3">
        <f t="shared" si="46"/>
        <v>0.21059175531914895</v>
      </c>
    </row>
    <row r="481" spans="1:17" x14ac:dyDescent="0.25">
      <c r="A481" t="s">
        <v>540</v>
      </c>
      <c r="B481" t="s">
        <v>35</v>
      </c>
      <c r="C481" t="s">
        <v>24</v>
      </c>
      <c r="D481" t="str">
        <f t="shared" si="42"/>
        <v>WA</v>
      </c>
      <c r="E481" t="str">
        <f t="shared" si="43"/>
        <v>West</v>
      </c>
      <c r="F481" t="s">
        <v>59</v>
      </c>
      <c r="G481" s="1">
        <v>45086</v>
      </c>
      <c r="H481" s="1">
        <v>45090</v>
      </c>
      <c r="I481" s="1">
        <f t="shared" si="47"/>
        <v>45090</v>
      </c>
      <c r="J481" s="2">
        <v>16.899999999999999</v>
      </c>
      <c r="K481" s="2">
        <v>213.15</v>
      </c>
      <c r="L481" t="s">
        <v>15</v>
      </c>
      <c r="M481" s="2">
        <v>1844</v>
      </c>
      <c r="N481" s="2">
        <v>4</v>
      </c>
      <c r="O481" s="2">
        <f t="shared" si="44"/>
        <v>461</v>
      </c>
      <c r="P481" s="2">
        <f t="shared" si="45"/>
        <v>2.1627961529439363</v>
      </c>
      <c r="Q481" s="3">
        <f t="shared" si="46"/>
        <v>0.11559110629067246</v>
      </c>
    </row>
    <row r="482" spans="1:17" x14ac:dyDescent="0.25">
      <c r="A482" t="s">
        <v>541</v>
      </c>
      <c r="B482" t="s">
        <v>39</v>
      </c>
      <c r="C482" t="s">
        <v>81</v>
      </c>
      <c r="D482" t="str">
        <f t="shared" si="42"/>
        <v>CO</v>
      </c>
      <c r="E482" t="str">
        <f t="shared" si="43"/>
        <v>West</v>
      </c>
      <c r="F482" t="s">
        <v>32</v>
      </c>
      <c r="G482" s="1">
        <v>44963</v>
      </c>
      <c r="H482" s="1">
        <v>44967</v>
      </c>
      <c r="I482" s="1">
        <f t="shared" si="47"/>
        <v>44967</v>
      </c>
      <c r="J482" s="2">
        <v>13.4</v>
      </c>
      <c r="K482" s="2">
        <v>139.6</v>
      </c>
      <c r="L482" t="s">
        <v>15</v>
      </c>
      <c r="M482" s="2">
        <v>1030</v>
      </c>
      <c r="N482" s="2">
        <v>4</v>
      </c>
      <c r="O482" s="2">
        <f t="shared" si="44"/>
        <v>257.5</v>
      </c>
      <c r="P482" s="2">
        <f t="shared" si="45"/>
        <v>1.8445558739255015</v>
      </c>
      <c r="Q482" s="3">
        <f t="shared" si="46"/>
        <v>0.13553398058252428</v>
      </c>
    </row>
    <row r="483" spans="1:17" hidden="1" x14ac:dyDescent="0.25">
      <c r="A483" t="s">
        <v>542</v>
      </c>
      <c r="B483" t="s">
        <v>49</v>
      </c>
      <c r="C483" t="s">
        <v>31</v>
      </c>
      <c r="D483" t="str">
        <f t="shared" si="42"/>
        <v>NY</v>
      </c>
      <c r="E483" t="str">
        <f t="shared" si="43"/>
        <v>Northeast</v>
      </c>
      <c r="F483" t="s">
        <v>18</v>
      </c>
      <c r="G483" s="1">
        <v>45168</v>
      </c>
      <c r="H483" s="1">
        <v>45170</v>
      </c>
      <c r="I483" s="1">
        <f t="shared" si="47"/>
        <v>45170</v>
      </c>
      <c r="J483" s="2">
        <v>11.4</v>
      </c>
      <c r="K483" s="2">
        <v>65.290000000000006</v>
      </c>
      <c r="L483" t="s">
        <v>15</v>
      </c>
      <c r="M483" s="2">
        <v>319</v>
      </c>
      <c r="N483" s="2">
        <v>2</v>
      </c>
      <c r="O483" s="2">
        <f t="shared" si="44"/>
        <v>159.5</v>
      </c>
      <c r="P483" s="2">
        <f t="shared" si="45"/>
        <v>2.4429468525042117</v>
      </c>
      <c r="Q483" s="3">
        <f t="shared" si="46"/>
        <v>0.20467084639498434</v>
      </c>
    </row>
    <row r="484" spans="1:17" hidden="1" x14ac:dyDescent="0.25">
      <c r="A484" t="s">
        <v>543</v>
      </c>
      <c r="B484" t="s">
        <v>49</v>
      </c>
      <c r="C484" t="s">
        <v>44</v>
      </c>
      <c r="D484" t="str">
        <f t="shared" si="42"/>
        <v>IL</v>
      </c>
      <c r="E484" t="str">
        <f t="shared" si="43"/>
        <v>Midwest</v>
      </c>
      <c r="F484" t="s">
        <v>18</v>
      </c>
      <c r="G484" s="1">
        <v>45034</v>
      </c>
      <c r="H484" s="1">
        <v>45040</v>
      </c>
      <c r="I484" s="1">
        <f t="shared" si="47"/>
        <v>45040</v>
      </c>
      <c r="J484" s="2">
        <v>10.8</v>
      </c>
      <c r="K484" s="2">
        <v>256.45</v>
      </c>
      <c r="L484" t="s">
        <v>15</v>
      </c>
      <c r="M484" s="2">
        <v>1635</v>
      </c>
      <c r="N484" s="2">
        <v>6</v>
      </c>
      <c r="O484" s="2">
        <f t="shared" si="44"/>
        <v>272.5</v>
      </c>
      <c r="P484" s="2">
        <f t="shared" si="45"/>
        <v>1.0625852992786118</v>
      </c>
      <c r="Q484" s="3">
        <f t="shared" si="46"/>
        <v>0.15685015290519877</v>
      </c>
    </row>
    <row r="485" spans="1:17" x14ac:dyDescent="0.25">
      <c r="A485" t="s">
        <v>544</v>
      </c>
      <c r="B485" t="s">
        <v>12</v>
      </c>
      <c r="C485" t="s">
        <v>81</v>
      </c>
      <c r="D485" t="str">
        <f t="shared" si="42"/>
        <v>CO</v>
      </c>
      <c r="E485" t="str">
        <f t="shared" si="43"/>
        <v>West</v>
      </c>
      <c r="F485" t="s">
        <v>32</v>
      </c>
      <c r="G485" s="1">
        <v>45172</v>
      </c>
      <c r="H485" s="1">
        <v>45175</v>
      </c>
      <c r="I485" s="1">
        <f t="shared" si="47"/>
        <v>45175</v>
      </c>
      <c r="J485" s="2">
        <v>68.5</v>
      </c>
      <c r="K485" s="2">
        <v>235.28</v>
      </c>
      <c r="L485" t="s">
        <v>15</v>
      </c>
      <c r="M485" s="2">
        <v>1058</v>
      </c>
      <c r="N485" s="2">
        <v>3</v>
      </c>
      <c r="O485" s="2">
        <f t="shared" si="44"/>
        <v>352.66666666666669</v>
      </c>
      <c r="P485" s="2">
        <f t="shared" si="45"/>
        <v>1.4989232687294571</v>
      </c>
      <c r="Q485" s="3">
        <f t="shared" si="46"/>
        <v>0.22238185255198487</v>
      </c>
    </row>
    <row r="486" spans="1:17" x14ac:dyDescent="0.25">
      <c r="A486" t="s">
        <v>545</v>
      </c>
      <c r="B486" t="s">
        <v>12</v>
      </c>
      <c r="C486" t="s">
        <v>81</v>
      </c>
      <c r="D486" t="str">
        <f t="shared" si="42"/>
        <v>CO</v>
      </c>
      <c r="E486" t="str">
        <f t="shared" si="43"/>
        <v>West</v>
      </c>
      <c r="F486" t="s">
        <v>32</v>
      </c>
      <c r="G486" s="1">
        <v>44928</v>
      </c>
      <c r="H486" s="1">
        <v>44929</v>
      </c>
      <c r="I486" s="1">
        <f t="shared" si="47"/>
        <v>44929</v>
      </c>
      <c r="J486" s="2">
        <v>22.1</v>
      </c>
      <c r="K486" s="2">
        <v>69.52</v>
      </c>
      <c r="L486" t="s">
        <v>15</v>
      </c>
      <c r="M486" s="2">
        <v>309</v>
      </c>
      <c r="N486" s="2">
        <v>1</v>
      </c>
      <c r="O486" s="2">
        <f t="shared" si="44"/>
        <v>309</v>
      </c>
      <c r="P486" s="2">
        <f t="shared" si="45"/>
        <v>4.4447640966628308</v>
      </c>
      <c r="Q486" s="3">
        <f t="shared" si="46"/>
        <v>0.22498381877022652</v>
      </c>
    </row>
    <row r="487" spans="1:17" hidden="1" x14ac:dyDescent="0.25">
      <c r="A487" t="s">
        <v>546</v>
      </c>
      <c r="B487" t="s">
        <v>56</v>
      </c>
      <c r="C487" t="s">
        <v>21</v>
      </c>
      <c r="D487" t="str">
        <f t="shared" si="42"/>
        <v>TX</v>
      </c>
      <c r="E487" t="str">
        <f t="shared" si="43"/>
        <v>Southwest</v>
      </c>
      <c r="F487" t="s">
        <v>37</v>
      </c>
      <c r="G487" s="1">
        <v>45288</v>
      </c>
      <c r="H487" s="1">
        <v>45290</v>
      </c>
      <c r="I487" s="1">
        <f t="shared" si="47"/>
        <v>45290</v>
      </c>
      <c r="J487" s="2">
        <v>9</v>
      </c>
      <c r="K487" s="2">
        <v>149.84</v>
      </c>
      <c r="L487" t="s">
        <v>15</v>
      </c>
      <c r="M487" s="2">
        <v>1002</v>
      </c>
      <c r="N487" s="2">
        <v>2</v>
      </c>
      <c r="O487" s="2">
        <f t="shared" si="44"/>
        <v>501</v>
      </c>
      <c r="P487" s="2">
        <f t="shared" si="45"/>
        <v>3.3435664709022959</v>
      </c>
      <c r="Q487" s="3">
        <f t="shared" si="46"/>
        <v>0.14954091816367265</v>
      </c>
    </row>
    <row r="488" spans="1:17" x14ac:dyDescent="0.25">
      <c r="A488" t="s">
        <v>547</v>
      </c>
      <c r="B488" t="s">
        <v>27</v>
      </c>
      <c r="C488" t="s">
        <v>81</v>
      </c>
      <c r="D488" t="str">
        <f t="shared" si="42"/>
        <v>CO</v>
      </c>
      <c r="E488" t="str">
        <f t="shared" si="43"/>
        <v>West</v>
      </c>
      <c r="F488" t="s">
        <v>18</v>
      </c>
      <c r="G488" s="1">
        <v>45197</v>
      </c>
      <c r="H488" s="1">
        <v>45199</v>
      </c>
      <c r="I488" s="1">
        <f t="shared" si="47"/>
        <v>45199</v>
      </c>
      <c r="J488" s="2">
        <v>10.7</v>
      </c>
      <c r="K488" s="2">
        <v>51.05</v>
      </c>
      <c r="L488" t="s">
        <v>15</v>
      </c>
      <c r="M488" s="2">
        <v>295</v>
      </c>
      <c r="N488" s="2">
        <v>2</v>
      </c>
      <c r="O488" s="2">
        <f t="shared" si="44"/>
        <v>147.5</v>
      </c>
      <c r="P488" s="2">
        <f t="shared" si="45"/>
        <v>2.8893241919686585</v>
      </c>
      <c r="Q488" s="3">
        <f t="shared" si="46"/>
        <v>0.17305084745762711</v>
      </c>
    </row>
    <row r="489" spans="1:17" x14ac:dyDescent="0.25">
      <c r="A489" t="s">
        <v>548</v>
      </c>
      <c r="B489" t="s">
        <v>30</v>
      </c>
      <c r="C489" t="s">
        <v>24</v>
      </c>
      <c r="D489" t="str">
        <f t="shared" si="42"/>
        <v>WA</v>
      </c>
      <c r="E489" t="str">
        <f t="shared" si="43"/>
        <v>West</v>
      </c>
      <c r="F489" t="s">
        <v>14</v>
      </c>
      <c r="G489" s="1">
        <v>45148</v>
      </c>
      <c r="H489" s="1">
        <v>45153</v>
      </c>
      <c r="I489" s="1">
        <f t="shared" si="47"/>
        <v>45153</v>
      </c>
      <c r="J489" s="2">
        <v>4.4000000000000004</v>
      </c>
      <c r="K489" s="2">
        <v>316.41000000000003</v>
      </c>
      <c r="L489" t="s">
        <v>15</v>
      </c>
      <c r="M489" s="2">
        <v>2252</v>
      </c>
      <c r="N489" s="2">
        <v>5</v>
      </c>
      <c r="O489" s="2">
        <f t="shared" si="44"/>
        <v>450.4</v>
      </c>
      <c r="P489" s="2">
        <f t="shared" si="45"/>
        <v>1.4234695490028759</v>
      </c>
      <c r="Q489" s="3">
        <f t="shared" si="46"/>
        <v>0.14050177619893428</v>
      </c>
    </row>
    <row r="490" spans="1:17" x14ac:dyDescent="0.25">
      <c r="A490" t="s">
        <v>549</v>
      </c>
      <c r="B490" t="s">
        <v>20</v>
      </c>
      <c r="C490" t="s">
        <v>24</v>
      </c>
      <c r="D490" t="str">
        <f t="shared" si="42"/>
        <v>WA</v>
      </c>
      <c r="E490" t="str">
        <f t="shared" si="43"/>
        <v>West</v>
      </c>
      <c r="F490" t="s">
        <v>14</v>
      </c>
      <c r="G490" s="1">
        <v>45123</v>
      </c>
      <c r="H490" s="1">
        <v>45128</v>
      </c>
      <c r="I490" s="1">
        <f t="shared" si="47"/>
        <v>45128</v>
      </c>
      <c r="J490" s="2">
        <v>39</v>
      </c>
      <c r="K490" s="2">
        <v>195.48</v>
      </c>
      <c r="L490" t="s">
        <v>15</v>
      </c>
      <c r="M490" s="2">
        <v>1135</v>
      </c>
      <c r="N490" s="2">
        <v>5</v>
      </c>
      <c r="O490" s="2">
        <f t="shared" si="44"/>
        <v>227</v>
      </c>
      <c r="P490" s="2">
        <f t="shared" si="45"/>
        <v>1.1612441170452221</v>
      </c>
      <c r="Q490" s="3">
        <f t="shared" si="46"/>
        <v>0.17222907488986783</v>
      </c>
    </row>
    <row r="491" spans="1:17" x14ac:dyDescent="0.25">
      <c r="A491" t="s">
        <v>550</v>
      </c>
      <c r="B491" t="s">
        <v>20</v>
      </c>
      <c r="C491" t="s">
        <v>70</v>
      </c>
      <c r="D491" t="str">
        <f t="shared" si="42"/>
        <v>CA</v>
      </c>
      <c r="E491" t="str">
        <f t="shared" si="43"/>
        <v>West</v>
      </c>
      <c r="F491" t="s">
        <v>37</v>
      </c>
      <c r="G491" s="1">
        <v>45104</v>
      </c>
      <c r="H491" s="1">
        <v>45110</v>
      </c>
      <c r="I491" s="1">
        <f t="shared" si="47"/>
        <v>45110</v>
      </c>
      <c r="J491" s="2">
        <v>15.9</v>
      </c>
      <c r="K491" s="2">
        <v>331.92</v>
      </c>
      <c r="L491" t="s">
        <v>15</v>
      </c>
      <c r="M491" s="2">
        <v>2378</v>
      </c>
      <c r="N491" s="2">
        <v>6</v>
      </c>
      <c r="O491" s="2">
        <f t="shared" si="44"/>
        <v>396.33333333333331</v>
      </c>
      <c r="P491" s="2">
        <f t="shared" si="45"/>
        <v>1.1940628263838675</v>
      </c>
      <c r="Q491" s="3">
        <f t="shared" si="46"/>
        <v>0.13957947855340622</v>
      </c>
    </row>
    <row r="492" spans="1:17" hidden="1" x14ac:dyDescent="0.25">
      <c r="A492" t="s">
        <v>551</v>
      </c>
      <c r="B492" t="s">
        <v>49</v>
      </c>
      <c r="C492" t="s">
        <v>57</v>
      </c>
      <c r="D492" t="str">
        <f t="shared" si="42"/>
        <v>MN</v>
      </c>
      <c r="E492" t="str">
        <f t="shared" si="43"/>
        <v>Midwest</v>
      </c>
      <c r="F492" t="s">
        <v>59</v>
      </c>
      <c r="G492" s="1">
        <v>45260</v>
      </c>
      <c r="H492" s="1">
        <v>45264</v>
      </c>
      <c r="I492" s="1">
        <f t="shared" si="47"/>
        <v>45264</v>
      </c>
      <c r="J492" s="2">
        <v>10.3</v>
      </c>
      <c r="K492" s="2">
        <v>227.04</v>
      </c>
      <c r="L492" t="s">
        <v>15</v>
      </c>
      <c r="M492" s="2">
        <v>1473</v>
      </c>
      <c r="N492" s="2">
        <v>4</v>
      </c>
      <c r="O492" s="2">
        <f t="shared" si="44"/>
        <v>368.25</v>
      </c>
      <c r="P492" s="2">
        <f t="shared" si="45"/>
        <v>1.6219608879492602</v>
      </c>
      <c r="Q492" s="3">
        <f t="shared" si="46"/>
        <v>0.15413441955193483</v>
      </c>
    </row>
    <row r="493" spans="1:17" hidden="1" x14ac:dyDescent="0.25">
      <c r="A493" t="s">
        <v>552</v>
      </c>
      <c r="B493" t="s">
        <v>12</v>
      </c>
      <c r="C493" t="s">
        <v>40</v>
      </c>
      <c r="D493" t="str">
        <f t="shared" si="42"/>
        <v>MI</v>
      </c>
      <c r="E493" t="str">
        <f t="shared" si="43"/>
        <v>Midwest</v>
      </c>
      <c r="F493" t="s">
        <v>42</v>
      </c>
      <c r="G493" s="1">
        <v>45288</v>
      </c>
      <c r="H493" s="1">
        <v>45292</v>
      </c>
      <c r="I493" s="1">
        <f t="shared" si="47"/>
        <v>45292</v>
      </c>
      <c r="J493" s="2">
        <v>26.9</v>
      </c>
      <c r="K493" s="2">
        <v>260.39999999999998</v>
      </c>
      <c r="L493" t="s">
        <v>15</v>
      </c>
      <c r="M493" s="2">
        <v>1433</v>
      </c>
      <c r="N493" s="2">
        <v>4</v>
      </c>
      <c r="O493" s="2">
        <f t="shared" si="44"/>
        <v>358.25</v>
      </c>
      <c r="P493" s="2">
        <f t="shared" si="45"/>
        <v>1.3757680491551461</v>
      </c>
      <c r="Q493" s="3">
        <f t="shared" si="46"/>
        <v>0.18171667829727842</v>
      </c>
    </row>
    <row r="494" spans="1:17" hidden="1" x14ac:dyDescent="0.25">
      <c r="A494" t="s">
        <v>553</v>
      </c>
      <c r="B494" t="s">
        <v>12</v>
      </c>
      <c r="C494" t="s">
        <v>21</v>
      </c>
      <c r="D494" t="str">
        <f t="shared" si="42"/>
        <v>TX</v>
      </c>
      <c r="E494" t="str">
        <f t="shared" si="43"/>
        <v>Southwest</v>
      </c>
      <c r="F494" t="s">
        <v>32</v>
      </c>
      <c r="G494" s="1">
        <v>45219</v>
      </c>
      <c r="H494" s="1">
        <v>45221</v>
      </c>
      <c r="I494" s="1">
        <f t="shared" si="47"/>
        <v>45221</v>
      </c>
      <c r="J494" s="2">
        <v>51.6</v>
      </c>
      <c r="K494" s="2">
        <v>103.41</v>
      </c>
      <c r="L494" t="s">
        <v>15</v>
      </c>
      <c r="M494" s="2">
        <v>239</v>
      </c>
      <c r="N494" s="2">
        <v>2</v>
      </c>
      <c r="O494" s="2">
        <f t="shared" si="44"/>
        <v>119.5</v>
      </c>
      <c r="P494" s="2">
        <f t="shared" si="45"/>
        <v>1.1555942365341842</v>
      </c>
      <c r="Q494" s="3">
        <f t="shared" si="46"/>
        <v>0.4326778242677824</v>
      </c>
    </row>
    <row r="495" spans="1:17" hidden="1" x14ac:dyDescent="0.25">
      <c r="A495" t="s">
        <v>554</v>
      </c>
      <c r="B495" t="s">
        <v>30</v>
      </c>
      <c r="C495" t="s">
        <v>17</v>
      </c>
      <c r="D495" t="str">
        <f t="shared" si="42"/>
        <v>GA</v>
      </c>
      <c r="E495" t="str">
        <f t="shared" si="43"/>
        <v>Southeast</v>
      </c>
      <c r="F495" t="s">
        <v>14</v>
      </c>
      <c r="G495" s="1">
        <v>45182</v>
      </c>
      <c r="H495" s="1">
        <v>45187</v>
      </c>
      <c r="I495" s="1">
        <f t="shared" si="47"/>
        <v>45187</v>
      </c>
      <c r="J495" s="2">
        <v>8.9</v>
      </c>
      <c r="K495" s="2">
        <v>298.41000000000003</v>
      </c>
      <c r="L495" t="s">
        <v>15</v>
      </c>
      <c r="M495" s="2">
        <v>2461</v>
      </c>
      <c r="N495" s="2">
        <v>5</v>
      </c>
      <c r="O495" s="2">
        <f t="shared" si="44"/>
        <v>492.2</v>
      </c>
      <c r="P495" s="2">
        <f t="shared" si="45"/>
        <v>1.6494085318856604</v>
      </c>
      <c r="Q495" s="3">
        <f t="shared" si="46"/>
        <v>0.12125558715969119</v>
      </c>
    </row>
    <row r="496" spans="1:17" hidden="1" x14ac:dyDescent="0.25">
      <c r="A496" t="s">
        <v>555</v>
      </c>
      <c r="B496" t="s">
        <v>51</v>
      </c>
      <c r="C496" t="s">
        <v>54</v>
      </c>
      <c r="D496" t="str">
        <f t="shared" si="42"/>
        <v>FL</v>
      </c>
      <c r="E496" t="str">
        <f t="shared" si="43"/>
        <v>Southeast</v>
      </c>
      <c r="F496" t="s">
        <v>18</v>
      </c>
      <c r="G496" s="1">
        <v>45260</v>
      </c>
      <c r="H496" s="1">
        <v>45265</v>
      </c>
      <c r="I496" s="1">
        <f t="shared" si="47"/>
        <v>45265</v>
      </c>
      <c r="J496" s="2">
        <v>12.5</v>
      </c>
      <c r="K496" s="2">
        <v>283.77999999999997</v>
      </c>
      <c r="L496" t="s">
        <v>15</v>
      </c>
      <c r="M496" s="2">
        <v>1588</v>
      </c>
      <c r="N496" s="2">
        <v>5</v>
      </c>
      <c r="O496" s="2">
        <f t="shared" si="44"/>
        <v>317.60000000000002</v>
      </c>
      <c r="P496" s="2">
        <f t="shared" si="45"/>
        <v>1.1191768271195999</v>
      </c>
      <c r="Q496" s="3">
        <f t="shared" si="46"/>
        <v>0.17870277078085642</v>
      </c>
    </row>
    <row r="497" spans="1:17" x14ac:dyDescent="0.25">
      <c r="A497" t="s">
        <v>556</v>
      </c>
      <c r="B497" t="s">
        <v>23</v>
      </c>
      <c r="C497" t="s">
        <v>81</v>
      </c>
      <c r="D497" t="str">
        <f t="shared" si="42"/>
        <v>CO</v>
      </c>
      <c r="E497" t="str">
        <f t="shared" si="43"/>
        <v>West</v>
      </c>
      <c r="F497" t="s">
        <v>59</v>
      </c>
      <c r="G497" s="1">
        <v>45168</v>
      </c>
      <c r="H497" s="1">
        <v>45169</v>
      </c>
      <c r="I497" s="1">
        <f t="shared" si="47"/>
        <v>45169</v>
      </c>
      <c r="J497" s="2">
        <v>9.9</v>
      </c>
      <c r="K497" s="2">
        <v>52.96</v>
      </c>
      <c r="L497" t="s">
        <v>15</v>
      </c>
      <c r="M497" s="2">
        <v>328</v>
      </c>
      <c r="N497" s="2">
        <v>1</v>
      </c>
      <c r="O497" s="2">
        <f t="shared" si="44"/>
        <v>328</v>
      </c>
      <c r="P497" s="2">
        <f t="shared" si="45"/>
        <v>6.1933534743202419</v>
      </c>
      <c r="Q497" s="3">
        <f t="shared" si="46"/>
        <v>0.16146341463414635</v>
      </c>
    </row>
    <row r="498" spans="1:17" x14ac:dyDescent="0.25">
      <c r="A498" t="s">
        <v>557</v>
      </c>
      <c r="B498" t="s">
        <v>23</v>
      </c>
      <c r="C498" t="s">
        <v>70</v>
      </c>
      <c r="D498" t="str">
        <f t="shared" si="42"/>
        <v>CA</v>
      </c>
      <c r="E498" t="str">
        <f t="shared" si="43"/>
        <v>West</v>
      </c>
      <c r="F498" t="s">
        <v>14</v>
      </c>
      <c r="G498" s="1">
        <v>45188</v>
      </c>
      <c r="H498" s="1">
        <v>45193</v>
      </c>
      <c r="I498" s="1">
        <f t="shared" si="47"/>
        <v>45193</v>
      </c>
      <c r="J498" s="2">
        <v>11.2</v>
      </c>
      <c r="K498" s="2">
        <v>306.47000000000003</v>
      </c>
      <c r="L498" t="s">
        <v>15</v>
      </c>
      <c r="M498" s="2">
        <v>2213</v>
      </c>
      <c r="N498" s="2">
        <v>5</v>
      </c>
      <c r="O498" s="2">
        <f t="shared" si="44"/>
        <v>442.6</v>
      </c>
      <c r="P498" s="2">
        <f t="shared" si="45"/>
        <v>1.4441870329885469</v>
      </c>
      <c r="Q498" s="3">
        <f t="shared" si="46"/>
        <v>0.13848621780388615</v>
      </c>
    </row>
    <row r="499" spans="1:17" hidden="1" x14ac:dyDescent="0.25">
      <c r="A499" t="s">
        <v>558</v>
      </c>
      <c r="B499" t="s">
        <v>27</v>
      </c>
      <c r="C499" t="s">
        <v>52</v>
      </c>
      <c r="D499" t="str">
        <f t="shared" si="42"/>
        <v>AZ</v>
      </c>
      <c r="E499" t="str">
        <f t="shared" si="43"/>
        <v>Southwest</v>
      </c>
      <c r="F499" t="s">
        <v>59</v>
      </c>
      <c r="G499" s="1">
        <v>44934</v>
      </c>
      <c r="H499" s="1">
        <v>44946</v>
      </c>
      <c r="I499" s="1">
        <f t="shared" si="47"/>
        <v>44946</v>
      </c>
      <c r="J499" s="2">
        <v>19.8</v>
      </c>
      <c r="K499" s="2">
        <v>263.66000000000003</v>
      </c>
      <c r="L499" t="s">
        <v>47</v>
      </c>
      <c r="M499" s="2">
        <v>2186</v>
      </c>
      <c r="N499" s="2">
        <v>6</v>
      </c>
      <c r="O499" s="2">
        <f t="shared" si="44"/>
        <v>364.33333333333331</v>
      </c>
      <c r="P499" s="2">
        <f t="shared" si="45"/>
        <v>1.3818301347695261</v>
      </c>
      <c r="Q499" s="3">
        <f t="shared" si="46"/>
        <v>0.12061299176578226</v>
      </c>
    </row>
    <row r="500" spans="1:17" x14ac:dyDescent="0.25">
      <c r="A500" t="s">
        <v>559</v>
      </c>
      <c r="B500" t="s">
        <v>20</v>
      </c>
      <c r="C500" t="s">
        <v>81</v>
      </c>
      <c r="D500" t="str">
        <f t="shared" si="42"/>
        <v>CO</v>
      </c>
      <c r="E500" t="str">
        <f t="shared" si="43"/>
        <v>West</v>
      </c>
      <c r="F500" t="s">
        <v>32</v>
      </c>
      <c r="G500" s="1">
        <v>45114</v>
      </c>
      <c r="H500" s="1">
        <v>45125</v>
      </c>
      <c r="I500" s="1">
        <f t="shared" si="47"/>
        <v>45125</v>
      </c>
      <c r="J500" s="2">
        <v>16.5</v>
      </c>
      <c r="K500" s="2">
        <v>196.73</v>
      </c>
      <c r="L500" t="s">
        <v>47</v>
      </c>
      <c r="M500" s="2">
        <v>1228</v>
      </c>
      <c r="N500" s="2">
        <v>4</v>
      </c>
      <c r="O500" s="2">
        <f t="shared" si="44"/>
        <v>307</v>
      </c>
      <c r="P500" s="2">
        <f t="shared" si="45"/>
        <v>1.5605144106135314</v>
      </c>
      <c r="Q500" s="3">
        <f t="shared" si="46"/>
        <v>0.16020358306188925</v>
      </c>
    </row>
    <row r="501" spans="1:17" x14ac:dyDescent="0.25">
      <c r="A501" t="s">
        <v>560</v>
      </c>
      <c r="B501" t="s">
        <v>35</v>
      </c>
      <c r="C501" t="s">
        <v>36</v>
      </c>
      <c r="D501" t="str">
        <f t="shared" si="42"/>
        <v>OR</v>
      </c>
      <c r="E501" t="str">
        <f t="shared" si="43"/>
        <v>West</v>
      </c>
      <c r="F501" t="s">
        <v>42</v>
      </c>
      <c r="G501" s="1">
        <v>45172</v>
      </c>
      <c r="H501" s="1">
        <v>45176</v>
      </c>
      <c r="I501" s="1">
        <f t="shared" si="47"/>
        <v>45176</v>
      </c>
      <c r="J501" s="2">
        <v>12.1</v>
      </c>
      <c r="K501" s="2">
        <v>206.41</v>
      </c>
      <c r="L501" t="s">
        <v>15</v>
      </c>
      <c r="M501" s="2">
        <v>1553</v>
      </c>
      <c r="N501" s="2">
        <v>4</v>
      </c>
      <c r="O501" s="2">
        <f t="shared" si="44"/>
        <v>388.25</v>
      </c>
      <c r="P501" s="2">
        <f t="shared" si="45"/>
        <v>1.8809650695218256</v>
      </c>
      <c r="Q501" s="3">
        <f t="shared" si="46"/>
        <v>0.13291049581455247</v>
      </c>
    </row>
    <row r="502" spans="1:17" x14ac:dyDescent="0.25">
      <c r="A502" t="s">
        <v>561</v>
      </c>
      <c r="B502" t="s">
        <v>30</v>
      </c>
      <c r="C502" t="s">
        <v>70</v>
      </c>
      <c r="D502" t="str">
        <f t="shared" ref="D502:D564" si="48">IF(C502="Atlanta","GA",
IF(C502="Boston","MA",
IF(C502="Chicago","IL",
IF(C502="Dallas","TX",
IF(C502="Denver","CO",
IF(C502="Detroit","MI",
IF(C502="Houston","TX",
IF(C502="Los Angeles","CA",
IF(C502="Miami","FL",
IF(C502="Minneapolis","MN",
IF(C502="New York","NY",
IF(C502="Phoenix","AZ",
IF(C502="Portland","OR",
IF(C502="San Francisco","CA",
IF(C502="Seattle","WA","Unknown")))))))))))))))</f>
        <v>CA</v>
      </c>
      <c r="E502" t="str">
        <f t="shared" ref="E502:E564" si="49">IF(OR(D502="NY",D502="NJ",D502="PA",D502="MA",D502="CT",D502="RI",D502="VT",D502="NH",D502="ME"),"Northeast",
IF(OR(D502="FL",D502="GA",D502="AL",D502="MS",D502="SC",D502="NC",D502="TN",D502="KY"),"Southeast",
IF(OR(D502="IL",D502="IN",D502="OH",D502="MI",D502="WI",D502="MN",D502="IA",D502="MO",D502="KS",D502="NE",D502="ND",D502="SD"),"Midwest",
IF(OR(D502="TX",D502="OK",D502="NM",D502="AZ"),"Southwest",
IF(OR(D502="CA",D502="OR",D502="WA",D502="NV",D502="CO",D502="UT",D502="ID",D502="MT",D502="WY",D502="AK",D502="HI"),"West","Other")))))</f>
        <v>West</v>
      </c>
      <c r="F502" t="s">
        <v>25</v>
      </c>
      <c r="G502" s="1">
        <v>45005</v>
      </c>
      <c r="H502" s="1">
        <v>45009</v>
      </c>
      <c r="I502" s="1">
        <f t="shared" si="47"/>
        <v>45009</v>
      </c>
      <c r="J502" s="2">
        <v>50.9</v>
      </c>
      <c r="K502" s="2">
        <v>224.98</v>
      </c>
      <c r="L502" t="s">
        <v>15</v>
      </c>
      <c r="M502" s="2">
        <v>1225</v>
      </c>
      <c r="N502" s="2">
        <v>4</v>
      </c>
      <c r="O502" s="2">
        <f t="shared" ref="O502:O564" si="50">M502/N502</f>
        <v>306.25</v>
      </c>
      <c r="P502" s="2">
        <f t="shared" ref="P502:P564" si="51">O502/K502</f>
        <v>1.3612321095208464</v>
      </c>
      <c r="Q502" s="3">
        <f t="shared" ref="Q502:Q564" si="52">K502/M502</f>
        <v>0.18365714285714285</v>
      </c>
    </row>
    <row r="503" spans="1:17" hidden="1" x14ac:dyDescent="0.25">
      <c r="A503" t="s">
        <v>562</v>
      </c>
      <c r="B503" t="s">
        <v>30</v>
      </c>
      <c r="C503" t="s">
        <v>17</v>
      </c>
      <c r="D503" t="str">
        <f t="shared" si="48"/>
        <v>GA</v>
      </c>
      <c r="E503" t="str">
        <f t="shared" si="49"/>
        <v>Southeast</v>
      </c>
      <c r="F503" t="s">
        <v>37</v>
      </c>
      <c r="G503" s="1">
        <v>45127</v>
      </c>
      <c r="H503" s="1">
        <v>45130</v>
      </c>
      <c r="I503" s="1">
        <f t="shared" si="47"/>
        <v>45130</v>
      </c>
      <c r="J503" s="2">
        <v>20.5</v>
      </c>
      <c r="K503" s="2">
        <v>202.83</v>
      </c>
      <c r="L503" t="s">
        <v>15</v>
      </c>
      <c r="M503" s="2">
        <v>1428</v>
      </c>
      <c r="N503" s="2">
        <v>3</v>
      </c>
      <c r="O503" s="2">
        <f t="shared" si="50"/>
        <v>476</v>
      </c>
      <c r="P503" s="2">
        <f t="shared" si="51"/>
        <v>2.3467928807375635</v>
      </c>
      <c r="Q503" s="3">
        <f t="shared" si="52"/>
        <v>0.14203781512605043</v>
      </c>
    </row>
    <row r="504" spans="1:17" x14ac:dyDescent="0.25">
      <c r="A504" t="s">
        <v>563</v>
      </c>
      <c r="B504" t="s">
        <v>39</v>
      </c>
      <c r="C504" t="s">
        <v>36</v>
      </c>
      <c r="D504" t="str">
        <f t="shared" si="48"/>
        <v>OR</v>
      </c>
      <c r="E504" t="str">
        <f t="shared" si="49"/>
        <v>West</v>
      </c>
      <c r="F504" t="s">
        <v>42</v>
      </c>
      <c r="G504" s="1">
        <v>45286</v>
      </c>
      <c r="H504" s="1">
        <v>45287</v>
      </c>
      <c r="I504" s="1">
        <f t="shared" si="47"/>
        <v>45287</v>
      </c>
      <c r="J504" s="2">
        <v>24.1</v>
      </c>
      <c r="K504" s="2">
        <v>79.56</v>
      </c>
      <c r="L504" t="s">
        <v>15</v>
      </c>
      <c r="M504" s="2">
        <v>267</v>
      </c>
      <c r="N504" s="2">
        <v>1</v>
      </c>
      <c r="O504" s="2">
        <f t="shared" si="50"/>
        <v>267</v>
      </c>
      <c r="P504" s="2">
        <f t="shared" si="51"/>
        <v>3.3559577677224737</v>
      </c>
      <c r="Q504" s="3">
        <f t="shared" si="52"/>
        <v>0.29797752808988764</v>
      </c>
    </row>
    <row r="505" spans="1:17" hidden="1" x14ac:dyDescent="0.25">
      <c r="A505" t="s">
        <v>564</v>
      </c>
      <c r="B505" t="s">
        <v>30</v>
      </c>
      <c r="C505" t="s">
        <v>57</v>
      </c>
      <c r="D505" t="str">
        <f t="shared" si="48"/>
        <v>MN</v>
      </c>
      <c r="E505" t="str">
        <f t="shared" si="49"/>
        <v>Midwest</v>
      </c>
      <c r="F505" t="s">
        <v>14</v>
      </c>
      <c r="G505" s="1">
        <v>44998</v>
      </c>
      <c r="H505" s="1">
        <v>44999</v>
      </c>
      <c r="I505" s="1">
        <f t="shared" si="47"/>
        <v>44999</v>
      </c>
      <c r="J505" s="2">
        <v>8.9</v>
      </c>
      <c r="K505" s="2">
        <v>89.78</v>
      </c>
      <c r="L505" t="s">
        <v>15</v>
      </c>
      <c r="M505" s="2">
        <v>650</v>
      </c>
      <c r="N505" s="2">
        <v>1</v>
      </c>
      <c r="O505" s="2">
        <f t="shared" si="50"/>
        <v>650</v>
      </c>
      <c r="P505" s="2">
        <f t="shared" si="51"/>
        <v>7.2399198039652486</v>
      </c>
      <c r="Q505" s="3">
        <f t="shared" si="52"/>
        <v>0.13812307692307693</v>
      </c>
    </row>
    <row r="506" spans="1:17" hidden="1" x14ac:dyDescent="0.25">
      <c r="A506" t="s">
        <v>565</v>
      </c>
      <c r="B506" t="s">
        <v>39</v>
      </c>
      <c r="C506" t="s">
        <v>46</v>
      </c>
      <c r="D506" t="str">
        <f t="shared" si="48"/>
        <v>MA</v>
      </c>
      <c r="E506" t="str">
        <f t="shared" si="49"/>
        <v>Northeast</v>
      </c>
      <c r="F506" t="s">
        <v>59</v>
      </c>
      <c r="G506" s="1">
        <v>45257</v>
      </c>
      <c r="H506" s="1">
        <v>45263</v>
      </c>
      <c r="I506" s="1">
        <f t="shared" si="47"/>
        <v>45263</v>
      </c>
      <c r="J506" s="2">
        <v>80</v>
      </c>
      <c r="K506" s="2">
        <v>485.62</v>
      </c>
      <c r="L506" t="s">
        <v>15</v>
      </c>
      <c r="M506" s="2">
        <v>2479</v>
      </c>
      <c r="N506" s="2">
        <v>6</v>
      </c>
      <c r="O506" s="2">
        <f t="shared" si="50"/>
        <v>413.16666666666669</v>
      </c>
      <c r="P506" s="2">
        <f t="shared" si="51"/>
        <v>0.85080241066403084</v>
      </c>
      <c r="Q506" s="3">
        <f t="shared" si="52"/>
        <v>0.19589350544574424</v>
      </c>
    </row>
    <row r="507" spans="1:17" hidden="1" x14ac:dyDescent="0.25">
      <c r="A507" t="s">
        <v>566</v>
      </c>
      <c r="B507" t="s">
        <v>12</v>
      </c>
      <c r="C507" t="s">
        <v>21</v>
      </c>
      <c r="D507" t="str">
        <f t="shared" si="48"/>
        <v>TX</v>
      </c>
      <c r="E507" t="str">
        <f t="shared" si="49"/>
        <v>Southwest</v>
      </c>
      <c r="F507" t="s">
        <v>14</v>
      </c>
      <c r="G507" s="1">
        <v>45015</v>
      </c>
      <c r="H507" s="1">
        <v>45020</v>
      </c>
      <c r="I507" s="1">
        <f t="shared" si="47"/>
        <v>45020</v>
      </c>
      <c r="J507" s="2">
        <v>15.4</v>
      </c>
      <c r="K507" s="2">
        <v>241.05</v>
      </c>
      <c r="L507" t="s">
        <v>15</v>
      </c>
      <c r="M507" s="2">
        <v>1859</v>
      </c>
      <c r="N507" s="2">
        <v>5</v>
      </c>
      <c r="O507" s="2">
        <f t="shared" si="50"/>
        <v>371.8</v>
      </c>
      <c r="P507" s="2">
        <f t="shared" si="51"/>
        <v>1.5424185853557353</v>
      </c>
      <c r="Q507" s="3">
        <f t="shared" si="52"/>
        <v>0.12966648735879505</v>
      </c>
    </row>
    <row r="508" spans="1:17" hidden="1" x14ac:dyDescent="0.25">
      <c r="A508" t="s">
        <v>567</v>
      </c>
      <c r="B508" t="s">
        <v>20</v>
      </c>
      <c r="C508" t="s">
        <v>52</v>
      </c>
      <c r="D508" t="str">
        <f t="shared" si="48"/>
        <v>AZ</v>
      </c>
      <c r="E508" t="str">
        <f t="shared" si="49"/>
        <v>Southwest</v>
      </c>
      <c r="F508" t="s">
        <v>59</v>
      </c>
      <c r="G508" s="1">
        <v>44958</v>
      </c>
      <c r="H508" s="1">
        <v>44966</v>
      </c>
      <c r="I508" s="1">
        <f t="shared" si="47"/>
        <v>44966</v>
      </c>
      <c r="J508" s="2">
        <v>21.4</v>
      </c>
      <c r="K508" s="2">
        <v>68.02</v>
      </c>
      <c r="L508" t="s">
        <v>47</v>
      </c>
      <c r="M508" s="2">
        <v>373</v>
      </c>
      <c r="N508" s="2">
        <v>3</v>
      </c>
      <c r="O508" s="2">
        <f t="shared" si="50"/>
        <v>124.33333333333333</v>
      </c>
      <c r="P508" s="2">
        <f t="shared" si="51"/>
        <v>1.8278937567382143</v>
      </c>
      <c r="Q508" s="3">
        <f t="shared" si="52"/>
        <v>0.18235924932975869</v>
      </c>
    </row>
    <row r="509" spans="1:17" hidden="1" x14ac:dyDescent="0.25">
      <c r="A509" t="s">
        <v>568</v>
      </c>
      <c r="B509" t="s">
        <v>20</v>
      </c>
      <c r="C509" t="s">
        <v>46</v>
      </c>
      <c r="D509" t="str">
        <f t="shared" si="48"/>
        <v>MA</v>
      </c>
      <c r="E509" t="str">
        <f t="shared" si="49"/>
        <v>Northeast</v>
      </c>
      <c r="F509" t="s">
        <v>25</v>
      </c>
      <c r="G509" s="1">
        <v>45109</v>
      </c>
      <c r="H509" s="1">
        <v>45111</v>
      </c>
      <c r="I509" s="1">
        <f t="shared" si="47"/>
        <v>45111</v>
      </c>
      <c r="J509" s="2">
        <v>6.6</v>
      </c>
      <c r="K509" s="2">
        <v>115.73</v>
      </c>
      <c r="L509" t="s">
        <v>15</v>
      </c>
      <c r="M509" s="2">
        <v>912</v>
      </c>
      <c r="N509" s="2">
        <v>2</v>
      </c>
      <c r="O509" s="2">
        <f t="shared" si="50"/>
        <v>456</v>
      </c>
      <c r="P509" s="2">
        <f t="shared" si="51"/>
        <v>3.9402056510844203</v>
      </c>
      <c r="Q509" s="3">
        <f t="shared" si="52"/>
        <v>0.12689692982456141</v>
      </c>
    </row>
    <row r="510" spans="1:17" hidden="1" x14ac:dyDescent="0.25">
      <c r="A510" t="s">
        <v>569</v>
      </c>
      <c r="B510" t="s">
        <v>23</v>
      </c>
      <c r="C510" t="s">
        <v>17</v>
      </c>
      <c r="D510" t="str">
        <f t="shared" si="48"/>
        <v>GA</v>
      </c>
      <c r="E510" t="str">
        <f t="shared" si="49"/>
        <v>Southeast</v>
      </c>
      <c r="F510" t="s">
        <v>18</v>
      </c>
      <c r="G510" s="1">
        <v>45093</v>
      </c>
      <c r="H510" s="1">
        <v>45095</v>
      </c>
      <c r="I510" s="1">
        <f t="shared" si="47"/>
        <v>45095</v>
      </c>
      <c r="J510" s="2">
        <v>27.4</v>
      </c>
      <c r="K510" s="2">
        <v>98.31</v>
      </c>
      <c r="L510" t="s">
        <v>15</v>
      </c>
      <c r="M510" s="2">
        <v>490</v>
      </c>
      <c r="N510" s="2">
        <v>2</v>
      </c>
      <c r="O510" s="2">
        <f t="shared" si="50"/>
        <v>245</v>
      </c>
      <c r="P510" s="2">
        <f t="shared" si="51"/>
        <v>2.4921167734716714</v>
      </c>
      <c r="Q510" s="3">
        <f t="shared" si="52"/>
        <v>0.20063265306122449</v>
      </c>
    </row>
    <row r="511" spans="1:17" hidden="1" x14ac:dyDescent="0.25">
      <c r="A511" t="s">
        <v>570</v>
      </c>
      <c r="B511" t="s">
        <v>35</v>
      </c>
      <c r="C511" t="s">
        <v>54</v>
      </c>
      <c r="D511" t="str">
        <f t="shared" si="48"/>
        <v>FL</v>
      </c>
      <c r="E511" t="str">
        <f t="shared" si="49"/>
        <v>Southeast</v>
      </c>
      <c r="F511" t="s">
        <v>42</v>
      </c>
      <c r="G511" s="1">
        <v>45092</v>
      </c>
      <c r="H511" s="1">
        <v>45095</v>
      </c>
      <c r="I511" s="1">
        <f t="shared" si="47"/>
        <v>45095</v>
      </c>
      <c r="J511" s="2">
        <v>20.100000000000001</v>
      </c>
      <c r="K511" s="2">
        <v>195.91</v>
      </c>
      <c r="L511" t="s">
        <v>15</v>
      </c>
      <c r="M511" s="2">
        <v>1350</v>
      </c>
      <c r="N511" s="2">
        <v>3</v>
      </c>
      <c r="O511" s="2">
        <f t="shared" si="50"/>
        <v>450</v>
      </c>
      <c r="P511" s="2">
        <f t="shared" si="51"/>
        <v>2.2969730998928082</v>
      </c>
      <c r="Q511" s="3">
        <f t="shared" si="52"/>
        <v>0.14511851851851851</v>
      </c>
    </row>
    <row r="512" spans="1:17" x14ac:dyDescent="0.25">
      <c r="A512" t="s">
        <v>571</v>
      </c>
      <c r="B512" t="s">
        <v>30</v>
      </c>
      <c r="C512" t="s">
        <v>36</v>
      </c>
      <c r="D512" t="str">
        <f t="shared" si="48"/>
        <v>OR</v>
      </c>
      <c r="E512" t="str">
        <f t="shared" si="49"/>
        <v>West</v>
      </c>
      <c r="F512" t="s">
        <v>37</v>
      </c>
      <c r="G512" s="1">
        <v>45034</v>
      </c>
      <c r="H512" s="1">
        <v>45048</v>
      </c>
      <c r="I512" s="1">
        <f t="shared" si="47"/>
        <v>45048</v>
      </c>
      <c r="J512" s="2">
        <v>24.7</v>
      </c>
      <c r="K512" s="2">
        <v>221.91</v>
      </c>
      <c r="L512" t="s">
        <v>47</v>
      </c>
      <c r="M512" s="2">
        <v>1572</v>
      </c>
      <c r="N512" s="2">
        <v>6</v>
      </c>
      <c r="O512" s="2">
        <f t="shared" si="50"/>
        <v>262</v>
      </c>
      <c r="P512" s="2">
        <f t="shared" si="51"/>
        <v>1.1806588256500383</v>
      </c>
      <c r="Q512" s="3">
        <f t="shared" si="52"/>
        <v>0.14116412213740459</v>
      </c>
    </row>
    <row r="513" spans="1:17" hidden="1" x14ac:dyDescent="0.25">
      <c r="A513" t="s">
        <v>572</v>
      </c>
      <c r="B513" t="s">
        <v>30</v>
      </c>
      <c r="C513" t="s">
        <v>40</v>
      </c>
      <c r="D513" t="str">
        <f t="shared" si="48"/>
        <v>MI</v>
      </c>
      <c r="E513" t="str">
        <f t="shared" si="49"/>
        <v>Midwest</v>
      </c>
      <c r="F513" t="s">
        <v>37</v>
      </c>
      <c r="G513" s="1">
        <v>45242</v>
      </c>
      <c r="H513" s="1">
        <v>45246</v>
      </c>
      <c r="I513" s="1">
        <f t="shared" si="47"/>
        <v>45246</v>
      </c>
      <c r="J513" s="2">
        <v>6.9</v>
      </c>
      <c r="K513" s="2">
        <v>213.81</v>
      </c>
      <c r="L513" t="s">
        <v>15</v>
      </c>
      <c r="M513" s="2">
        <v>1517</v>
      </c>
      <c r="N513" s="2">
        <v>4</v>
      </c>
      <c r="O513" s="2">
        <f t="shared" si="50"/>
        <v>379.25</v>
      </c>
      <c r="P513" s="2">
        <f t="shared" si="51"/>
        <v>1.7737711051868481</v>
      </c>
      <c r="Q513" s="3">
        <f t="shared" si="52"/>
        <v>0.1409426499670402</v>
      </c>
    </row>
    <row r="514" spans="1:17" x14ac:dyDescent="0.25">
      <c r="A514" t="s">
        <v>573</v>
      </c>
      <c r="B514" t="s">
        <v>27</v>
      </c>
      <c r="C514" t="s">
        <v>81</v>
      </c>
      <c r="D514" t="str">
        <f t="shared" si="48"/>
        <v>CO</v>
      </c>
      <c r="E514" t="str">
        <f t="shared" si="49"/>
        <v>West</v>
      </c>
      <c r="F514" t="s">
        <v>18</v>
      </c>
      <c r="G514" s="1">
        <v>45114</v>
      </c>
      <c r="H514" s="1">
        <v>45118</v>
      </c>
      <c r="I514" s="1">
        <f t="shared" ref="I514:I577" si="53">IF(H514="", G514 + N514, H514)</f>
        <v>45118</v>
      </c>
      <c r="J514" s="2">
        <v>34.700000000000003</v>
      </c>
      <c r="K514" s="2">
        <v>304.3</v>
      </c>
      <c r="L514" t="s">
        <v>15</v>
      </c>
      <c r="M514" s="2">
        <v>1785</v>
      </c>
      <c r="N514" s="2">
        <v>4</v>
      </c>
      <c r="O514" s="2">
        <f t="shared" si="50"/>
        <v>446.25</v>
      </c>
      <c r="P514" s="2">
        <f t="shared" si="51"/>
        <v>1.4664804469273742</v>
      </c>
      <c r="Q514" s="3">
        <f t="shared" si="52"/>
        <v>0.17047619047619048</v>
      </c>
    </row>
    <row r="515" spans="1:17" hidden="1" x14ac:dyDescent="0.25">
      <c r="A515" t="s">
        <v>574</v>
      </c>
      <c r="B515" t="s">
        <v>27</v>
      </c>
      <c r="C515" t="s">
        <v>57</v>
      </c>
      <c r="D515" t="str">
        <f t="shared" si="48"/>
        <v>MN</v>
      </c>
      <c r="E515" t="str">
        <f t="shared" si="49"/>
        <v>Midwest</v>
      </c>
      <c r="F515" t="s">
        <v>25</v>
      </c>
      <c r="G515" s="1">
        <v>45040</v>
      </c>
      <c r="H515" s="1">
        <v>45043</v>
      </c>
      <c r="I515" s="1">
        <f t="shared" si="53"/>
        <v>45043</v>
      </c>
      <c r="J515" s="2">
        <v>20.3</v>
      </c>
      <c r="K515" s="2">
        <v>89.33</v>
      </c>
      <c r="L515" t="s">
        <v>15</v>
      </c>
      <c r="M515" s="2">
        <v>543</v>
      </c>
      <c r="N515" s="2">
        <v>3</v>
      </c>
      <c r="O515" s="2">
        <f t="shared" si="50"/>
        <v>181</v>
      </c>
      <c r="P515" s="2">
        <f t="shared" si="51"/>
        <v>2.026195007276391</v>
      </c>
      <c r="Q515" s="3">
        <f t="shared" si="52"/>
        <v>0.16451197053406999</v>
      </c>
    </row>
    <row r="516" spans="1:17" hidden="1" x14ac:dyDescent="0.25">
      <c r="A516" t="s">
        <v>575</v>
      </c>
      <c r="B516" t="s">
        <v>20</v>
      </c>
      <c r="C516" t="s">
        <v>52</v>
      </c>
      <c r="D516" t="str">
        <f t="shared" si="48"/>
        <v>AZ</v>
      </c>
      <c r="E516" t="str">
        <f t="shared" si="49"/>
        <v>Southwest</v>
      </c>
      <c r="F516" t="s">
        <v>25</v>
      </c>
      <c r="G516" s="1">
        <v>44960</v>
      </c>
      <c r="H516" s="1">
        <v>44963</v>
      </c>
      <c r="I516" s="1">
        <f t="shared" si="53"/>
        <v>44963</v>
      </c>
      <c r="J516" s="2">
        <v>32.200000000000003</v>
      </c>
      <c r="K516" s="2">
        <v>83.7</v>
      </c>
      <c r="L516" t="s">
        <v>15</v>
      </c>
      <c r="M516" s="2">
        <v>373</v>
      </c>
      <c r="N516" s="2">
        <v>3</v>
      </c>
      <c r="O516" s="2">
        <f t="shared" si="50"/>
        <v>124.33333333333333</v>
      </c>
      <c r="P516" s="2">
        <f t="shared" si="51"/>
        <v>1.485463958582238</v>
      </c>
      <c r="Q516" s="3">
        <f t="shared" si="52"/>
        <v>0.22439678284182307</v>
      </c>
    </row>
    <row r="517" spans="1:17" x14ac:dyDescent="0.25">
      <c r="A517" t="s">
        <v>576</v>
      </c>
      <c r="B517" t="s">
        <v>30</v>
      </c>
      <c r="C517" t="s">
        <v>13</v>
      </c>
      <c r="D517" t="str">
        <f t="shared" si="48"/>
        <v>CA</v>
      </c>
      <c r="E517" t="str">
        <f t="shared" si="49"/>
        <v>West</v>
      </c>
      <c r="F517" t="s">
        <v>25</v>
      </c>
      <c r="G517" s="1">
        <v>45090</v>
      </c>
      <c r="H517" s="1">
        <v>45093</v>
      </c>
      <c r="I517" s="1">
        <f t="shared" si="53"/>
        <v>45093</v>
      </c>
      <c r="J517" s="2">
        <v>34.700000000000003</v>
      </c>
      <c r="K517" s="2">
        <v>183.65</v>
      </c>
      <c r="L517" t="s">
        <v>15</v>
      </c>
      <c r="M517" s="2">
        <v>1055</v>
      </c>
      <c r="N517" s="2">
        <v>3</v>
      </c>
      <c r="O517" s="2">
        <f t="shared" si="50"/>
        <v>351.66666666666669</v>
      </c>
      <c r="P517" s="2">
        <f t="shared" si="51"/>
        <v>1.9148743080134314</v>
      </c>
      <c r="Q517" s="3">
        <f t="shared" si="52"/>
        <v>0.17407582938388627</v>
      </c>
    </row>
    <row r="518" spans="1:17" hidden="1" x14ac:dyDescent="0.25">
      <c r="A518" t="s">
        <v>577</v>
      </c>
      <c r="B518" t="s">
        <v>12</v>
      </c>
      <c r="C518" t="s">
        <v>17</v>
      </c>
      <c r="D518" t="str">
        <f t="shared" si="48"/>
        <v>GA</v>
      </c>
      <c r="E518" t="str">
        <f t="shared" si="49"/>
        <v>Southeast</v>
      </c>
      <c r="F518" t="s">
        <v>32</v>
      </c>
      <c r="G518" s="1">
        <v>45127</v>
      </c>
      <c r="H518" s="1">
        <v>45133</v>
      </c>
      <c r="I518" s="1">
        <f t="shared" si="53"/>
        <v>45133</v>
      </c>
      <c r="J518" s="2">
        <v>19.399999999999999</v>
      </c>
      <c r="K518" s="2">
        <v>323.37</v>
      </c>
      <c r="L518" t="s">
        <v>15</v>
      </c>
      <c r="M518" s="2">
        <v>2177</v>
      </c>
      <c r="N518" s="2">
        <v>6</v>
      </c>
      <c r="O518" s="2">
        <f t="shared" si="50"/>
        <v>362.83333333333331</v>
      </c>
      <c r="P518" s="2">
        <f t="shared" si="51"/>
        <v>1.1220377070641472</v>
      </c>
      <c r="Q518" s="3">
        <f t="shared" si="52"/>
        <v>0.14853927423059257</v>
      </c>
    </row>
    <row r="519" spans="1:17" hidden="1" x14ac:dyDescent="0.25">
      <c r="A519" t="s">
        <v>578</v>
      </c>
      <c r="B519" t="s">
        <v>51</v>
      </c>
      <c r="C519" t="s">
        <v>21</v>
      </c>
      <c r="D519" t="str">
        <f t="shared" si="48"/>
        <v>TX</v>
      </c>
      <c r="E519" t="str">
        <f t="shared" si="49"/>
        <v>Southwest</v>
      </c>
      <c r="F519" t="s">
        <v>14</v>
      </c>
      <c r="G519" s="1">
        <v>45243</v>
      </c>
      <c r="H519" s="1">
        <v>45248</v>
      </c>
      <c r="I519" s="1">
        <f t="shared" si="53"/>
        <v>45248</v>
      </c>
      <c r="J519" s="2">
        <v>5.5</v>
      </c>
      <c r="K519" s="2">
        <v>248.81</v>
      </c>
      <c r="L519" t="s">
        <v>15</v>
      </c>
      <c r="M519" s="2">
        <v>1769</v>
      </c>
      <c r="N519" s="2">
        <v>5</v>
      </c>
      <c r="O519" s="2">
        <f t="shared" si="50"/>
        <v>353.8</v>
      </c>
      <c r="P519" s="2">
        <f t="shared" si="51"/>
        <v>1.4219685703950806</v>
      </c>
      <c r="Q519" s="3">
        <f t="shared" si="52"/>
        <v>0.14065008479366875</v>
      </c>
    </row>
    <row r="520" spans="1:17" hidden="1" x14ac:dyDescent="0.25">
      <c r="A520" t="s">
        <v>579</v>
      </c>
      <c r="B520" t="s">
        <v>39</v>
      </c>
      <c r="C520" t="s">
        <v>46</v>
      </c>
      <c r="D520" t="str">
        <f t="shared" si="48"/>
        <v>MA</v>
      </c>
      <c r="E520" t="str">
        <f t="shared" si="49"/>
        <v>Northeast</v>
      </c>
      <c r="F520" t="s">
        <v>37</v>
      </c>
      <c r="G520" s="1">
        <v>45203</v>
      </c>
      <c r="H520" s="1">
        <v>45206</v>
      </c>
      <c r="I520" s="1">
        <f t="shared" si="53"/>
        <v>45206</v>
      </c>
      <c r="J520" s="2">
        <v>37.9</v>
      </c>
      <c r="K520" s="2">
        <v>186.54</v>
      </c>
      <c r="L520" t="s">
        <v>15</v>
      </c>
      <c r="M520" s="2">
        <v>1126</v>
      </c>
      <c r="N520" s="2">
        <v>3</v>
      </c>
      <c r="O520" s="2">
        <f t="shared" si="50"/>
        <v>375.33333333333331</v>
      </c>
      <c r="P520" s="2">
        <f t="shared" si="51"/>
        <v>2.0120796254601339</v>
      </c>
      <c r="Q520" s="3">
        <f t="shared" si="52"/>
        <v>0.16566607460035523</v>
      </c>
    </row>
    <row r="521" spans="1:17" hidden="1" x14ac:dyDescent="0.25">
      <c r="A521" t="s">
        <v>580</v>
      </c>
      <c r="B521" t="s">
        <v>20</v>
      </c>
      <c r="C521" t="s">
        <v>57</v>
      </c>
      <c r="D521" t="str">
        <f t="shared" si="48"/>
        <v>MN</v>
      </c>
      <c r="E521" t="str">
        <f t="shared" si="49"/>
        <v>Midwest</v>
      </c>
      <c r="F521" t="s">
        <v>42</v>
      </c>
      <c r="G521" s="1">
        <v>45122</v>
      </c>
      <c r="H521" s="1">
        <v>45127</v>
      </c>
      <c r="I521" s="1">
        <f t="shared" si="53"/>
        <v>45127</v>
      </c>
      <c r="J521" s="2">
        <v>36.4</v>
      </c>
      <c r="K521" s="2">
        <v>257.54000000000002</v>
      </c>
      <c r="L521" t="s">
        <v>15</v>
      </c>
      <c r="M521" s="2">
        <v>1685</v>
      </c>
      <c r="N521" s="2">
        <v>5</v>
      </c>
      <c r="O521" s="2">
        <f t="shared" si="50"/>
        <v>337</v>
      </c>
      <c r="P521" s="2">
        <f t="shared" si="51"/>
        <v>1.3085345965675235</v>
      </c>
      <c r="Q521" s="3">
        <f t="shared" si="52"/>
        <v>0.15284272997032641</v>
      </c>
    </row>
    <row r="522" spans="1:17" hidden="1" x14ac:dyDescent="0.25">
      <c r="A522" t="s">
        <v>581</v>
      </c>
      <c r="B522" t="s">
        <v>30</v>
      </c>
      <c r="C522" t="s">
        <v>28</v>
      </c>
      <c r="D522" t="str">
        <f t="shared" si="48"/>
        <v>TX</v>
      </c>
      <c r="E522" t="str">
        <f t="shared" si="49"/>
        <v>Southwest</v>
      </c>
      <c r="F522" t="s">
        <v>25</v>
      </c>
      <c r="G522" s="1">
        <v>44986</v>
      </c>
      <c r="H522" s="1">
        <v>44991</v>
      </c>
      <c r="I522" s="1">
        <f t="shared" si="53"/>
        <v>44991</v>
      </c>
      <c r="J522" s="2">
        <v>31.4</v>
      </c>
      <c r="K522" s="2">
        <v>130.31</v>
      </c>
      <c r="L522" t="s">
        <v>15</v>
      </c>
      <c r="M522" s="2">
        <v>838</v>
      </c>
      <c r="N522" s="2">
        <v>5</v>
      </c>
      <c r="O522" s="2">
        <f t="shared" si="50"/>
        <v>167.6</v>
      </c>
      <c r="P522" s="2">
        <f t="shared" si="51"/>
        <v>1.2861637633335892</v>
      </c>
      <c r="Q522" s="3">
        <f t="shared" si="52"/>
        <v>0.15550119331742243</v>
      </c>
    </row>
    <row r="523" spans="1:17" hidden="1" x14ac:dyDescent="0.25">
      <c r="A523" t="s">
        <v>582</v>
      </c>
      <c r="B523" t="s">
        <v>30</v>
      </c>
      <c r="C523" t="s">
        <v>54</v>
      </c>
      <c r="D523" t="str">
        <f t="shared" si="48"/>
        <v>FL</v>
      </c>
      <c r="E523" t="str">
        <f t="shared" si="49"/>
        <v>Southeast</v>
      </c>
      <c r="F523" t="s">
        <v>25</v>
      </c>
      <c r="G523" s="1">
        <v>44988</v>
      </c>
      <c r="H523" s="1">
        <v>44994</v>
      </c>
      <c r="I523" s="1">
        <f t="shared" si="53"/>
        <v>44994</v>
      </c>
      <c r="J523" s="2">
        <v>13.3</v>
      </c>
      <c r="K523" s="2">
        <v>236.71</v>
      </c>
      <c r="L523" t="s">
        <v>62</v>
      </c>
      <c r="M523" s="2">
        <v>2025</v>
      </c>
      <c r="N523" s="2">
        <v>6</v>
      </c>
      <c r="O523" s="2">
        <f t="shared" si="50"/>
        <v>337.5</v>
      </c>
      <c r="P523" s="2">
        <f t="shared" si="51"/>
        <v>1.4257952769211271</v>
      </c>
      <c r="Q523" s="3">
        <f t="shared" si="52"/>
        <v>0.11689382716049383</v>
      </c>
    </row>
    <row r="524" spans="1:17" x14ac:dyDescent="0.25">
      <c r="A524" t="s">
        <v>583</v>
      </c>
      <c r="B524" t="s">
        <v>51</v>
      </c>
      <c r="C524" t="s">
        <v>24</v>
      </c>
      <c r="D524" t="str">
        <f t="shared" si="48"/>
        <v>WA</v>
      </c>
      <c r="E524" t="str">
        <f t="shared" si="49"/>
        <v>West</v>
      </c>
      <c r="F524" t="s">
        <v>42</v>
      </c>
      <c r="G524" s="1">
        <v>45029</v>
      </c>
      <c r="H524" s="1">
        <v>45030</v>
      </c>
      <c r="I524" s="1">
        <f t="shared" si="53"/>
        <v>45030</v>
      </c>
      <c r="J524" s="2">
        <v>15.4</v>
      </c>
      <c r="K524" s="2">
        <v>33.51</v>
      </c>
      <c r="L524" t="s">
        <v>15</v>
      </c>
      <c r="M524" s="2">
        <v>121</v>
      </c>
      <c r="N524" s="2">
        <v>1</v>
      </c>
      <c r="O524" s="2">
        <f t="shared" si="50"/>
        <v>121</v>
      </c>
      <c r="P524" s="2">
        <f t="shared" si="51"/>
        <v>3.6108624291256342</v>
      </c>
      <c r="Q524" s="3">
        <f t="shared" si="52"/>
        <v>0.27694214876033058</v>
      </c>
    </row>
    <row r="525" spans="1:17" hidden="1" x14ac:dyDescent="0.25">
      <c r="A525" t="s">
        <v>584</v>
      </c>
      <c r="B525" t="s">
        <v>51</v>
      </c>
      <c r="C525" t="s">
        <v>44</v>
      </c>
      <c r="D525" t="str">
        <f t="shared" si="48"/>
        <v>IL</v>
      </c>
      <c r="E525" t="str">
        <f t="shared" si="49"/>
        <v>Midwest</v>
      </c>
      <c r="F525" t="s">
        <v>32</v>
      </c>
      <c r="G525" s="1">
        <v>45010</v>
      </c>
      <c r="H525" s="1">
        <v>45024</v>
      </c>
      <c r="I525" s="1">
        <f t="shared" si="53"/>
        <v>45024</v>
      </c>
      <c r="J525" s="2">
        <v>11.1</v>
      </c>
      <c r="K525" s="2">
        <v>113.5</v>
      </c>
      <c r="L525" t="s">
        <v>47</v>
      </c>
      <c r="M525" s="2">
        <v>790</v>
      </c>
      <c r="N525" s="2">
        <v>4</v>
      </c>
      <c r="O525" s="2">
        <f t="shared" si="50"/>
        <v>197.5</v>
      </c>
      <c r="P525" s="2">
        <f t="shared" si="51"/>
        <v>1.7400881057268722</v>
      </c>
      <c r="Q525" s="3">
        <f t="shared" si="52"/>
        <v>0.14367088607594936</v>
      </c>
    </row>
    <row r="526" spans="1:17" hidden="1" x14ac:dyDescent="0.25">
      <c r="A526" t="s">
        <v>585</v>
      </c>
      <c r="B526" t="s">
        <v>30</v>
      </c>
      <c r="C526" t="s">
        <v>21</v>
      </c>
      <c r="D526" t="str">
        <f t="shared" si="48"/>
        <v>TX</v>
      </c>
      <c r="E526" t="str">
        <f t="shared" si="49"/>
        <v>Southwest</v>
      </c>
      <c r="F526" t="s">
        <v>42</v>
      </c>
      <c r="G526" s="1">
        <v>45030</v>
      </c>
      <c r="H526" s="1">
        <v>45033</v>
      </c>
      <c r="I526" s="1">
        <f t="shared" si="53"/>
        <v>45033</v>
      </c>
      <c r="J526" s="2">
        <v>51.4</v>
      </c>
      <c r="K526" s="2">
        <v>143.25</v>
      </c>
      <c r="L526" t="s">
        <v>15</v>
      </c>
      <c r="M526" s="2">
        <v>582</v>
      </c>
      <c r="N526" s="2">
        <v>3</v>
      </c>
      <c r="O526" s="2">
        <f t="shared" si="50"/>
        <v>194</v>
      </c>
      <c r="P526" s="2">
        <f t="shared" si="51"/>
        <v>1.3542757417102966</v>
      </c>
      <c r="Q526" s="3">
        <f t="shared" si="52"/>
        <v>0.24613402061855671</v>
      </c>
    </row>
    <row r="527" spans="1:17" hidden="1" x14ac:dyDescent="0.25">
      <c r="A527" t="s">
        <v>586</v>
      </c>
      <c r="B527" t="s">
        <v>30</v>
      </c>
      <c r="C527" t="s">
        <v>31</v>
      </c>
      <c r="D527" t="str">
        <f t="shared" si="48"/>
        <v>NY</v>
      </c>
      <c r="E527" t="str">
        <f t="shared" si="49"/>
        <v>Northeast</v>
      </c>
      <c r="F527" t="s">
        <v>42</v>
      </c>
      <c r="G527" s="1">
        <v>45063</v>
      </c>
      <c r="H527" s="1">
        <v>45064</v>
      </c>
      <c r="I527" s="1">
        <f t="shared" si="53"/>
        <v>45064</v>
      </c>
      <c r="J527" s="2">
        <v>55.6</v>
      </c>
      <c r="K527" s="2">
        <v>101.32</v>
      </c>
      <c r="L527" t="s">
        <v>15</v>
      </c>
      <c r="M527" s="2">
        <v>357</v>
      </c>
      <c r="N527" s="2">
        <v>1</v>
      </c>
      <c r="O527" s="2">
        <f t="shared" si="50"/>
        <v>357</v>
      </c>
      <c r="P527" s="2">
        <f t="shared" si="51"/>
        <v>3.5234899328859064</v>
      </c>
      <c r="Q527" s="3">
        <f t="shared" si="52"/>
        <v>0.28380952380952379</v>
      </c>
    </row>
    <row r="528" spans="1:17" hidden="1" x14ac:dyDescent="0.25">
      <c r="A528" t="s">
        <v>587</v>
      </c>
      <c r="B528" t="s">
        <v>27</v>
      </c>
      <c r="C528" t="s">
        <v>28</v>
      </c>
      <c r="D528" t="str">
        <f t="shared" si="48"/>
        <v>TX</v>
      </c>
      <c r="E528" t="str">
        <f t="shared" si="49"/>
        <v>Southwest</v>
      </c>
      <c r="F528" t="s">
        <v>37</v>
      </c>
      <c r="G528" s="1">
        <v>44999</v>
      </c>
      <c r="H528" s="1">
        <v>45003</v>
      </c>
      <c r="I528" s="1">
        <f t="shared" si="53"/>
        <v>45003</v>
      </c>
      <c r="J528" s="2">
        <v>30.9</v>
      </c>
      <c r="K528" s="2">
        <v>151.63</v>
      </c>
      <c r="L528" t="s">
        <v>15</v>
      </c>
      <c r="M528" s="2">
        <v>961</v>
      </c>
      <c r="N528" s="2">
        <v>4</v>
      </c>
      <c r="O528" s="2">
        <f t="shared" si="50"/>
        <v>240.25</v>
      </c>
      <c r="P528" s="2">
        <f t="shared" si="51"/>
        <v>1.5844489876673482</v>
      </c>
      <c r="Q528" s="3">
        <f t="shared" si="52"/>
        <v>0.15778355879292402</v>
      </c>
    </row>
    <row r="529" spans="1:17" hidden="1" x14ac:dyDescent="0.25">
      <c r="A529" t="s">
        <v>588</v>
      </c>
      <c r="B529" t="s">
        <v>39</v>
      </c>
      <c r="C529" t="s">
        <v>54</v>
      </c>
      <c r="D529" t="str">
        <f t="shared" si="48"/>
        <v>FL</v>
      </c>
      <c r="E529" t="str">
        <f t="shared" si="49"/>
        <v>Southeast</v>
      </c>
      <c r="F529" t="s">
        <v>32</v>
      </c>
      <c r="G529" s="1">
        <v>45093</v>
      </c>
      <c r="H529" s="1">
        <v>45100</v>
      </c>
      <c r="I529" s="1">
        <f t="shared" si="53"/>
        <v>45100</v>
      </c>
      <c r="J529" s="2">
        <v>5.4</v>
      </c>
      <c r="K529" s="2">
        <v>187.36</v>
      </c>
      <c r="L529" t="s">
        <v>15</v>
      </c>
      <c r="M529" s="2">
        <v>1292</v>
      </c>
      <c r="N529" s="2">
        <v>7</v>
      </c>
      <c r="O529" s="2">
        <f t="shared" si="50"/>
        <v>184.57142857142858</v>
      </c>
      <c r="P529" s="2">
        <f t="shared" si="51"/>
        <v>0.98511650603879464</v>
      </c>
      <c r="Q529" s="3">
        <f t="shared" si="52"/>
        <v>0.14501547987616101</v>
      </c>
    </row>
    <row r="530" spans="1:17" x14ac:dyDescent="0.25">
      <c r="A530" t="s">
        <v>589</v>
      </c>
      <c r="B530" t="s">
        <v>12</v>
      </c>
      <c r="C530" t="s">
        <v>70</v>
      </c>
      <c r="D530" t="str">
        <f t="shared" si="48"/>
        <v>CA</v>
      </c>
      <c r="E530" t="str">
        <f t="shared" si="49"/>
        <v>West</v>
      </c>
      <c r="F530" t="s">
        <v>32</v>
      </c>
      <c r="G530" s="1">
        <v>45036</v>
      </c>
      <c r="H530" s="1">
        <v>45037</v>
      </c>
      <c r="I530" s="1">
        <f t="shared" si="53"/>
        <v>45037</v>
      </c>
      <c r="J530" s="2">
        <v>35.4</v>
      </c>
      <c r="K530" s="2">
        <v>88.87</v>
      </c>
      <c r="L530" t="s">
        <v>15</v>
      </c>
      <c r="M530" s="2">
        <v>320</v>
      </c>
      <c r="N530" s="2">
        <v>1</v>
      </c>
      <c r="O530" s="2">
        <f t="shared" si="50"/>
        <v>320</v>
      </c>
      <c r="P530" s="2">
        <f t="shared" si="51"/>
        <v>3.6007651625970518</v>
      </c>
      <c r="Q530" s="3">
        <f t="shared" si="52"/>
        <v>0.27771875000000001</v>
      </c>
    </row>
    <row r="531" spans="1:17" x14ac:dyDescent="0.25">
      <c r="A531" t="s">
        <v>591</v>
      </c>
      <c r="B531" t="s">
        <v>49</v>
      </c>
      <c r="C531" t="s">
        <v>24</v>
      </c>
      <c r="D531" t="str">
        <f t="shared" si="48"/>
        <v>WA</v>
      </c>
      <c r="E531" t="str">
        <f t="shared" si="49"/>
        <v>West</v>
      </c>
      <c r="F531" t="s">
        <v>42</v>
      </c>
      <c r="G531" s="1">
        <v>45192</v>
      </c>
      <c r="H531" s="1">
        <v>45197</v>
      </c>
      <c r="I531" s="1">
        <f t="shared" si="53"/>
        <v>45197</v>
      </c>
      <c r="J531" s="2">
        <v>27.5</v>
      </c>
      <c r="K531" s="2">
        <v>227.05</v>
      </c>
      <c r="L531" t="s">
        <v>15</v>
      </c>
      <c r="M531" s="2">
        <v>1611</v>
      </c>
      <c r="N531" s="2">
        <v>5</v>
      </c>
      <c r="O531" s="2">
        <f t="shared" si="50"/>
        <v>322.2</v>
      </c>
      <c r="P531" s="2">
        <f t="shared" si="51"/>
        <v>1.4190706892754898</v>
      </c>
      <c r="Q531" s="3">
        <f t="shared" si="52"/>
        <v>0.14093730602110491</v>
      </c>
    </row>
    <row r="532" spans="1:17" hidden="1" x14ac:dyDescent="0.25">
      <c r="A532" t="s">
        <v>592</v>
      </c>
      <c r="B532" t="s">
        <v>30</v>
      </c>
      <c r="C532" t="s">
        <v>52</v>
      </c>
      <c r="D532" t="str">
        <f t="shared" si="48"/>
        <v>AZ</v>
      </c>
      <c r="E532" t="str">
        <f t="shared" si="49"/>
        <v>Southwest</v>
      </c>
      <c r="F532" t="s">
        <v>42</v>
      </c>
      <c r="G532" s="1">
        <v>45213</v>
      </c>
      <c r="H532" s="1">
        <v>45218</v>
      </c>
      <c r="I532" s="1">
        <f t="shared" si="53"/>
        <v>45218</v>
      </c>
      <c r="J532" s="2">
        <v>22.8</v>
      </c>
      <c r="K532" s="2">
        <v>184.9</v>
      </c>
      <c r="L532" t="s">
        <v>15</v>
      </c>
      <c r="M532" s="2">
        <v>1288</v>
      </c>
      <c r="N532" s="2">
        <v>5</v>
      </c>
      <c r="O532" s="2">
        <f t="shared" si="50"/>
        <v>257.60000000000002</v>
      </c>
      <c r="P532" s="2">
        <f t="shared" si="51"/>
        <v>1.3931855056787454</v>
      </c>
      <c r="Q532" s="3">
        <f t="shared" si="52"/>
        <v>0.143555900621118</v>
      </c>
    </row>
    <row r="533" spans="1:17" x14ac:dyDescent="0.25">
      <c r="A533" t="s">
        <v>593</v>
      </c>
      <c r="B533" t="s">
        <v>27</v>
      </c>
      <c r="C533" t="s">
        <v>36</v>
      </c>
      <c r="D533" t="str">
        <f t="shared" si="48"/>
        <v>OR</v>
      </c>
      <c r="E533" t="str">
        <f t="shared" si="49"/>
        <v>West</v>
      </c>
      <c r="F533" t="s">
        <v>32</v>
      </c>
      <c r="G533" s="1">
        <v>44945</v>
      </c>
      <c r="H533" s="1">
        <v>44949</v>
      </c>
      <c r="I533" s="1">
        <f t="shared" si="53"/>
        <v>44949</v>
      </c>
      <c r="J533" s="2">
        <v>21.7</v>
      </c>
      <c r="K533" s="2">
        <v>139.26</v>
      </c>
      <c r="L533" t="s">
        <v>15</v>
      </c>
      <c r="M533" s="2">
        <v>896</v>
      </c>
      <c r="N533" s="2">
        <v>4</v>
      </c>
      <c r="O533" s="2">
        <f t="shared" si="50"/>
        <v>224</v>
      </c>
      <c r="P533" s="2">
        <f t="shared" si="51"/>
        <v>1.6085020824357319</v>
      </c>
      <c r="Q533" s="3">
        <f t="shared" si="52"/>
        <v>0.15542410714285712</v>
      </c>
    </row>
    <row r="534" spans="1:17" hidden="1" x14ac:dyDescent="0.25">
      <c r="A534" t="s">
        <v>594</v>
      </c>
      <c r="B534" t="s">
        <v>20</v>
      </c>
      <c r="C534" t="s">
        <v>46</v>
      </c>
      <c r="D534" t="str">
        <f t="shared" si="48"/>
        <v>MA</v>
      </c>
      <c r="E534" t="str">
        <f t="shared" si="49"/>
        <v>Northeast</v>
      </c>
      <c r="F534" t="s">
        <v>14</v>
      </c>
      <c r="G534" s="1">
        <v>45102</v>
      </c>
      <c r="H534" s="1">
        <v>45109</v>
      </c>
      <c r="I534" s="1">
        <f t="shared" si="53"/>
        <v>45109</v>
      </c>
      <c r="J534" s="2">
        <v>37</v>
      </c>
      <c r="K534" s="2">
        <v>208.58</v>
      </c>
      <c r="L534" t="s">
        <v>15</v>
      </c>
      <c r="M534" s="2">
        <v>1452</v>
      </c>
      <c r="N534" s="2">
        <v>7</v>
      </c>
      <c r="O534" s="2">
        <f t="shared" si="50"/>
        <v>207.42857142857142</v>
      </c>
      <c r="P534" s="2">
        <f t="shared" si="51"/>
        <v>0.9944796789173046</v>
      </c>
      <c r="Q534" s="3">
        <f t="shared" si="52"/>
        <v>0.14365013774104685</v>
      </c>
    </row>
    <row r="535" spans="1:17" hidden="1" x14ac:dyDescent="0.25">
      <c r="A535" t="s">
        <v>595</v>
      </c>
      <c r="B535" t="s">
        <v>27</v>
      </c>
      <c r="C535" t="s">
        <v>28</v>
      </c>
      <c r="D535" t="str">
        <f t="shared" si="48"/>
        <v>TX</v>
      </c>
      <c r="E535" t="str">
        <f t="shared" si="49"/>
        <v>Southwest</v>
      </c>
      <c r="F535" t="s">
        <v>14</v>
      </c>
      <c r="G535" s="1">
        <v>45050</v>
      </c>
      <c r="H535" s="1">
        <v>45052</v>
      </c>
      <c r="I535" s="1">
        <f t="shared" si="53"/>
        <v>45052</v>
      </c>
      <c r="J535" s="2">
        <v>20.100000000000001</v>
      </c>
      <c r="K535" s="2">
        <v>50.48</v>
      </c>
      <c r="L535" t="s">
        <v>62</v>
      </c>
      <c r="M535" s="2">
        <v>210</v>
      </c>
      <c r="N535" s="2">
        <v>2</v>
      </c>
      <c r="O535" s="2">
        <f t="shared" si="50"/>
        <v>105</v>
      </c>
      <c r="P535" s="2">
        <f t="shared" si="51"/>
        <v>2.0800316957210776</v>
      </c>
      <c r="Q535" s="3">
        <f t="shared" si="52"/>
        <v>0.24038095238095236</v>
      </c>
    </row>
    <row r="536" spans="1:17" x14ac:dyDescent="0.25">
      <c r="A536" t="s">
        <v>596</v>
      </c>
      <c r="B536" t="s">
        <v>35</v>
      </c>
      <c r="C536" t="s">
        <v>36</v>
      </c>
      <c r="D536" t="str">
        <f t="shared" si="48"/>
        <v>OR</v>
      </c>
      <c r="E536" t="str">
        <f t="shared" si="49"/>
        <v>West</v>
      </c>
      <c r="F536" t="s">
        <v>32</v>
      </c>
      <c r="G536" s="1">
        <v>44938</v>
      </c>
      <c r="H536" s="1">
        <v>44940</v>
      </c>
      <c r="I536" s="1">
        <f t="shared" si="53"/>
        <v>44940</v>
      </c>
      <c r="J536" s="2">
        <v>20.8</v>
      </c>
      <c r="K536" s="2">
        <v>74.77</v>
      </c>
      <c r="L536" t="s">
        <v>15</v>
      </c>
      <c r="M536" s="2">
        <v>389</v>
      </c>
      <c r="N536" s="2">
        <v>2</v>
      </c>
      <c r="O536" s="2">
        <f t="shared" si="50"/>
        <v>194.5</v>
      </c>
      <c r="P536" s="2">
        <f t="shared" si="51"/>
        <v>2.6013106861040525</v>
      </c>
      <c r="Q536" s="3">
        <f t="shared" si="52"/>
        <v>0.1922107969151671</v>
      </c>
    </row>
    <row r="537" spans="1:17" hidden="1" x14ac:dyDescent="0.25">
      <c r="A537" t="s">
        <v>597</v>
      </c>
      <c r="B537" t="s">
        <v>20</v>
      </c>
      <c r="C537" t="s">
        <v>31</v>
      </c>
      <c r="D537" t="str">
        <f t="shared" si="48"/>
        <v>NY</v>
      </c>
      <c r="E537" t="str">
        <f t="shared" si="49"/>
        <v>Northeast</v>
      </c>
      <c r="F537" t="s">
        <v>59</v>
      </c>
      <c r="G537" s="1">
        <v>45018</v>
      </c>
      <c r="H537" s="1">
        <v>45020</v>
      </c>
      <c r="I537" s="1">
        <f t="shared" si="53"/>
        <v>45020</v>
      </c>
      <c r="J537" s="2">
        <v>7.4</v>
      </c>
      <c r="K537" s="2">
        <v>88.25</v>
      </c>
      <c r="L537" t="s">
        <v>67</v>
      </c>
      <c r="M537" s="2">
        <v>643</v>
      </c>
      <c r="N537" s="2">
        <v>2</v>
      </c>
      <c r="O537" s="2">
        <f t="shared" si="50"/>
        <v>321.5</v>
      </c>
      <c r="P537" s="2">
        <f t="shared" si="51"/>
        <v>3.643059490084986</v>
      </c>
      <c r="Q537" s="3">
        <f t="shared" si="52"/>
        <v>0.13724727838258166</v>
      </c>
    </row>
    <row r="538" spans="1:17" hidden="1" x14ac:dyDescent="0.25">
      <c r="A538" t="s">
        <v>598</v>
      </c>
      <c r="B538" t="s">
        <v>30</v>
      </c>
      <c r="C538" t="s">
        <v>46</v>
      </c>
      <c r="D538" t="str">
        <f t="shared" si="48"/>
        <v>MA</v>
      </c>
      <c r="E538" t="str">
        <f t="shared" si="49"/>
        <v>Northeast</v>
      </c>
      <c r="F538" t="s">
        <v>59</v>
      </c>
      <c r="G538" s="1">
        <v>45165</v>
      </c>
      <c r="H538" s="1">
        <v>45167</v>
      </c>
      <c r="I538" s="1">
        <f t="shared" si="53"/>
        <v>45167</v>
      </c>
      <c r="J538" s="2">
        <v>21.4</v>
      </c>
      <c r="K538" s="2">
        <v>109.1</v>
      </c>
      <c r="L538" t="s">
        <v>15</v>
      </c>
      <c r="M538" s="2">
        <v>838</v>
      </c>
      <c r="N538" s="2">
        <v>2</v>
      </c>
      <c r="O538" s="2">
        <f t="shared" si="50"/>
        <v>419</v>
      </c>
      <c r="P538" s="2">
        <f t="shared" si="51"/>
        <v>3.8405132905591204</v>
      </c>
      <c r="Q538" s="3">
        <f t="shared" si="52"/>
        <v>0.1301909307875895</v>
      </c>
    </row>
    <row r="539" spans="1:17" hidden="1" x14ac:dyDescent="0.25">
      <c r="A539" t="s">
        <v>599</v>
      </c>
      <c r="B539" t="s">
        <v>56</v>
      </c>
      <c r="C539" t="s">
        <v>40</v>
      </c>
      <c r="D539" t="str">
        <f t="shared" si="48"/>
        <v>MI</v>
      </c>
      <c r="E539" t="str">
        <f t="shared" si="49"/>
        <v>Midwest</v>
      </c>
      <c r="F539" t="s">
        <v>32</v>
      </c>
      <c r="G539" s="1">
        <v>45058</v>
      </c>
      <c r="H539" s="1">
        <v>45062</v>
      </c>
      <c r="I539" s="1">
        <f t="shared" si="53"/>
        <v>45062</v>
      </c>
      <c r="J539" s="2">
        <v>20.3</v>
      </c>
      <c r="K539" s="2">
        <v>228.9</v>
      </c>
      <c r="L539" t="s">
        <v>15</v>
      </c>
      <c r="M539" s="2">
        <v>1383</v>
      </c>
      <c r="N539" s="2">
        <v>4</v>
      </c>
      <c r="O539" s="2">
        <f t="shared" si="50"/>
        <v>345.75</v>
      </c>
      <c r="P539" s="2">
        <f t="shared" si="51"/>
        <v>1.5104849279161205</v>
      </c>
      <c r="Q539" s="3">
        <f t="shared" si="52"/>
        <v>0.16550976138828633</v>
      </c>
    </row>
    <row r="540" spans="1:17" hidden="1" x14ac:dyDescent="0.25">
      <c r="A540" t="s">
        <v>600</v>
      </c>
      <c r="B540" t="s">
        <v>12</v>
      </c>
      <c r="C540" t="s">
        <v>31</v>
      </c>
      <c r="D540" t="str">
        <f t="shared" si="48"/>
        <v>NY</v>
      </c>
      <c r="E540" t="str">
        <f t="shared" si="49"/>
        <v>Northeast</v>
      </c>
      <c r="F540" t="s">
        <v>14</v>
      </c>
      <c r="G540" s="1">
        <v>45054</v>
      </c>
      <c r="H540" s="1">
        <v>45057</v>
      </c>
      <c r="I540" s="1">
        <f t="shared" si="53"/>
        <v>45057</v>
      </c>
      <c r="J540" s="2">
        <v>12.6</v>
      </c>
      <c r="K540" s="2">
        <v>32.18</v>
      </c>
      <c r="L540" t="s">
        <v>15</v>
      </c>
      <c r="M540" s="2">
        <v>121</v>
      </c>
      <c r="N540" s="2">
        <v>3</v>
      </c>
      <c r="O540" s="2">
        <f t="shared" si="50"/>
        <v>40.333333333333336</v>
      </c>
      <c r="P540" s="2">
        <f t="shared" si="51"/>
        <v>1.2533664802154547</v>
      </c>
      <c r="Q540" s="3">
        <f t="shared" si="52"/>
        <v>0.2659504132231405</v>
      </c>
    </row>
    <row r="541" spans="1:17" hidden="1" x14ac:dyDescent="0.25">
      <c r="A541" t="s">
        <v>601</v>
      </c>
      <c r="B541" t="s">
        <v>56</v>
      </c>
      <c r="C541" t="s">
        <v>17</v>
      </c>
      <c r="D541" t="str">
        <f t="shared" si="48"/>
        <v>GA</v>
      </c>
      <c r="E541" t="str">
        <f t="shared" si="49"/>
        <v>Southeast</v>
      </c>
      <c r="F541" t="s">
        <v>18</v>
      </c>
      <c r="G541" s="1">
        <v>45251</v>
      </c>
      <c r="H541" s="1">
        <v>45260</v>
      </c>
      <c r="I541" s="1">
        <f t="shared" si="53"/>
        <v>45260</v>
      </c>
      <c r="J541" s="2">
        <v>17.5</v>
      </c>
      <c r="K541" s="2">
        <v>402.56</v>
      </c>
      <c r="L541" t="s">
        <v>15</v>
      </c>
      <c r="M541" s="2">
        <v>2146</v>
      </c>
      <c r="N541" s="2">
        <v>9</v>
      </c>
      <c r="O541" s="2">
        <f t="shared" si="50"/>
        <v>238.44444444444446</v>
      </c>
      <c r="P541" s="2">
        <f t="shared" si="51"/>
        <v>0.5923202614379085</v>
      </c>
      <c r="Q541" s="3">
        <f t="shared" si="52"/>
        <v>0.18758620689655173</v>
      </c>
    </row>
    <row r="542" spans="1:17" hidden="1" x14ac:dyDescent="0.25">
      <c r="A542" t="s">
        <v>602</v>
      </c>
      <c r="B542" t="s">
        <v>20</v>
      </c>
      <c r="C542" t="s">
        <v>46</v>
      </c>
      <c r="D542" t="str">
        <f t="shared" si="48"/>
        <v>MA</v>
      </c>
      <c r="E542" t="str">
        <f t="shared" si="49"/>
        <v>Northeast</v>
      </c>
      <c r="F542" t="s">
        <v>42</v>
      </c>
      <c r="G542" s="1">
        <v>45257</v>
      </c>
      <c r="H542" s="1">
        <v>45258</v>
      </c>
      <c r="I542" s="1">
        <f t="shared" si="53"/>
        <v>45258</v>
      </c>
      <c r="J542" s="2">
        <v>33</v>
      </c>
      <c r="K542" s="2">
        <v>73.97</v>
      </c>
      <c r="L542" t="s">
        <v>15</v>
      </c>
      <c r="M542" s="2">
        <v>223</v>
      </c>
      <c r="N542" s="2">
        <v>1</v>
      </c>
      <c r="O542" s="2">
        <f t="shared" si="50"/>
        <v>223</v>
      </c>
      <c r="P542" s="2">
        <f t="shared" si="51"/>
        <v>3.0147357036636473</v>
      </c>
      <c r="Q542" s="3">
        <f t="shared" si="52"/>
        <v>0.33170403587443947</v>
      </c>
    </row>
    <row r="543" spans="1:17" hidden="1" x14ac:dyDescent="0.25">
      <c r="A543" t="s">
        <v>603</v>
      </c>
      <c r="B543" t="s">
        <v>12</v>
      </c>
      <c r="C543" t="s">
        <v>46</v>
      </c>
      <c r="D543" t="str">
        <f t="shared" si="48"/>
        <v>MA</v>
      </c>
      <c r="E543" t="str">
        <f t="shared" si="49"/>
        <v>Northeast</v>
      </c>
      <c r="F543" t="s">
        <v>59</v>
      </c>
      <c r="G543" s="1">
        <v>45122</v>
      </c>
      <c r="H543" s="1">
        <v>45125</v>
      </c>
      <c r="I543" s="1">
        <f t="shared" si="53"/>
        <v>45125</v>
      </c>
      <c r="J543" s="2">
        <v>69.3</v>
      </c>
      <c r="K543" s="2">
        <v>244.01</v>
      </c>
      <c r="L543" t="s">
        <v>62</v>
      </c>
      <c r="M543" s="2">
        <v>1337</v>
      </c>
      <c r="N543" s="2">
        <v>3</v>
      </c>
      <c r="O543" s="2">
        <f t="shared" si="50"/>
        <v>445.66666666666669</v>
      </c>
      <c r="P543" s="2">
        <f t="shared" si="51"/>
        <v>1.8264278786388537</v>
      </c>
      <c r="Q543" s="3">
        <f t="shared" si="52"/>
        <v>0.1825056095736724</v>
      </c>
    </row>
    <row r="544" spans="1:17" hidden="1" x14ac:dyDescent="0.25">
      <c r="A544" t="s">
        <v>604</v>
      </c>
      <c r="B544" t="s">
        <v>39</v>
      </c>
      <c r="C544" t="s">
        <v>57</v>
      </c>
      <c r="D544" t="str">
        <f t="shared" si="48"/>
        <v>MN</v>
      </c>
      <c r="E544" t="str">
        <f t="shared" si="49"/>
        <v>Midwest</v>
      </c>
      <c r="F544" t="s">
        <v>18</v>
      </c>
      <c r="G544" s="1">
        <v>45184</v>
      </c>
      <c r="H544" s="1">
        <v>45189</v>
      </c>
      <c r="I544" s="1">
        <f t="shared" si="53"/>
        <v>45189</v>
      </c>
      <c r="J544" s="2">
        <v>10.8</v>
      </c>
      <c r="K544" s="2">
        <v>200.6</v>
      </c>
      <c r="L544" t="s">
        <v>15</v>
      </c>
      <c r="M544" s="2">
        <v>1255</v>
      </c>
      <c r="N544" s="2">
        <v>5</v>
      </c>
      <c r="O544" s="2">
        <f t="shared" si="50"/>
        <v>251</v>
      </c>
      <c r="P544" s="2">
        <f t="shared" si="51"/>
        <v>1.2512462612163511</v>
      </c>
      <c r="Q544" s="3">
        <f t="shared" si="52"/>
        <v>0.15984063745019919</v>
      </c>
    </row>
    <row r="545" spans="1:17" hidden="1" x14ac:dyDescent="0.25">
      <c r="A545" t="s">
        <v>605</v>
      </c>
      <c r="B545" t="s">
        <v>23</v>
      </c>
      <c r="C545" t="s">
        <v>52</v>
      </c>
      <c r="D545" t="str">
        <f t="shared" si="48"/>
        <v>AZ</v>
      </c>
      <c r="E545" t="str">
        <f t="shared" si="49"/>
        <v>Southwest</v>
      </c>
      <c r="F545" t="s">
        <v>59</v>
      </c>
      <c r="G545" s="1">
        <v>45159</v>
      </c>
      <c r="H545" s="1">
        <v>45163</v>
      </c>
      <c r="I545" s="1">
        <f t="shared" si="53"/>
        <v>45163</v>
      </c>
      <c r="J545" s="2">
        <v>12.9</v>
      </c>
      <c r="K545" s="2">
        <v>101.44</v>
      </c>
      <c r="L545" t="s">
        <v>62</v>
      </c>
      <c r="M545" s="2">
        <v>825</v>
      </c>
      <c r="N545" s="2">
        <v>4</v>
      </c>
      <c r="O545" s="2">
        <f t="shared" si="50"/>
        <v>206.25</v>
      </c>
      <c r="P545" s="2">
        <f t="shared" si="51"/>
        <v>2.0332216088328074</v>
      </c>
      <c r="Q545" s="3">
        <f t="shared" si="52"/>
        <v>0.12295757575757575</v>
      </c>
    </row>
    <row r="546" spans="1:17" hidden="1" x14ac:dyDescent="0.25">
      <c r="A546" t="s">
        <v>606</v>
      </c>
      <c r="B546" t="s">
        <v>27</v>
      </c>
      <c r="C546" t="s">
        <v>57</v>
      </c>
      <c r="D546" t="str">
        <f t="shared" si="48"/>
        <v>MN</v>
      </c>
      <c r="E546" t="str">
        <f t="shared" si="49"/>
        <v>Midwest</v>
      </c>
      <c r="F546" t="s">
        <v>59</v>
      </c>
      <c r="G546" s="1">
        <v>45179</v>
      </c>
      <c r="H546" s="1">
        <v>45183</v>
      </c>
      <c r="I546" s="1">
        <f t="shared" si="53"/>
        <v>45183</v>
      </c>
      <c r="J546" s="2">
        <v>23.6</v>
      </c>
      <c r="K546" s="2">
        <v>229.43</v>
      </c>
      <c r="L546" t="s">
        <v>15</v>
      </c>
      <c r="M546" s="2">
        <v>1852</v>
      </c>
      <c r="N546" s="2">
        <v>4</v>
      </c>
      <c r="O546" s="2">
        <f t="shared" si="50"/>
        <v>463</v>
      </c>
      <c r="P546" s="2">
        <f t="shared" si="51"/>
        <v>2.0180447195222944</v>
      </c>
      <c r="Q546" s="3">
        <f t="shared" si="52"/>
        <v>0.12388228941684666</v>
      </c>
    </row>
    <row r="547" spans="1:17" hidden="1" x14ac:dyDescent="0.25">
      <c r="A547" t="s">
        <v>607</v>
      </c>
      <c r="B547" t="s">
        <v>27</v>
      </c>
      <c r="C547" t="s">
        <v>28</v>
      </c>
      <c r="D547" t="str">
        <f t="shared" si="48"/>
        <v>TX</v>
      </c>
      <c r="E547" t="str">
        <f t="shared" si="49"/>
        <v>Southwest</v>
      </c>
      <c r="F547" t="s">
        <v>32</v>
      </c>
      <c r="G547" s="1">
        <v>45281</v>
      </c>
      <c r="H547" s="1">
        <v>45285</v>
      </c>
      <c r="I547" s="1">
        <f t="shared" si="53"/>
        <v>45285</v>
      </c>
      <c r="J547" s="2">
        <v>41</v>
      </c>
      <c r="K547" s="2">
        <v>324.91000000000003</v>
      </c>
      <c r="L547" t="s">
        <v>67</v>
      </c>
      <c r="M547" s="2">
        <v>1764</v>
      </c>
      <c r="N547" s="2">
        <v>4</v>
      </c>
      <c r="O547" s="2">
        <f t="shared" si="50"/>
        <v>441</v>
      </c>
      <c r="P547" s="2">
        <f t="shared" si="51"/>
        <v>1.3572989443230432</v>
      </c>
      <c r="Q547" s="3">
        <f t="shared" si="52"/>
        <v>0.18418934240362814</v>
      </c>
    </row>
    <row r="548" spans="1:17" hidden="1" x14ac:dyDescent="0.25">
      <c r="A548" t="s">
        <v>608</v>
      </c>
      <c r="B548" t="s">
        <v>12</v>
      </c>
      <c r="C548" t="s">
        <v>52</v>
      </c>
      <c r="D548" t="str">
        <f t="shared" si="48"/>
        <v>AZ</v>
      </c>
      <c r="E548" t="str">
        <f t="shared" si="49"/>
        <v>Southwest</v>
      </c>
      <c r="F548" t="s">
        <v>37</v>
      </c>
      <c r="G548" s="1">
        <v>45123</v>
      </c>
      <c r="H548" s="1">
        <v>45126</v>
      </c>
      <c r="I548" s="1">
        <f t="shared" si="53"/>
        <v>45126</v>
      </c>
      <c r="J548" s="2">
        <v>19.5</v>
      </c>
      <c r="K548" s="2">
        <v>114.24</v>
      </c>
      <c r="L548" t="s">
        <v>15</v>
      </c>
      <c r="M548" s="2">
        <v>713</v>
      </c>
      <c r="N548" s="2">
        <v>3</v>
      </c>
      <c r="O548" s="2">
        <f t="shared" si="50"/>
        <v>237.66666666666666</v>
      </c>
      <c r="P548" s="2">
        <f t="shared" si="51"/>
        <v>2.0804154995331468</v>
      </c>
      <c r="Q548" s="3">
        <f t="shared" si="52"/>
        <v>0.16022440392706871</v>
      </c>
    </row>
    <row r="549" spans="1:17" hidden="1" x14ac:dyDescent="0.25">
      <c r="A549" t="s">
        <v>609</v>
      </c>
      <c r="B549" t="s">
        <v>20</v>
      </c>
      <c r="C549" t="s">
        <v>44</v>
      </c>
      <c r="D549" t="str">
        <f t="shared" si="48"/>
        <v>IL</v>
      </c>
      <c r="E549" t="str">
        <f t="shared" si="49"/>
        <v>Midwest</v>
      </c>
      <c r="F549" t="s">
        <v>14</v>
      </c>
      <c r="G549" s="1">
        <v>45009</v>
      </c>
      <c r="H549" s="1">
        <v>45014</v>
      </c>
      <c r="I549" s="1">
        <f t="shared" si="53"/>
        <v>45014</v>
      </c>
      <c r="J549" s="2">
        <v>17.8</v>
      </c>
      <c r="K549" s="2">
        <v>235.64</v>
      </c>
      <c r="L549" t="s">
        <v>15</v>
      </c>
      <c r="M549" s="2">
        <v>1898</v>
      </c>
      <c r="N549" s="2">
        <v>5</v>
      </c>
      <c r="O549" s="2">
        <f t="shared" si="50"/>
        <v>379.6</v>
      </c>
      <c r="P549" s="2">
        <f t="shared" si="51"/>
        <v>1.6109319300628078</v>
      </c>
      <c r="Q549" s="3">
        <f t="shared" si="52"/>
        <v>0.12415173867228661</v>
      </c>
    </row>
    <row r="550" spans="1:17" x14ac:dyDescent="0.25">
      <c r="A550" t="s">
        <v>610</v>
      </c>
      <c r="B550" t="s">
        <v>35</v>
      </c>
      <c r="C550" t="s">
        <v>13</v>
      </c>
      <c r="D550" t="str">
        <f t="shared" si="48"/>
        <v>CA</v>
      </c>
      <c r="E550" t="str">
        <f t="shared" si="49"/>
        <v>West</v>
      </c>
      <c r="F550" t="s">
        <v>42</v>
      </c>
      <c r="G550" s="1">
        <v>44981</v>
      </c>
      <c r="H550" s="1">
        <v>44984</v>
      </c>
      <c r="I550" s="1">
        <f t="shared" si="53"/>
        <v>44984</v>
      </c>
      <c r="J550" s="2">
        <v>67.5</v>
      </c>
      <c r="K550" s="2">
        <v>220.77</v>
      </c>
      <c r="L550" t="s">
        <v>15</v>
      </c>
      <c r="M550" s="2">
        <v>1083</v>
      </c>
      <c r="N550" s="2">
        <v>3</v>
      </c>
      <c r="O550" s="2">
        <f t="shared" si="50"/>
        <v>361</v>
      </c>
      <c r="P550" s="2">
        <f t="shared" si="51"/>
        <v>1.6351859401186755</v>
      </c>
      <c r="Q550" s="3">
        <f t="shared" si="52"/>
        <v>0.20385041551246538</v>
      </c>
    </row>
    <row r="551" spans="1:17" x14ac:dyDescent="0.25">
      <c r="A551" t="s">
        <v>611</v>
      </c>
      <c r="B551" t="s">
        <v>56</v>
      </c>
      <c r="C551" t="s">
        <v>36</v>
      </c>
      <c r="D551" t="str">
        <f t="shared" si="48"/>
        <v>OR</v>
      </c>
      <c r="E551" t="str">
        <f t="shared" si="49"/>
        <v>West</v>
      </c>
      <c r="F551" t="s">
        <v>32</v>
      </c>
      <c r="G551" s="1">
        <v>45269</v>
      </c>
      <c r="H551" s="1">
        <v>45273</v>
      </c>
      <c r="I551" s="1">
        <f t="shared" si="53"/>
        <v>45273</v>
      </c>
      <c r="J551" s="2">
        <v>17.7</v>
      </c>
      <c r="K551" s="2">
        <v>320.45</v>
      </c>
      <c r="L551" t="s">
        <v>15</v>
      </c>
      <c r="M551" s="2">
        <v>1681</v>
      </c>
      <c r="N551" s="2">
        <v>4</v>
      </c>
      <c r="O551" s="2">
        <f t="shared" si="50"/>
        <v>420.25</v>
      </c>
      <c r="P551" s="2">
        <f t="shared" si="51"/>
        <v>1.3114370416601655</v>
      </c>
      <c r="Q551" s="3">
        <f t="shared" si="52"/>
        <v>0.19063057703747768</v>
      </c>
    </row>
    <row r="552" spans="1:17" hidden="1" x14ac:dyDescent="0.25">
      <c r="A552" t="s">
        <v>612</v>
      </c>
      <c r="B552" t="s">
        <v>30</v>
      </c>
      <c r="C552" t="s">
        <v>54</v>
      </c>
      <c r="D552" t="str">
        <f t="shared" si="48"/>
        <v>FL</v>
      </c>
      <c r="E552" t="str">
        <f t="shared" si="49"/>
        <v>Southeast</v>
      </c>
      <c r="F552" t="s">
        <v>59</v>
      </c>
      <c r="G552" s="1">
        <v>45249</v>
      </c>
      <c r="H552" s="1">
        <v>45252</v>
      </c>
      <c r="I552" s="1">
        <f t="shared" si="53"/>
        <v>45252</v>
      </c>
      <c r="J552" s="2">
        <v>23.2</v>
      </c>
      <c r="K552" s="2">
        <v>208.01</v>
      </c>
      <c r="L552" t="s">
        <v>15</v>
      </c>
      <c r="M552" s="2">
        <v>1256</v>
      </c>
      <c r="N552" s="2">
        <v>3</v>
      </c>
      <c r="O552" s="2">
        <f t="shared" si="50"/>
        <v>418.66666666666669</v>
      </c>
      <c r="P552" s="2">
        <f t="shared" si="51"/>
        <v>2.0127237472557411</v>
      </c>
      <c r="Q552" s="3">
        <f t="shared" si="52"/>
        <v>0.16561305732484075</v>
      </c>
    </row>
    <row r="553" spans="1:17" x14ac:dyDescent="0.25">
      <c r="A553" t="s">
        <v>613</v>
      </c>
      <c r="B553" t="s">
        <v>23</v>
      </c>
      <c r="C553" t="s">
        <v>70</v>
      </c>
      <c r="D553" t="str">
        <f t="shared" si="48"/>
        <v>CA</v>
      </c>
      <c r="E553" t="str">
        <f t="shared" si="49"/>
        <v>West</v>
      </c>
      <c r="F553" t="s">
        <v>14</v>
      </c>
      <c r="G553" s="1">
        <v>45092</v>
      </c>
      <c r="H553" s="1">
        <v>45099</v>
      </c>
      <c r="I553" s="1">
        <f t="shared" si="53"/>
        <v>45099</v>
      </c>
      <c r="J553" s="2">
        <v>17.2</v>
      </c>
      <c r="K553" s="2">
        <v>251.79</v>
      </c>
      <c r="L553" t="s">
        <v>15</v>
      </c>
      <c r="M553" s="2">
        <v>1984</v>
      </c>
      <c r="N553" s="2">
        <v>7</v>
      </c>
      <c r="O553" s="2">
        <f t="shared" si="50"/>
        <v>283.42857142857144</v>
      </c>
      <c r="P553" s="2">
        <f t="shared" si="51"/>
        <v>1.1256545987869711</v>
      </c>
      <c r="Q553" s="3">
        <f t="shared" si="52"/>
        <v>0.1269102822580645</v>
      </c>
    </row>
    <row r="554" spans="1:17" hidden="1" x14ac:dyDescent="0.25">
      <c r="A554" t="s">
        <v>614</v>
      </c>
      <c r="B554" t="s">
        <v>12</v>
      </c>
      <c r="C554" t="s">
        <v>52</v>
      </c>
      <c r="D554" t="str">
        <f t="shared" si="48"/>
        <v>AZ</v>
      </c>
      <c r="E554" t="str">
        <f t="shared" si="49"/>
        <v>Southwest</v>
      </c>
      <c r="F554" t="s">
        <v>59</v>
      </c>
      <c r="G554" s="1">
        <v>45259</v>
      </c>
      <c r="H554" s="1">
        <v>45267</v>
      </c>
      <c r="I554" s="1">
        <f t="shared" si="53"/>
        <v>45267</v>
      </c>
      <c r="J554" s="2">
        <v>61.6</v>
      </c>
      <c r="K554" s="2">
        <v>384.1</v>
      </c>
      <c r="L554" t="s">
        <v>15</v>
      </c>
      <c r="M554" s="2">
        <v>2445</v>
      </c>
      <c r="N554" s="2">
        <v>8</v>
      </c>
      <c r="O554" s="2">
        <f t="shared" si="50"/>
        <v>305.625</v>
      </c>
      <c r="P554" s="2">
        <f t="shared" si="51"/>
        <v>0.79569122624316579</v>
      </c>
      <c r="Q554" s="3">
        <f t="shared" si="52"/>
        <v>0.1570961145194274</v>
      </c>
    </row>
    <row r="555" spans="1:17" hidden="1" x14ac:dyDescent="0.25">
      <c r="A555" t="s">
        <v>615</v>
      </c>
      <c r="B555" t="s">
        <v>35</v>
      </c>
      <c r="C555" t="s">
        <v>54</v>
      </c>
      <c r="D555" t="str">
        <f t="shared" si="48"/>
        <v>FL</v>
      </c>
      <c r="E555" t="str">
        <f t="shared" si="49"/>
        <v>Southeast</v>
      </c>
      <c r="F555" t="s">
        <v>25</v>
      </c>
      <c r="G555" s="1">
        <v>45120</v>
      </c>
      <c r="H555" s="1">
        <v>45124</v>
      </c>
      <c r="I555" s="1">
        <f t="shared" si="53"/>
        <v>45124</v>
      </c>
      <c r="J555" s="2">
        <v>25.3</v>
      </c>
      <c r="K555" s="2">
        <v>191.72</v>
      </c>
      <c r="L555" t="s">
        <v>15</v>
      </c>
      <c r="M555" s="2">
        <v>1350</v>
      </c>
      <c r="N555" s="2">
        <v>4</v>
      </c>
      <c r="O555" s="2">
        <f t="shared" si="50"/>
        <v>337.5</v>
      </c>
      <c r="P555" s="2">
        <f t="shared" si="51"/>
        <v>1.7603797204256206</v>
      </c>
      <c r="Q555" s="3">
        <f t="shared" si="52"/>
        <v>0.14201481481481482</v>
      </c>
    </row>
    <row r="556" spans="1:17" hidden="1" x14ac:dyDescent="0.25">
      <c r="A556" t="s">
        <v>616</v>
      </c>
      <c r="B556" t="s">
        <v>20</v>
      </c>
      <c r="C556" t="s">
        <v>21</v>
      </c>
      <c r="D556" t="str">
        <f t="shared" si="48"/>
        <v>TX</v>
      </c>
      <c r="E556" t="str">
        <f t="shared" si="49"/>
        <v>Southwest</v>
      </c>
      <c r="F556" t="s">
        <v>42</v>
      </c>
      <c r="G556" s="1">
        <v>44998</v>
      </c>
      <c r="H556" s="1">
        <v>45008</v>
      </c>
      <c r="I556" s="1">
        <f t="shared" si="53"/>
        <v>45008</v>
      </c>
      <c r="J556" s="2">
        <v>45.8</v>
      </c>
      <c r="K556" s="2">
        <v>313.91000000000003</v>
      </c>
      <c r="L556" t="s">
        <v>47</v>
      </c>
      <c r="M556" s="2">
        <v>2318</v>
      </c>
      <c r="N556" s="2">
        <v>7</v>
      </c>
      <c r="O556" s="2">
        <f t="shared" si="50"/>
        <v>331.14285714285717</v>
      </c>
      <c r="P556" s="2">
        <f t="shared" si="51"/>
        <v>1.0548974455826738</v>
      </c>
      <c r="Q556" s="3">
        <f t="shared" si="52"/>
        <v>0.13542277825711821</v>
      </c>
    </row>
    <row r="557" spans="1:17" hidden="1" x14ac:dyDescent="0.25">
      <c r="A557" t="s">
        <v>617</v>
      </c>
      <c r="B557" t="s">
        <v>20</v>
      </c>
      <c r="C557" t="s">
        <v>54</v>
      </c>
      <c r="D557" t="str">
        <f t="shared" si="48"/>
        <v>FL</v>
      </c>
      <c r="E557" t="str">
        <f t="shared" si="49"/>
        <v>Southeast</v>
      </c>
      <c r="F557" t="s">
        <v>25</v>
      </c>
      <c r="G557" s="1">
        <v>45035</v>
      </c>
      <c r="H557" s="1">
        <v>45042</v>
      </c>
      <c r="I557" s="1">
        <f t="shared" si="53"/>
        <v>45042</v>
      </c>
      <c r="J557" s="2">
        <v>28.4</v>
      </c>
      <c r="K557" s="2">
        <v>304.14999999999998</v>
      </c>
      <c r="L557" t="s">
        <v>15</v>
      </c>
      <c r="M557" s="2">
        <v>2243</v>
      </c>
      <c r="N557" s="2">
        <v>7</v>
      </c>
      <c r="O557" s="2">
        <f t="shared" si="50"/>
        <v>320.42857142857144</v>
      </c>
      <c r="P557" s="2">
        <f t="shared" si="51"/>
        <v>1.0535215236842725</v>
      </c>
      <c r="Q557" s="3">
        <f t="shared" si="52"/>
        <v>0.13559964333481944</v>
      </c>
    </row>
    <row r="558" spans="1:17" hidden="1" x14ac:dyDescent="0.25">
      <c r="A558" t="s">
        <v>618</v>
      </c>
      <c r="B558" t="s">
        <v>12</v>
      </c>
      <c r="C558" t="s">
        <v>44</v>
      </c>
      <c r="D558" t="str">
        <f t="shared" si="48"/>
        <v>IL</v>
      </c>
      <c r="E558" t="str">
        <f t="shared" si="49"/>
        <v>Midwest</v>
      </c>
      <c r="F558" t="s">
        <v>14</v>
      </c>
      <c r="G558" s="1">
        <v>45131</v>
      </c>
      <c r="H558" s="1">
        <v>45138</v>
      </c>
      <c r="I558" s="1">
        <f t="shared" si="53"/>
        <v>45138</v>
      </c>
      <c r="J558" s="2">
        <v>31.7</v>
      </c>
      <c r="K558" s="2">
        <v>333.27</v>
      </c>
      <c r="L558" t="s">
        <v>15</v>
      </c>
      <c r="M558" s="2">
        <v>2201</v>
      </c>
      <c r="N558" s="2">
        <v>7</v>
      </c>
      <c r="O558" s="2">
        <f t="shared" si="50"/>
        <v>314.42857142857144</v>
      </c>
      <c r="P558" s="2">
        <f t="shared" si="51"/>
        <v>0.94346497263051421</v>
      </c>
      <c r="Q558" s="3">
        <f t="shared" si="52"/>
        <v>0.15141753748296227</v>
      </c>
    </row>
    <row r="559" spans="1:17" hidden="1" x14ac:dyDescent="0.25">
      <c r="A559" t="s">
        <v>619</v>
      </c>
      <c r="B559" t="s">
        <v>12</v>
      </c>
      <c r="C559" t="s">
        <v>46</v>
      </c>
      <c r="D559" t="str">
        <f t="shared" si="48"/>
        <v>MA</v>
      </c>
      <c r="E559" t="str">
        <f t="shared" si="49"/>
        <v>Northeast</v>
      </c>
      <c r="F559" t="s">
        <v>18</v>
      </c>
      <c r="G559" s="1">
        <v>45045</v>
      </c>
      <c r="H559" s="1">
        <v>45052</v>
      </c>
      <c r="I559" s="1">
        <f t="shared" si="53"/>
        <v>45052</v>
      </c>
      <c r="J559" s="2">
        <v>33.700000000000003</v>
      </c>
      <c r="K559" s="2">
        <v>363.72</v>
      </c>
      <c r="L559" t="s">
        <v>15</v>
      </c>
      <c r="M559" s="2">
        <v>2255</v>
      </c>
      <c r="N559" s="2">
        <v>7</v>
      </c>
      <c r="O559" s="2">
        <f t="shared" si="50"/>
        <v>322.14285714285717</v>
      </c>
      <c r="P559" s="2">
        <f t="shared" si="51"/>
        <v>0.88568914863867021</v>
      </c>
      <c r="Q559" s="3">
        <f t="shared" si="52"/>
        <v>0.16129490022172951</v>
      </c>
    </row>
    <row r="560" spans="1:17" hidden="1" x14ac:dyDescent="0.25">
      <c r="A560" t="s">
        <v>620</v>
      </c>
      <c r="B560" t="s">
        <v>27</v>
      </c>
      <c r="C560" t="s">
        <v>17</v>
      </c>
      <c r="D560" t="str">
        <f t="shared" si="48"/>
        <v>GA</v>
      </c>
      <c r="E560" t="str">
        <f t="shared" si="49"/>
        <v>Southeast</v>
      </c>
      <c r="F560" t="s">
        <v>14</v>
      </c>
      <c r="G560" s="1">
        <v>45059</v>
      </c>
      <c r="H560" s="1">
        <v>45068</v>
      </c>
      <c r="I560" s="1">
        <f t="shared" si="53"/>
        <v>45068</v>
      </c>
      <c r="J560" s="2">
        <v>58.4</v>
      </c>
      <c r="K560" s="2">
        <v>196.37</v>
      </c>
      <c r="L560" t="s">
        <v>15</v>
      </c>
      <c r="M560" s="2">
        <v>962</v>
      </c>
      <c r="N560" s="2">
        <v>9</v>
      </c>
      <c r="O560" s="2">
        <f t="shared" si="50"/>
        <v>106.88888888888889</v>
      </c>
      <c r="P560" s="2">
        <f t="shared" si="51"/>
        <v>0.54432392365885263</v>
      </c>
      <c r="Q560" s="3">
        <f t="shared" si="52"/>
        <v>0.20412681912681913</v>
      </c>
    </row>
    <row r="561" spans="1:17" hidden="1" x14ac:dyDescent="0.25">
      <c r="A561" t="s">
        <v>621</v>
      </c>
      <c r="B561" t="s">
        <v>27</v>
      </c>
      <c r="C561" t="s">
        <v>54</v>
      </c>
      <c r="D561" t="str">
        <f t="shared" si="48"/>
        <v>FL</v>
      </c>
      <c r="E561" t="str">
        <f t="shared" si="49"/>
        <v>Southeast</v>
      </c>
      <c r="F561" t="s">
        <v>42</v>
      </c>
      <c r="G561" s="1">
        <v>45107</v>
      </c>
      <c r="H561" s="1">
        <v>45111</v>
      </c>
      <c r="I561" s="1">
        <f t="shared" si="53"/>
        <v>45111</v>
      </c>
      <c r="J561" s="2">
        <v>28.7</v>
      </c>
      <c r="K561" s="2">
        <v>255.28</v>
      </c>
      <c r="L561" t="s">
        <v>62</v>
      </c>
      <c r="M561" s="2">
        <v>1681</v>
      </c>
      <c r="N561" s="2">
        <v>4</v>
      </c>
      <c r="O561" s="2">
        <f t="shared" si="50"/>
        <v>420.25</v>
      </c>
      <c r="P561" s="2">
        <f t="shared" si="51"/>
        <v>1.6462315888436228</v>
      </c>
      <c r="Q561" s="3">
        <f t="shared" si="52"/>
        <v>0.15186198691255207</v>
      </c>
    </row>
    <row r="562" spans="1:17" hidden="1" x14ac:dyDescent="0.25">
      <c r="A562" t="s">
        <v>622</v>
      </c>
      <c r="B562" t="s">
        <v>35</v>
      </c>
      <c r="C562" t="s">
        <v>40</v>
      </c>
      <c r="D562" t="str">
        <f t="shared" si="48"/>
        <v>MI</v>
      </c>
      <c r="E562" t="str">
        <f t="shared" si="49"/>
        <v>Midwest</v>
      </c>
      <c r="F562" t="s">
        <v>42</v>
      </c>
      <c r="G562" s="1">
        <v>45062</v>
      </c>
      <c r="H562" s="1">
        <v>45063</v>
      </c>
      <c r="I562" s="1">
        <f t="shared" si="53"/>
        <v>45063</v>
      </c>
      <c r="J562" s="2">
        <v>37.4</v>
      </c>
      <c r="K562" s="2">
        <v>72.510000000000005</v>
      </c>
      <c r="L562" t="s">
        <v>15</v>
      </c>
      <c r="M562" s="2">
        <v>283</v>
      </c>
      <c r="N562" s="2">
        <v>1</v>
      </c>
      <c r="O562" s="2">
        <f t="shared" si="50"/>
        <v>283</v>
      </c>
      <c r="P562" s="2">
        <f t="shared" si="51"/>
        <v>3.9029099434560748</v>
      </c>
      <c r="Q562" s="3">
        <f t="shared" si="52"/>
        <v>0.25621908127208481</v>
      </c>
    </row>
    <row r="563" spans="1:17" hidden="1" x14ac:dyDescent="0.25">
      <c r="A563" t="s">
        <v>623</v>
      </c>
      <c r="B563" t="s">
        <v>27</v>
      </c>
      <c r="C563" t="s">
        <v>46</v>
      </c>
      <c r="D563" t="str">
        <f t="shared" si="48"/>
        <v>MA</v>
      </c>
      <c r="E563" t="str">
        <f t="shared" si="49"/>
        <v>Northeast</v>
      </c>
      <c r="F563" t="s">
        <v>59</v>
      </c>
      <c r="G563" s="1">
        <v>45166</v>
      </c>
      <c r="H563" s="1">
        <v>45169</v>
      </c>
      <c r="I563" s="1">
        <f t="shared" si="53"/>
        <v>45169</v>
      </c>
      <c r="J563" s="2">
        <v>26.9</v>
      </c>
      <c r="K563" s="2">
        <v>103.85</v>
      </c>
      <c r="L563" t="s">
        <v>15</v>
      </c>
      <c r="M563" s="2">
        <v>640</v>
      </c>
      <c r="N563" s="2">
        <v>3</v>
      </c>
      <c r="O563" s="2">
        <f t="shared" si="50"/>
        <v>213.33333333333334</v>
      </c>
      <c r="P563" s="2">
        <f t="shared" si="51"/>
        <v>2.0542449045097095</v>
      </c>
      <c r="Q563" s="3">
        <f t="shared" si="52"/>
        <v>0.162265625</v>
      </c>
    </row>
    <row r="564" spans="1:17" hidden="1" x14ac:dyDescent="0.25">
      <c r="A564" t="s">
        <v>624</v>
      </c>
      <c r="B564" t="s">
        <v>35</v>
      </c>
      <c r="C564" t="s">
        <v>52</v>
      </c>
      <c r="D564" t="str">
        <f t="shared" si="48"/>
        <v>AZ</v>
      </c>
      <c r="E564" t="str">
        <f t="shared" si="49"/>
        <v>Southwest</v>
      </c>
      <c r="F564" t="s">
        <v>25</v>
      </c>
      <c r="G564" s="1">
        <v>45217</v>
      </c>
      <c r="H564" s="1">
        <v>45223</v>
      </c>
      <c r="I564" s="1">
        <f t="shared" si="53"/>
        <v>45223</v>
      </c>
      <c r="J564" s="2">
        <v>27.8</v>
      </c>
      <c r="K564" s="2">
        <v>294.98</v>
      </c>
      <c r="L564" t="s">
        <v>15</v>
      </c>
      <c r="M564" s="2">
        <v>2409</v>
      </c>
      <c r="N564" s="2">
        <v>6</v>
      </c>
      <c r="O564" s="2">
        <f t="shared" si="50"/>
        <v>401.5</v>
      </c>
      <c r="P564" s="2">
        <f t="shared" si="51"/>
        <v>1.3611092277442538</v>
      </c>
      <c r="Q564" s="3">
        <f t="shared" si="52"/>
        <v>0.1224491490244915</v>
      </c>
    </row>
    <row r="565" spans="1:17" x14ac:dyDescent="0.25">
      <c r="A565" t="s">
        <v>625</v>
      </c>
      <c r="B565" t="s">
        <v>30</v>
      </c>
      <c r="C565" t="s">
        <v>13</v>
      </c>
      <c r="D565" t="str">
        <f t="shared" ref="D565:D628" si="54">IF(C565="Atlanta","GA",
IF(C565="Boston","MA",
IF(C565="Chicago","IL",
IF(C565="Dallas","TX",
IF(C565="Denver","CO",
IF(C565="Detroit","MI",
IF(C565="Houston","TX",
IF(C565="Los Angeles","CA",
IF(C565="Miami","FL",
IF(C565="Minneapolis","MN",
IF(C565="New York","NY",
IF(C565="Phoenix","AZ",
IF(C565="Portland","OR",
IF(C565="San Francisco","CA",
IF(C565="Seattle","WA","Unknown")))))))))))))))</f>
        <v>CA</v>
      </c>
      <c r="E565" t="str">
        <f t="shared" ref="E565:E628" si="55">IF(OR(D565="NY",D565="NJ",D565="PA",D565="MA",D565="CT",D565="RI",D565="VT",D565="NH",D565="ME"),"Northeast",
IF(OR(D565="FL",D565="GA",D565="AL",D565="MS",D565="SC",D565="NC",D565="TN",D565="KY"),"Southeast",
IF(OR(D565="IL",D565="IN",D565="OH",D565="MI",D565="WI",D565="MN",D565="IA",D565="MO",D565="KS",D565="NE",D565="ND",D565="SD"),"Midwest",
IF(OR(D565="TX",D565="OK",D565="NM",D565="AZ"),"Southwest",
IF(OR(D565="CA",D565="OR",D565="WA",D565="NV",D565="CO",D565="UT",D565="ID",D565="MT",D565="WY",D565="AK",D565="HI"),"West","Other")))))</f>
        <v>West</v>
      </c>
      <c r="F565" t="s">
        <v>32</v>
      </c>
      <c r="G565" s="1">
        <v>45248</v>
      </c>
      <c r="H565" s="1">
        <v>45252</v>
      </c>
      <c r="I565" s="1">
        <f t="shared" si="53"/>
        <v>45252</v>
      </c>
      <c r="J565" s="2">
        <v>23.3</v>
      </c>
      <c r="K565" s="2">
        <v>228.28</v>
      </c>
      <c r="L565" t="s">
        <v>60</v>
      </c>
      <c r="M565" s="2">
        <v>1203</v>
      </c>
      <c r="N565" s="2">
        <v>4</v>
      </c>
      <c r="O565" s="2">
        <f t="shared" ref="O565:O628" si="56">M565/N565</f>
        <v>300.75</v>
      </c>
      <c r="P565" s="2">
        <f t="shared" ref="P565:P628" si="57">O565/K565</f>
        <v>1.3174610127913089</v>
      </c>
      <c r="Q565" s="3">
        <f t="shared" ref="Q565:Q628" si="58">K565/M565</f>
        <v>0.18975893599334995</v>
      </c>
    </row>
    <row r="566" spans="1:17" hidden="1" x14ac:dyDescent="0.25">
      <c r="A566" t="s">
        <v>626</v>
      </c>
      <c r="B566" t="s">
        <v>35</v>
      </c>
      <c r="C566" t="s">
        <v>17</v>
      </c>
      <c r="D566" t="str">
        <f t="shared" si="54"/>
        <v>GA</v>
      </c>
      <c r="E566" t="str">
        <f t="shared" si="55"/>
        <v>Southeast</v>
      </c>
      <c r="F566" t="s">
        <v>37</v>
      </c>
      <c r="G566" s="1">
        <v>45019</v>
      </c>
      <c r="H566" s="1">
        <v>45020</v>
      </c>
      <c r="I566" s="1">
        <f t="shared" si="53"/>
        <v>45020</v>
      </c>
      <c r="J566" s="2">
        <v>17.899999999999999</v>
      </c>
      <c r="K566" s="2">
        <v>45.26</v>
      </c>
      <c r="L566" t="s">
        <v>15</v>
      </c>
      <c r="M566" s="2">
        <v>231</v>
      </c>
      <c r="N566" s="2">
        <v>1</v>
      </c>
      <c r="O566" s="2">
        <f t="shared" si="56"/>
        <v>231</v>
      </c>
      <c r="P566" s="2">
        <f t="shared" si="57"/>
        <v>5.1038444542642516</v>
      </c>
      <c r="Q566" s="3">
        <f t="shared" si="58"/>
        <v>0.19593073593073593</v>
      </c>
    </row>
    <row r="567" spans="1:17" hidden="1" x14ac:dyDescent="0.25">
      <c r="A567" t="s">
        <v>627</v>
      </c>
      <c r="B567" t="s">
        <v>30</v>
      </c>
      <c r="C567" t="s">
        <v>54</v>
      </c>
      <c r="D567" t="str">
        <f t="shared" si="54"/>
        <v>FL</v>
      </c>
      <c r="E567" t="str">
        <f t="shared" si="55"/>
        <v>Southeast</v>
      </c>
      <c r="F567" t="s">
        <v>42</v>
      </c>
      <c r="G567" s="1">
        <v>45181</v>
      </c>
      <c r="H567" s="1">
        <v>45195</v>
      </c>
      <c r="I567" s="1">
        <f t="shared" si="53"/>
        <v>45195</v>
      </c>
      <c r="J567" s="2">
        <v>32.5</v>
      </c>
      <c r="K567" s="2">
        <v>308.35000000000002</v>
      </c>
      <c r="L567" t="s">
        <v>47</v>
      </c>
      <c r="M567" s="2">
        <v>2136</v>
      </c>
      <c r="N567" s="2">
        <v>5</v>
      </c>
      <c r="O567" s="2">
        <f t="shared" si="56"/>
        <v>427.2</v>
      </c>
      <c r="P567" s="2">
        <f t="shared" si="57"/>
        <v>1.3854386249391923</v>
      </c>
      <c r="Q567" s="3">
        <f t="shared" si="58"/>
        <v>0.14435861423220975</v>
      </c>
    </row>
    <row r="568" spans="1:17" x14ac:dyDescent="0.25">
      <c r="A568" t="s">
        <v>628</v>
      </c>
      <c r="B568" t="s">
        <v>49</v>
      </c>
      <c r="C568" t="s">
        <v>36</v>
      </c>
      <c r="D568" t="str">
        <f t="shared" si="54"/>
        <v>OR</v>
      </c>
      <c r="E568" t="str">
        <f t="shared" si="55"/>
        <v>West</v>
      </c>
      <c r="F568" t="s">
        <v>25</v>
      </c>
      <c r="G568" s="1">
        <v>44989</v>
      </c>
      <c r="H568" s="1">
        <v>44993</v>
      </c>
      <c r="I568" s="1">
        <f t="shared" si="53"/>
        <v>44993</v>
      </c>
      <c r="J568" s="2">
        <v>19.8</v>
      </c>
      <c r="K568" s="2">
        <v>265.39999999999998</v>
      </c>
      <c r="L568" t="s">
        <v>15</v>
      </c>
      <c r="M568" s="2">
        <v>1886</v>
      </c>
      <c r="N568" s="2">
        <v>4</v>
      </c>
      <c r="O568" s="2">
        <f t="shared" si="56"/>
        <v>471.5</v>
      </c>
      <c r="P568" s="2">
        <f t="shared" si="57"/>
        <v>1.7765636774679729</v>
      </c>
      <c r="Q568" s="3">
        <f t="shared" si="58"/>
        <v>0.14072110286320252</v>
      </c>
    </row>
    <row r="569" spans="1:17" hidden="1" x14ac:dyDescent="0.25">
      <c r="A569" t="s">
        <v>629</v>
      </c>
      <c r="B569" t="s">
        <v>12</v>
      </c>
      <c r="C569" t="s">
        <v>44</v>
      </c>
      <c r="D569" t="str">
        <f t="shared" si="54"/>
        <v>IL</v>
      </c>
      <c r="E569" t="str">
        <f t="shared" si="55"/>
        <v>Midwest</v>
      </c>
      <c r="F569" t="s">
        <v>32</v>
      </c>
      <c r="G569" s="1">
        <v>44946</v>
      </c>
      <c r="H569" s="1">
        <v>44956</v>
      </c>
      <c r="I569" s="1">
        <f t="shared" si="53"/>
        <v>44956</v>
      </c>
      <c r="J569" s="2">
        <v>11.9</v>
      </c>
      <c r="K569" s="2">
        <v>287.05</v>
      </c>
      <c r="L569" t="s">
        <v>15</v>
      </c>
      <c r="M569" s="2">
        <v>1896</v>
      </c>
      <c r="N569" s="2">
        <v>10</v>
      </c>
      <c r="O569" s="2">
        <f t="shared" si="56"/>
        <v>189.6</v>
      </c>
      <c r="P569" s="2">
        <f t="shared" si="57"/>
        <v>0.66051210590489462</v>
      </c>
      <c r="Q569" s="3">
        <f t="shared" si="58"/>
        <v>0.15139767932489451</v>
      </c>
    </row>
    <row r="570" spans="1:17" hidden="1" x14ac:dyDescent="0.25">
      <c r="A570" t="s">
        <v>630</v>
      </c>
      <c r="B570" t="s">
        <v>35</v>
      </c>
      <c r="C570" t="s">
        <v>57</v>
      </c>
      <c r="D570" t="str">
        <f t="shared" si="54"/>
        <v>MN</v>
      </c>
      <c r="E570" t="str">
        <f t="shared" si="55"/>
        <v>Midwest</v>
      </c>
      <c r="F570" t="s">
        <v>42</v>
      </c>
      <c r="G570" s="1">
        <v>45210</v>
      </c>
      <c r="H570" s="1">
        <v>45215</v>
      </c>
      <c r="I570" s="1">
        <f t="shared" si="53"/>
        <v>45215</v>
      </c>
      <c r="J570" s="2">
        <v>108.6</v>
      </c>
      <c r="K570" s="2">
        <v>221.52</v>
      </c>
      <c r="L570" t="s">
        <v>15</v>
      </c>
      <c r="M570" s="2">
        <v>1869</v>
      </c>
      <c r="N570" s="2">
        <v>5</v>
      </c>
      <c r="O570" s="2">
        <f t="shared" si="56"/>
        <v>373.8</v>
      </c>
      <c r="P570" s="2">
        <f t="shared" si="57"/>
        <v>1.6874322860238353</v>
      </c>
      <c r="Q570" s="3">
        <f t="shared" si="58"/>
        <v>0.11852327447833066</v>
      </c>
    </row>
    <row r="571" spans="1:17" x14ac:dyDescent="0.25">
      <c r="A571" t="s">
        <v>631</v>
      </c>
      <c r="B571" t="s">
        <v>35</v>
      </c>
      <c r="C571" t="s">
        <v>13</v>
      </c>
      <c r="D571" t="str">
        <f t="shared" si="54"/>
        <v>CA</v>
      </c>
      <c r="E571" t="str">
        <f t="shared" si="55"/>
        <v>West</v>
      </c>
      <c r="F571" t="s">
        <v>32</v>
      </c>
      <c r="G571" s="1">
        <v>45081</v>
      </c>
      <c r="H571" s="1">
        <v>45084</v>
      </c>
      <c r="I571" s="1">
        <f t="shared" si="53"/>
        <v>45084</v>
      </c>
      <c r="J571" s="2">
        <v>15.9</v>
      </c>
      <c r="K571" s="2">
        <v>200.58</v>
      </c>
      <c r="L571" t="s">
        <v>15</v>
      </c>
      <c r="M571" s="2">
        <v>1412</v>
      </c>
      <c r="N571" s="2">
        <v>3</v>
      </c>
      <c r="O571" s="2">
        <f t="shared" si="56"/>
        <v>470.66666666666669</v>
      </c>
      <c r="P571" s="2">
        <f t="shared" si="57"/>
        <v>2.3465284009705187</v>
      </c>
      <c r="Q571" s="3">
        <f t="shared" si="58"/>
        <v>0.14205382436260625</v>
      </c>
    </row>
    <row r="572" spans="1:17" hidden="1" x14ac:dyDescent="0.25">
      <c r="A572" t="s">
        <v>632</v>
      </c>
      <c r="B572" t="s">
        <v>30</v>
      </c>
      <c r="C572" t="s">
        <v>44</v>
      </c>
      <c r="D572" t="str">
        <f t="shared" si="54"/>
        <v>IL</v>
      </c>
      <c r="E572" t="str">
        <f t="shared" si="55"/>
        <v>Midwest</v>
      </c>
      <c r="F572" t="s">
        <v>18</v>
      </c>
      <c r="G572" s="1">
        <v>45081</v>
      </c>
      <c r="H572" s="1">
        <v>45084</v>
      </c>
      <c r="I572" s="1">
        <f t="shared" si="53"/>
        <v>45084</v>
      </c>
      <c r="J572" s="2">
        <v>19.8</v>
      </c>
      <c r="K572" s="2">
        <v>44</v>
      </c>
      <c r="L572" t="s">
        <v>15</v>
      </c>
      <c r="M572" s="2">
        <v>110</v>
      </c>
      <c r="N572" s="2">
        <v>3</v>
      </c>
      <c r="O572" s="2">
        <f t="shared" si="56"/>
        <v>36.666666666666664</v>
      </c>
      <c r="P572" s="2">
        <f t="shared" si="57"/>
        <v>0.83333333333333326</v>
      </c>
      <c r="Q572" s="3">
        <f t="shared" si="58"/>
        <v>0.4</v>
      </c>
    </row>
    <row r="573" spans="1:17" hidden="1" x14ac:dyDescent="0.25">
      <c r="A573" t="s">
        <v>633</v>
      </c>
      <c r="B573" t="s">
        <v>39</v>
      </c>
      <c r="C573" t="s">
        <v>54</v>
      </c>
      <c r="D573" t="str">
        <f t="shared" si="54"/>
        <v>FL</v>
      </c>
      <c r="E573" t="str">
        <f t="shared" si="55"/>
        <v>Southeast</v>
      </c>
      <c r="F573" t="s">
        <v>42</v>
      </c>
      <c r="G573" s="1">
        <v>44962</v>
      </c>
      <c r="H573" s="1">
        <v>44964</v>
      </c>
      <c r="I573" s="1">
        <f t="shared" si="53"/>
        <v>44964</v>
      </c>
      <c r="J573" s="2">
        <v>14.6</v>
      </c>
      <c r="K573" s="2">
        <v>107.88</v>
      </c>
      <c r="L573" t="s">
        <v>15</v>
      </c>
      <c r="M573" s="2">
        <v>682</v>
      </c>
      <c r="N573" s="2">
        <v>2</v>
      </c>
      <c r="O573" s="2">
        <f t="shared" si="56"/>
        <v>341</v>
      </c>
      <c r="P573" s="2">
        <f t="shared" si="57"/>
        <v>3.1609195402298851</v>
      </c>
      <c r="Q573" s="3">
        <f t="shared" si="58"/>
        <v>0.15818181818181817</v>
      </c>
    </row>
    <row r="574" spans="1:17" x14ac:dyDescent="0.25">
      <c r="A574" t="s">
        <v>634</v>
      </c>
      <c r="B574" t="s">
        <v>56</v>
      </c>
      <c r="C574" t="s">
        <v>13</v>
      </c>
      <c r="D574" t="str">
        <f t="shared" si="54"/>
        <v>CA</v>
      </c>
      <c r="E574" t="str">
        <f t="shared" si="55"/>
        <v>West</v>
      </c>
      <c r="F574" t="s">
        <v>25</v>
      </c>
      <c r="G574" s="1">
        <v>44986</v>
      </c>
      <c r="H574" s="1">
        <v>44992</v>
      </c>
      <c r="I574" s="1">
        <f t="shared" si="53"/>
        <v>44992</v>
      </c>
      <c r="J574" s="2">
        <v>46.5</v>
      </c>
      <c r="K574" s="2">
        <v>334.7</v>
      </c>
      <c r="L574" t="s">
        <v>15</v>
      </c>
      <c r="M574" s="2">
        <v>2264</v>
      </c>
      <c r="N574" s="2">
        <v>6</v>
      </c>
      <c r="O574" s="2">
        <f t="shared" si="56"/>
        <v>377.33333333333331</v>
      </c>
      <c r="P574" s="2">
        <f t="shared" si="57"/>
        <v>1.1273777512199981</v>
      </c>
      <c r="Q574" s="3">
        <f t="shared" si="58"/>
        <v>0.14783568904593639</v>
      </c>
    </row>
    <row r="575" spans="1:17" hidden="1" x14ac:dyDescent="0.25">
      <c r="A575" t="s">
        <v>635</v>
      </c>
      <c r="B575" t="s">
        <v>35</v>
      </c>
      <c r="C575" t="s">
        <v>46</v>
      </c>
      <c r="D575" t="str">
        <f t="shared" si="54"/>
        <v>MA</v>
      </c>
      <c r="E575" t="str">
        <f t="shared" si="55"/>
        <v>Northeast</v>
      </c>
      <c r="F575" t="s">
        <v>14</v>
      </c>
      <c r="G575" s="1">
        <v>45245</v>
      </c>
      <c r="H575" s="1">
        <v>45248</v>
      </c>
      <c r="I575" s="1">
        <f t="shared" si="53"/>
        <v>45248</v>
      </c>
      <c r="J575" s="2">
        <v>43.9</v>
      </c>
      <c r="K575" s="2">
        <v>133.41</v>
      </c>
      <c r="L575" t="s">
        <v>15</v>
      </c>
      <c r="M575" s="2">
        <v>413</v>
      </c>
      <c r="N575" s="2">
        <v>3</v>
      </c>
      <c r="O575" s="2">
        <f t="shared" si="56"/>
        <v>137.66666666666666</v>
      </c>
      <c r="P575" s="2">
        <f t="shared" si="57"/>
        <v>1.0319066536741373</v>
      </c>
      <c r="Q575" s="3">
        <f t="shared" si="58"/>
        <v>0.32302663438256657</v>
      </c>
    </row>
    <row r="576" spans="1:17" x14ac:dyDescent="0.25">
      <c r="A576" t="s">
        <v>636</v>
      </c>
      <c r="B576" t="s">
        <v>12</v>
      </c>
      <c r="C576" t="s">
        <v>24</v>
      </c>
      <c r="D576" t="str">
        <f t="shared" si="54"/>
        <v>WA</v>
      </c>
      <c r="E576" t="str">
        <f t="shared" si="55"/>
        <v>West</v>
      </c>
      <c r="F576" t="s">
        <v>37</v>
      </c>
      <c r="G576" s="1">
        <v>45072</v>
      </c>
      <c r="H576" s="1">
        <v>45086</v>
      </c>
      <c r="I576" s="1">
        <f t="shared" si="53"/>
        <v>45086</v>
      </c>
      <c r="J576" s="2">
        <v>17.5</v>
      </c>
      <c r="K576" s="2">
        <v>144.25</v>
      </c>
      <c r="L576" t="s">
        <v>47</v>
      </c>
      <c r="M576" s="2">
        <v>1003</v>
      </c>
      <c r="N576" s="2">
        <v>3</v>
      </c>
      <c r="O576" s="2">
        <f t="shared" si="56"/>
        <v>334.33333333333331</v>
      </c>
      <c r="P576" s="2">
        <f t="shared" si="57"/>
        <v>2.3177354130560368</v>
      </c>
      <c r="Q576" s="3">
        <f t="shared" si="58"/>
        <v>0.14381854436689931</v>
      </c>
    </row>
    <row r="577" spans="1:17" hidden="1" x14ac:dyDescent="0.25">
      <c r="A577" t="s">
        <v>637</v>
      </c>
      <c r="B577" t="s">
        <v>27</v>
      </c>
      <c r="C577" t="s">
        <v>21</v>
      </c>
      <c r="D577" t="str">
        <f t="shared" si="54"/>
        <v>TX</v>
      </c>
      <c r="E577" t="str">
        <f t="shared" si="55"/>
        <v>Southwest</v>
      </c>
      <c r="F577" t="s">
        <v>25</v>
      </c>
      <c r="G577" s="1">
        <v>45136</v>
      </c>
      <c r="H577" s="1">
        <v>45139</v>
      </c>
      <c r="I577" s="1">
        <f t="shared" si="53"/>
        <v>45139</v>
      </c>
      <c r="J577" s="2">
        <v>82.9</v>
      </c>
      <c r="K577" s="2">
        <v>189.53</v>
      </c>
      <c r="L577" t="s">
        <v>15</v>
      </c>
      <c r="M577" s="2">
        <v>893</v>
      </c>
      <c r="N577" s="2">
        <v>3</v>
      </c>
      <c r="O577" s="2">
        <f t="shared" si="56"/>
        <v>297.66666666666669</v>
      </c>
      <c r="P577" s="2">
        <f t="shared" si="57"/>
        <v>1.5705517156474789</v>
      </c>
      <c r="Q577" s="3">
        <f t="shared" si="58"/>
        <v>0.21223964165733483</v>
      </c>
    </row>
    <row r="578" spans="1:17" hidden="1" x14ac:dyDescent="0.25">
      <c r="A578" t="s">
        <v>638</v>
      </c>
      <c r="B578" t="s">
        <v>39</v>
      </c>
      <c r="C578" t="s">
        <v>46</v>
      </c>
      <c r="D578" t="str">
        <f t="shared" si="54"/>
        <v>MA</v>
      </c>
      <c r="E578" t="str">
        <f t="shared" si="55"/>
        <v>Northeast</v>
      </c>
      <c r="F578" t="s">
        <v>18</v>
      </c>
      <c r="G578" s="1">
        <v>45069</v>
      </c>
      <c r="H578" s="1">
        <v>45081</v>
      </c>
      <c r="I578" s="1">
        <f t="shared" ref="I578:I641" si="59">IF(H578="", G578 + N578, H578)</f>
        <v>45081</v>
      </c>
      <c r="J578" s="2">
        <v>16.2</v>
      </c>
      <c r="K578" s="2">
        <v>219.44</v>
      </c>
      <c r="L578" t="s">
        <v>47</v>
      </c>
      <c r="M578" s="2">
        <v>1509</v>
      </c>
      <c r="N578" s="2">
        <v>4</v>
      </c>
      <c r="O578" s="2">
        <f t="shared" si="56"/>
        <v>377.25</v>
      </c>
      <c r="P578" s="2">
        <f t="shared" si="57"/>
        <v>1.7191487422530076</v>
      </c>
      <c r="Q578" s="3">
        <f t="shared" si="58"/>
        <v>0.14542080848243871</v>
      </c>
    </row>
    <row r="579" spans="1:17" x14ac:dyDescent="0.25">
      <c r="A579" t="s">
        <v>639</v>
      </c>
      <c r="B579" t="s">
        <v>23</v>
      </c>
      <c r="C579" t="s">
        <v>24</v>
      </c>
      <c r="D579" t="str">
        <f t="shared" si="54"/>
        <v>WA</v>
      </c>
      <c r="E579" t="str">
        <f t="shared" si="55"/>
        <v>West</v>
      </c>
      <c r="F579" t="s">
        <v>18</v>
      </c>
      <c r="G579" s="1">
        <v>45119</v>
      </c>
      <c r="H579" s="1">
        <v>45132</v>
      </c>
      <c r="I579" s="1">
        <f t="shared" si="59"/>
        <v>45132</v>
      </c>
      <c r="J579" s="2">
        <v>17.100000000000001</v>
      </c>
      <c r="K579" s="2">
        <v>265.04000000000002</v>
      </c>
      <c r="L579" t="s">
        <v>47</v>
      </c>
      <c r="M579" s="2">
        <v>1749</v>
      </c>
      <c r="N579" s="2">
        <v>5</v>
      </c>
      <c r="O579" s="2">
        <f t="shared" si="56"/>
        <v>349.8</v>
      </c>
      <c r="P579" s="2">
        <f t="shared" si="57"/>
        <v>1.319800784787202</v>
      </c>
      <c r="Q579" s="3">
        <f t="shared" si="58"/>
        <v>0.15153802172670097</v>
      </c>
    </row>
    <row r="580" spans="1:17" x14ac:dyDescent="0.25">
      <c r="A580" t="s">
        <v>640</v>
      </c>
      <c r="B580" t="s">
        <v>12</v>
      </c>
      <c r="C580" t="s">
        <v>70</v>
      </c>
      <c r="D580" t="str">
        <f t="shared" si="54"/>
        <v>CA</v>
      </c>
      <c r="E580" t="str">
        <f t="shared" si="55"/>
        <v>West</v>
      </c>
      <c r="F580" t="s">
        <v>25</v>
      </c>
      <c r="G580" s="1">
        <v>45091</v>
      </c>
      <c r="H580" s="1">
        <v>45092</v>
      </c>
      <c r="I580" s="1">
        <f t="shared" si="59"/>
        <v>45092</v>
      </c>
      <c r="J580" s="2">
        <v>9.4</v>
      </c>
      <c r="K580" s="2">
        <v>59.03</v>
      </c>
      <c r="L580" t="s">
        <v>15</v>
      </c>
      <c r="M580" s="2">
        <v>377</v>
      </c>
      <c r="N580" s="2">
        <v>1</v>
      </c>
      <c r="O580" s="2">
        <f t="shared" si="56"/>
        <v>377</v>
      </c>
      <c r="P580" s="2">
        <f t="shared" si="57"/>
        <v>6.3865830933423684</v>
      </c>
      <c r="Q580" s="3">
        <f t="shared" si="58"/>
        <v>0.15657824933687003</v>
      </c>
    </row>
    <row r="581" spans="1:17" hidden="1" x14ac:dyDescent="0.25">
      <c r="A581" t="s">
        <v>641</v>
      </c>
      <c r="B581" t="s">
        <v>27</v>
      </c>
      <c r="C581" t="s">
        <v>52</v>
      </c>
      <c r="D581" t="str">
        <f t="shared" si="54"/>
        <v>AZ</v>
      </c>
      <c r="E581" t="str">
        <f t="shared" si="55"/>
        <v>Southwest</v>
      </c>
      <c r="F581" t="s">
        <v>32</v>
      </c>
      <c r="G581" s="1">
        <v>45220</v>
      </c>
      <c r="H581" s="1">
        <v>45225</v>
      </c>
      <c r="I581" s="1">
        <f t="shared" si="59"/>
        <v>45225</v>
      </c>
      <c r="J581" s="2">
        <v>15.3</v>
      </c>
      <c r="K581" s="2">
        <v>343.33</v>
      </c>
      <c r="L581" t="s">
        <v>15</v>
      </c>
      <c r="M581" s="2">
        <v>2483</v>
      </c>
      <c r="N581" s="2">
        <v>5</v>
      </c>
      <c r="O581" s="2">
        <f t="shared" si="56"/>
        <v>496.6</v>
      </c>
      <c r="P581" s="2">
        <f t="shared" si="57"/>
        <v>1.4464218099204849</v>
      </c>
      <c r="Q581" s="3">
        <f t="shared" si="58"/>
        <v>0.13827225130890053</v>
      </c>
    </row>
    <row r="582" spans="1:17" x14ac:dyDescent="0.25">
      <c r="A582" t="s">
        <v>642</v>
      </c>
      <c r="B582" t="s">
        <v>49</v>
      </c>
      <c r="C582" t="s">
        <v>24</v>
      </c>
      <c r="D582" t="str">
        <f t="shared" si="54"/>
        <v>WA</v>
      </c>
      <c r="E582" t="str">
        <f t="shared" si="55"/>
        <v>West</v>
      </c>
      <c r="F582" t="s">
        <v>25</v>
      </c>
      <c r="G582" s="1">
        <v>44995</v>
      </c>
      <c r="H582" s="1">
        <v>45009</v>
      </c>
      <c r="I582" s="1">
        <f t="shared" si="59"/>
        <v>45009</v>
      </c>
      <c r="J582" s="2">
        <v>17.399999999999999</v>
      </c>
      <c r="K582" s="2">
        <v>231.71</v>
      </c>
      <c r="L582" t="s">
        <v>47</v>
      </c>
      <c r="M582" s="2">
        <v>1606</v>
      </c>
      <c r="N582" s="2">
        <v>5</v>
      </c>
      <c r="O582" s="2">
        <f t="shared" si="56"/>
        <v>321.2</v>
      </c>
      <c r="P582" s="2">
        <f t="shared" si="57"/>
        <v>1.386215528030728</v>
      </c>
      <c r="Q582" s="3">
        <f t="shared" si="58"/>
        <v>0.14427770859277708</v>
      </c>
    </row>
    <row r="583" spans="1:17" hidden="1" x14ac:dyDescent="0.25">
      <c r="A583" t="s">
        <v>643</v>
      </c>
      <c r="B583" t="s">
        <v>51</v>
      </c>
      <c r="C583" t="s">
        <v>17</v>
      </c>
      <c r="D583" t="str">
        <f t="shared" si="54"/>
        <v>GA</v>
      </c>
      <c r="E583" t="str">
        <f t="shared" si="55"/>
        <v>Southeast</v>
      </c>
      <c r="F583" t="s">
        <v>25</v>
      </c>
      <c r="G583" s="1">
        <v>45132</v>
      </c>
      <c r="H583" s="1">
        <v>45137</v>
      </c>
      <c r="I583" s="1">
        <f t="shared" si="59"/>
        <v>45137</v>
      </c>
      <c r="J583" s="2">
        <v>11.8</v>
      </c>
      <c r="K583" s="2">
        <v>119.5</v>
      </c>
      <c r="L583" t="s">
        <v>15</v>
      </c>
      <c r="M583" s="2">
        <v>870</v>
      </c>
      <c r="N583" s="2">
        <v>5</v>
      </c>
      <c r="O583" s="2">
        <f t="shared" si="56"/>
        <v>174</v>
      </c>
      <c r="P583" s="2">
        <f t="shared" si="57"/>
        <v>1.4560669456066946</v>
      </c>
      <c r="Q583" s="3">
        <f t="shared" si="58"/>
        <v>0.13735632183908045</v>
      </c>
    </row>
    <row r="584" spans="1:17" x14ac:dyDescent="0.25">
      <c r="A584" t="s">
        <v>644</v>
      </c>
      <c r="B584" t="s">
        <v>30</v>
      </c>
      <c r="C584" t="s">
        <v>13</v>
      </c>
      <c r="D584" t="str">
        <f t="shared" si="54"/>
        <v>CA</v>
      </c>
      <c r="E584" t="str">
        <f t="shared" si="55"/>
        <v>West</v>
      </c>
      <c r="F584" t="s">
        <v>14</v>
      </c>
      <c r="G584" s="1">
        <v>45268</v>
      </c>
      <c r="H584" s="1">
        <v>45273</v>
      </c>
      <c r="I584" s="1">
        <f t="shared" si="59"/>
        <v>45273</v>
      </c>
      <c r="J584" s="2">
        <v>56.8</v>
      </c>
      <c r="K584" s="2">
        <v>315.36</v>
      </c>
      <c r="L584" t="s">
        <v>15</v>
      </c>
      <c r="M584" s="2">
        <v>1705</v>
      </c>
      <c r="N584" s="2">
        <v>5</v>
      </c>
      <c r="O584" s="2">
        <f t="shared" si="56"/>
        <v>341</v>
      </c>
      <c r="P584" s="2">
        <f t="shared" si="57"/>
        <v>1.0813039066463723</v>
      </c>
      <c r="Q584" s="3">
        <f t="shared" si="58"/>
        <v>0.1849618768328446</v>
      </c>
    </row>
    <row r="585" spans="1:17" hidden="1" x14ac:dyDescent="0.25">
      <c r="A585" t="s">
        <v>645</v>
      </c>
      <c r="B585" t="s">
        <v>49</v>
      </c>
      <c r="C585" t="s">
        <v>17</v>
      </c>
      <c r="D585" t="str">
        <f t="shared" si="54"/>
        <v>GA</v>
      </c>
      <c r="E585" t="str">
        <f t="shared" si="55"/>
        <v>Southeast</v>
      </c>
      <c r="F585" t="s">
        <v>14</v>
      </c>
      <c r="G585" s="1">
        <v>45096</v>
      </c>
      <c r="I585" s="1">
        <f t="shared" si="59"/>
        <v>45098</v>
      </c>
      <c r="J585" s="2">
        <v>28.5</v>
      </c>
      <c r="K585" s="2">
        <v>77.760000000000005</v>
      </c>
      <c r="L585" t="s">
        <v>15</v>
      </c>
      <c r="M585" s="2">
        <v>290</v>
      </c>
      <c r="N585" s="2">
        <v>2</v>
      </c>
      <c r="O585" s="2">
        <f t="shared" si="56"/>
        <v>145</v>
      </c>
      <c r="P585" s="2">
        <f t="shared" si="57"/>
        <v>1.8647119341563785</v>
      </c>
      <c r="Q585" s="3">
        <f t="shared" si="58"/>
        <v>0.2681379310344828</v>
      </c>
    </row>
    <row r="586" spans="1:17" hidden="1" x14ac:dyDescent="0.25">
      <c r="A586" t="s">
        <v>646</v>
      </c>
      <c r="B586" t="s">
        <v>56</v>
      </c>
      <c r="C586" t="s">
        <v>28</v>
      </c>
      <c r="D586" t="str">
        <f t="shared" si="54"/>
        <v>TX</v>
      </c>
      <c r="E586" t="str">
        <f t="shared" si="55"/>
        <v>Southwest</v>
      </c>
      <c r="F586" t="s">
        <v>37</v>
      </c>
      <c r="G586" s="1">
        <v>45068</v>
      </c>
      <c r="H586" s="1">
        <v>45072</v>
      </c>
      <c r="I586" s="1">
        <f t="shared" si="59"/>
        <v>45072</v>
      </c>
      <c r="J586" s="2">
        <v>14.6</v>
      </c>
      <c r="K586" s="2">
        <v>187.56</v>
      </c>
      <c r="L586" t="s">
        <v>15</v>
      </c>
      <c r="M586" s="2">
        <v>1525</v>
      </c>
      <c r="N586" s="2">
        <v>4</v>
      </c>
      <c r="O586" s="2">
        <f t="shared" si="56"/>
        <v>381.25</v>
      </c>
      <c r="P586" s="2">
        <f t="shared" si="57"/>
        <v>2.0326828748133932</v>
      </c>
      <c r="Q586" s="3">
        <f t="shared" si="58"/>
        <v>0.12299016393442623</v>
      </c>
    </row>
    <row r="587" spans="1:17" hidden="1" x14ac:dyDescent="0.25">
      <c r="A587" t="s">
        <v>647</v>
      </c>
      <c r="B587" t="s">
        <v>12</v>
      </c>
      <c r="C587" t="s">
        <v>52</v>
      </c>
      <c r="D587" t="str">
        <f t="shared" si="54"/>
        <v>AZ</v>
      </c>
      <c r="E587" t="str">
        <f t="shared" si="55"/>
        <v>Southwest</v>
      </c>
      <c r="F587" t="s">
        <v>18</v>
      </c>
      <c r="G587" s="1">
        <v>45100</v>
      </c>
      <c r="H587" s="1">
        <v>45103</v>
      </c>
      <c r="I587" s="1">
        <f t="shared" si="59"/>
        <v>45103</v>
      </c>
      <c r="J587" s="2">
        <v>9.9</v>
      </c>
      <c r="K587" s="2">
        <v>180.22</v>
      </c>
      <c r="L587" t="s">
        <v>15</v>
      </c>
      <c r="M587" s="2">
        <v>1178</v>
      </c>
      <c r="N587" s="2">
        <v>3</v>
      </c>
      <c r="O587" s="2">
        <f t="shared" si="56"/>
        <v>392.66666666666669</v>
      </c>
      <c r="P587" s="2">
        <f t="shared" si="57"/>
        <v>2.1788184811156737</v>
      </c>
      <c r="Q587" s="3">
        <f t="shared" si="58"/>
        <v>0.15298811544991511</v>
      </c>
    </row>
    <row r="588" spans="1:17" hidden="1" x14ac:dyDescent="0.25">
      <c r="A588" t="s">
        <v>648</v>
      </c>
      <c r="B588" t="s">
        <v>27</v>
      </c>
      <c r="C588" t="s">
        <v>21</v>
      </c>
      <c r="D588" t="str">
        <f t="shared" si="54"/>
        <v>TX</v>
      </c>
      <c r="E588" t="str">
        <f t="shared" si="55"/>
        <v>Southwest</v>
      </c>
      <c r="F588" t="s">
        <v>32</v>
      </c>
      <c r="G588" s="1">
        <v>44983</v>
      </c>
      <c r="H588" s="1">
        <v>44987</v>
      </c>
      <c r="I588" s="1">
        <f t="shared" si="59"/>
        <v>44987</v>
      </c>
      <c r="J588" s="2">
        <v>45.7</v>
      </c>
      <c r="K588" s="2">
        <v>247.43</v>
      </c>
      <c r="L588" t="s">
        <v>15</v>
      </c>
      <c r="M588" s="2">
        <v>1612</v>
      </c>
      <c r="N588" s="2">
        <v>4</v>
      </c>
      <c r="O588" s="2">
        <f t="shared" si="56"/>
        <v>403</v>
      </c>
      <c r="P588" s="2">
        <f t="shared" si="57"/>
        <v>1.6287434830052945</v>
      </c>
      <c r="Q588" s="3">
        <f t="shared" si="58"/>
        <v>0.1534925558312655</v>
      </c>
    </row>
    <row r="589" spans="1:17" hidden="1" x14ac:dyDescent="0.25">
      <c r="A589" t="s">
        <v>649</v>
      </c>
      <c r="B589" t="s">
        <v>20</v>
      </c>
      <c r="C589" t="s">
        <v>31</v>
      </c>
      <c r="D589" t="str">
        <f t="shared" si="54"/>
        <v>NY</v>
      </c>
      <c r="E589" t="str">
        <f t="shared" si="55"/>
        <v>Northeast</v>
      </c>
      <c r="F589" t="s">
        <v>37</v>
      </c>
      <c r="G589" s="1">
        <v>45075</v>
      </c>
      <c r="H589" s="1">
        <v>45081</v>
      </c>
      <c r="I589" s="1">
        <f t="shared" si="59"/>
        <v>45081</v>
      </c>
      <c r="J589" s="2">
        <v>19.899999999999999</v>
      </c>
      <c r="K589" s="2">
        <v>316.02999999999997</v>
      </c>
      <c r="L589" t="s">
        <v>15</v>
      </c>
      <c r="M589" s="2">
        <v>2488</v>
      </c>
      <c r="N589" s="2">
        <v>6</v>
      </c>
      <c r="O589" s="2">
        <f t="shared" si="56"/>
        <v>414.66666666666669</v>
      </c>
      <c r="P589" s="2">
        <f t="shared" si="57"/>
        <v>1.3121117193515386</v>
      </c>
      <c r="Q589" s="3">
        <f t="shared" si="58"/>
        <v>0.12702170418006431</v>
      </c>
    </row>
    <row r="590" spans="1:17" hidden="1" x14ac:dyDescent="0.25">
      <c r="A590" t="s">
        <v>650</v>
      </c>
      <c r="B590" t="s">
        <v>39</v>
      </c>
      <c r="C590" t="s">
        <v>28</v>
      </c>
      <c r="D590" t="str">
        <f t="shared" si="54"/>
        <v>TX</v>
      </c>
      <c r="E590" t="str">
        <f t="shared" si="55"/>
        <v>Southwest</v>
      </c>
      <c r="F590" t="s">
        <v>37</v>
      </c>
      <c r="G590" s="1">
        <v>45250</v>
      </c>
      <c r="H590" s="1">
        <v>45260</v>
      </c>
      <c r="I590" s="1">
        <f t="shared" si="59"/>
        <v>45260</v>
      </c>
      <c r="J590" s="2">
        <v>10.5</v>
      </c>
      <c r="K590" s="2">
        <v>325.38</v>
      </c>
      <c r="L590" t="s">
        <v>15</v>
      </c>
      <c r="M590" s="2">
        <v>2144</v>
      </c>
      <c r="N590" s="2">
        <v>10</v>
      </c>
      <c r="O590" s="2">
        <f t="shared" si="56"/>
        <v>214.4</v>
      </c>
      <c r="P590" s="2">
        <f t="shared" si="57"/>
        <v>0.65892187596041552</v>
      </c>
      <c r="Q590" s="3">
        <f t="shared" si="58"/>
        <v>0.15176305970149254</v>
      </c>
    </row>
    <row r="591" spans="1:17" hidden="1" x14ac:dyDescent="0.25">
      <c r="A591" t="s">
        <v>651</v>
      </c>
      <c r="B591" t="s">
        <v>51</v>
      </c>
      <c r="C591" t="s">
        <v>28</v>
      </c>
      <c r="D591" t="str">
        <f t="shared" si="54"/>
        <v>TX</v>
      </c>
      <c r="E591" t="str">
        <f t="shared" si="55"/>
        <v>Southwest</v>
      </c>
      <c r="F591" t="s">
        <v>32</v>
      </c>
      <c r="G591" s="1">
        <v>45080</v>
      </c>
      <c r="H591" s="1">
        <v>45083</v>
      </c>
      <c r="I591" s="1">
        <f t="shared" si="59"/>
        <v>45083</v>
      </c>
      <c r="J591" s="2">
        <v>4.2</v>
      </c>
      <c r="K591" s="2">
        <v>45.59</v>
      </c>
      <c r="L591" t="s">
        <v>15</v>
      </c>
      <c r="M591" s="2">
        <v>341</v>
      </c>
      <c r="N591" s="2">
        <v>3</v>
      </c>
      <c r="O591" s="2">
        <f t="shared" si="56"/>
        <v>113.66666666666667</v>
      </c>
      <c r="P591" s="2">
        <f t="shared" si="57"/>
        <v>2.4932368209402647</v>
      </c>
      <c r="Q591" s="3">
        <f t="shared" si="58"/>
        <v>0.1336950146627566</v>
      </c>
    </row>
    <row r="592" spans="1:17" hidden="1" x14ac:dyDescent="0.25">
      <c r="A592" t="s">
        <v>652</v>
      </c>
      <c r="B592" t="s">
        <v>23</v>
      </c>
      <c r="C592" t="s">
        <v>46</v>
      </c>
      <c r="D592" t="str">
        <f t="shared" si="54"/>
        <v>MA</v>
      </c>
      <c r="E592" t="str">
        <f t="shared" si="55"/>
        <v>Northeast</v>
      </c>
      <c r="F592" t="s">
        <v>42</v>
      </c>
      <c r="G592" s="1">
        <v>44974</v>
      </c>
      <c r="H592" s="1">
        <v>44978</v>
      </c>
      <c r="I592" s="1">
        <f t="shared" si="59"/>
        <v>44978</v>
      </c>
      <c r="J592" s="2">
        <v>17.899999999999999</v>
      </c>
      <c r="K592" s="2">
        <v>77.709999999999994</v>
      </c>
      <c r="L592" t="s">
        <v>15</v>
      </c>
      <c r="M592" s="2">
        <v>484</v>
      </c>
      <c r="N592" s="2">
        <v>4</v>
      </c>
      <c r="O592" s="2">
        <f t="shared" si="56"/>
        <v>121</v>
      </c>
      <c r="P592" s="2">
        <f t="shared" si="57"/>
        <v>1.5570711620126112</v>
      </c>
      <c r="Q592" s="3">
        <f t="shared" si="58"/>
        <v>0.1605578512396694</v>
      </c>
    </row>
    <row r="593" spans="1:17" hidden="1" x14ac:dyDescent="0.25">
      <c r="A593" t="s">
        <v>653</v>
      </c>
      <c r="B593" t="s">
        <v>49</v>
      </c>
      <c r="C593" t="s">
        <v>40</v>
      </c>
      <c r="D593" t="str">
        <f t="shared" si="54"/>
        <v>MI</v>
      </c>
      <c r="E593" t="str">
        <f t="shared" si="55"/>
        <v>Midwest</v>
      </c>
      <c r="F593" t="s">
        <v>18</v>
      </c>
      <c r="G593" s="1">
        <v>45135</v>
      </c>
      <c r="H593" s="1">
        <v>45140</v>
      </c>
      <c r="I593" s="1">
        <f t="shared" si="59"/>
        <v>45140</v>
      </c>
      <c r="J593" s="2">
        <v>6.9</v>
      </c>
      <c r="K593" s="2">
        <v>218.92</v>
      </c>
      <c r="L593" t="s">
        <v>15</v>
      </c>
      <c r="M593" s="2">
        <v>1461</v>
      </c>
      <c r="N593" s="2">
        <v>5</v>
      </c>
      <c r="O593" s="2">
        <f t="shared" si="56"/>
        <v>292.2</v>
      </c>
      <c r="P593" s="2">
        <f t="shared" si="57"/>
        <v>1.3347341494609903</v>
      </c>
      <c r="Q593" s="3">
        <f t="shared" si="58"/>
        <v>0.1498425735797399</v>
      </c>
    </row>
    <row r="594" spans="1:17" hidden="1" x14ac:dyDescent="0.25">
      <c r="A594" t="s">
        <v>654</v>
      </c>
      <c r="B594" t="s">
        <v>20</v>
      </c>
      <c r="C594" t="s">
        <v>44</v>
      </c>
      <c r="D594" t="str">
        <f t="shared" si="54"/>
        <v>IL</v>
      </c>
      <c r="E594" t="str">
        <f t="shared" si="55"/>
        <v>Midwest</v>
      </c>
      <c r="F594" t="s">
        <v>37</v>
      </c>
      <c r="G594" s="1">
        <v>45278</v>
      </c>
      <c r="H594" s="1">
        <v>45283</v>
      </c>
      <c r="I594" s="1">
        <f t="shared" si="59"/>
        <v>45283</v>
      </c>
      <c r="J594" s="2">
        <v>29.7</v>
      </c>
      <c r="K594" s="2">
        <v>149.52000000000001</v>
      </c>
      <c r="L594" t="s">
        <v>15</v>
      </c>
      <c r="M594" s="2">
        <v>766</v>
      </c>
      <c r="N594" s="2">
        <v>5</v>
      </c>
      <c r="O594" s="2">
        <f t="shared" si="56"/>
        <v>153.19999999999999</v>
      </c>
      <c r="P594" s="2">
        <f t="shared" si="57"/>
        <v>1.0246120920278221</v>
      </c>
      <c r="Q594" s="3">
        <f t="shared" si="58"/>
        <v>0.19519582245430811</v>
      </c>
    </row>
    <row r="595" spans="1:17" hidden="1" x14ac:dyDescent="0.25">
      <c r="A595" t="s">
        <v>655</v>
      </c>
      <c r="B595" t="s">
        <v>30</v>
      </c>
      <c r="C595" t="s">
        <v>28</v>
      </c>
      <c r="D595" t="str">
        <f t="shared" si="54"/>
        <v>TX</v>
      </c>
      <c r="E595" t="str">
        <f t="shared" si="55"/>
        <v>Southwest</v>
      </c>
      <c r="F595" t="s">
        <v>32</v>
      </c>
      <c r="G595" s="1">
        <v>45082</v>
      </c>
      <c r="H595" s="1">
        <v>45087</v>
      </c>
      <c r="I595" s="1">
        <f t="shared" si="59"/>
        <v>45087</v>
      </c>
      <c r="J595" s="2">
        <v>11.4</v>
      </c>
      <c r="K595" s="2">
        <v>179.35</v>
      </c>
      <c r="L595" t="s">
        <v>15</v>
      </c>
      <c r="M595" s="2">
        <v>1151</v>
      </c>
      <c r="N595" s="2">
        <v>5</v>
      </c>
      <c r="O595" s="2">
        <f t="shared" si="56"/>
        <v>230.2</v>
      </c>
      <c r="P595" s="2">
        <f t="shared" si="57"/>
        <v>1.2835238360747143</v>
      </c>
      <c r="Q595" s="3">
        <f t="shared" si="58"/>
        <v>0.15582102519548219</v>
      </c>
    </row>
    <row r="596" spans="1:17" x14ac:dyDescent="0.25">
      <c r="A596" t="s">
        <v>656</v>
      </c>
      <c r="B596" t="s">
        <v>12</v>
      </c>
      <c r="C596" t="s">
        <v>13</v>
      </c>
      <c r="D596" t="str">
        <f t="shared" si="54"/>
        <v>CA</v>
      </c>
      <c r="E596" t="str">
        <f t="shared" si="55"/>
        <v>West</v>
      </c>
      <c r="F596" t="s">
        <v>42</v>
      </c>
      <c r="G596" s="1">
        <v>45133</v>
      </c>
      <c r="H596" s="1">
        <v>45135</v>
      </c>
      <c r="I596" s="1">
        <f t="shared" si="59"/>
        <v>45135</v>
      </c>
      <c r="J596" s="2">
        <v>11</v>
      </c>
      <c r="K596" s="2">
        <v>59.43</v>
      </c>
      <c r="L596" t="s">
        <v>15</v>
      </c>
      <c r="M596" s="2">
        <v>412</v>
      </c>
      <c r="N596" s="2">
        <v>2</v>
      </c>
      <c r="O596" s="2">
        <f t="shared" si="56"/>
        <v>206</v>
      </c>
      <c r="P596" s="2">
        <f t="shared" si="57"/>
        <v>3.4662628302204275</v>
      </c>
      <c r="Q596" s="3">
        <f t="shared" si="58"/>
        <v>0.14424757281553399</v>
      </c>
    </row>
    <row r="597" spans="1:17" hidden="1" x14ac:dyDescent="0.25">
      <c r="A597" t="s">
        <v>657</v>
      </c>
      <c r="B597" t="s">
        <v>12</v>
      </c>
      <c r="C597" t="s">
        <v>28</v>
      </c>
      <c r="D597" t="str">
        <f t="shared" si="54"/>
        <v>TX</v>
      </c>
      <c r="E597" t="str">
        <f t="shared" si="55"/>
        <v>Southwest</v>
      </c>
      <c r="F597" t="s">
        <v>37</v>
      </c>
      <c r="G597" s="1">
        <v>44965</v>
      </c>
      <c r="H597" s="1">
        <v>44969</v>
      </c>
      <c r="I597" s="1">
        <f t="shared" si="59"/>
        <v>44969</v>
      </c>
      <c r="J597" s="2">
        <v>19.7</v>
      </c>
      <c r="K597" s="2">
        <v>254.01</v>
      </c>
      <c r="L597" t="s">
        <v>15</v>
      </c>
      <c r="M597" s="2">
        <v>1858</v>
      </c>
      <c r="N597" s="2">
        <v>4</v>
      </c>
      <c r="O597" s="2">
        <f t="shared" si="56"/>
        <v>464.5</v>
      </c>
      <c r="P597" s="2">
        <f t="shared" si="57"/>
        <v>1.828668162670761</v>
      </c>
      <c r="Q597" s="3">
        <f t="shared" si="58"/>
        <v>0.13671151776103335</v>
      </c>
    </row>
    <row r="598" spans="1:17" x14ac:dyDescent="0.25">
      <c r="A598" t="s">
        <v>658</v>
      </c>
      <c r="B598" t="s">
        <v>39</v>
      </c>
      <c r="C598" t="s">
        <v>13</v>
      </c>
      <c r="D598" t="str">
        <f t="shared" si="54"/>
        <v>CA</v>
      </c>
      <c r="E598" t="str">
        <f t="shared" si="55"/>
        <v>West</v>
      </c>
      <c r="F598" t="s">
        <v>42</v>
      </c>
      <c r="G598" s="1">
        <v>45217</v>
      </c>
      <c r="H598" s="1">
        <v>45233</v>
      </c>
      <c r="I598" s="1">
        <f t="shared" si="59"/>
        <v>45233</v>
      </c>
      <c r="J598" s="2">
        <v>24.2</v>
      </c>
      <c r="K598" s="2">
        <v>284.17</v>
      </c>
      <c r="L598" t="s">
        <v>47</v>
      </c>
      <c r="M598" s="2">
        <v>2188</v>
      </c>
      <c r="N598" s="2">
        <v>5</v>
      </c>
      <c r="O598" s="2">
        <f t="shared" si="56"/>
        <v>437.6</v>
      </c>
      <c r="P598" s="2">
        <f t="shared" si="57"/>
        <v>1.5399232853573566</v>
      </c>
      <c r="Q598" s="3">
        <f t="shared" si="58"/>
        <v>0.12987659963436929</v>
      </c>
    </row>
    <row r="599" spans="1:17" hidden="1" x14ac:dyDescent="0.25">
      <c r="A599" t="s">
        <v>659</v>
      </c>
      <c r="B599" t="s">
        <v>39</v>
      </c>
      <c r="C599" t="s">
        <v>28</v>
      </c>
      <c r="D599" t="str">
        <f t="shared" si="54"/>
        <v>TX</v>
      </c>
      <c r="E599" t="str">
        <f t="shared" si="55"/>
        <v>Southwest</v>
      </c>
      <c r="F599" t="s">
        <v>32</v>
      </c>
      <c r="G599" s="1">
        <v>45176</v>
      </c>
      <c r="H599" s="1">
        <v>45179</v>
      </c>
      <c r="I599" s="1">
        <f t="shared" si="59"/>
        <v>45179</v>
      </c>
      <c r="J599" s="2">
        <v>58.1</v>
      </c>
      <c r="K599" s="2">
        <v>217.03</v>
      </c>
      <c r="L599" t="s">
        <v>15</v>
      </c>
      <c r="M599" s="2">
        <v>1113</v>
      </c>
      <c r="N599" s="2">
        <v>3</v>
      </c>
      <c r="O599" s="2">
        <f t="shared" si="56"/>
        <v>371</v>
      </c>
      <c r="P599" s="2">
        <f t="shared" si="57"/>
        <v>1.7094410910933973</v>
      </c>
      <c r="Q599" s="3">
        <f t="shared" si="58"/>
        <v>0.19499550763701706</v>
      </c>
    </row>
    <row r="600" spans="1:17" x14ac:dyDescent="0.25">
      <c r="A600" t="s">
        <v>660</v>
      </c>
      <c r="B600" t="s">
        <v>39</v>
      </c>
      <c r="C600" t="s">
        <v>24</v>
      </c>
      <c r="D600" t="str">
        <f t="shared" si="54"/>
        <v>WA</v>
      </c>
      <c r="E600" t="str">
        <f t="shared" si="55"/>
        <v>West</v>
      </c>
      <c r="F600" t="s">
        <v>32</v>
      </c>
      <c r="G600" s="1">
        <v>45241</v>
      </c>
      <c r="H600" s="1">
        <v>45246</v>
      </c>
      <c r="I600" s="1">
        <f t="shared" si="59"/>
        <v>45246</v>
      </c>
      <c r="J600" s="2">
        <v>0.3</v>
      </c>
      <c r="K600" s="2">
        <v>333.92</v>
      </c>
      <c r="L600" t="s">
        <v>15</v>
      </c>
      <c r="M600" s="2">
        <v>1775</v>
      </c>
      <c r="N600" s="2">
        <v>5</v>
      </c>
      <c r="O600" s="2">
        <f t="shared" si="56"/>
        <v>355</v>
      </c>
      <c r="P600" s="2">
        <f t="shared" si="57"/>
        <v>1.0631288931480594</v>
      </c>
      <c r="Q600" s="3">
        <f t="shared" si="58"/>
        <v>0.18812394366197183</v>
      </c>
    </row>
    <row r="601" spans="1:17" hidden="1" x14ac:dyDescent="0.25">
      <c r="A601" t="s">
        <v>661</v>
      </c>
      <c r="B601" t="s">
        <v>56</v>
      </c>
      <c r="C601" t="s">
        <v>31</v>
      </c>
      <c r="D601" t="str">
        <f t="shared" si="54"/>
        <v>NY</v>
      </c>
      <c r="E601" t="str">
        <f t="shared" si="55"/>
        <v>Northeast</v>
      </c>
      <c r="F601" t="s">
        <v>37</v>
      </c>
      <c r="G601" s="1">
        <v>45225</v>
      </c>
      <c r="H601" s="1">
        <v>45229</v>
      </c>
      <c r="I601" s="1">
        <f t="shared" si="59"/>
        <v>45229</v>
      </c>
      <c r="J601" s="2">
        <v>39</v>
      </c>
      <c r="K601" s="2">
        <v>61.95</v>
      </c>
      <c r="L601" t="s">
        <v>15</v>
      </c>
      <c r="M601" s="2">
        <v>109</v>
      </c>
      <c r="N601" s="2">
        <v>4</v>
      </c>
      <c r="O601" s="2">
        <f t="shared" si="56"/>
        <v>27.25</v>
      </c>
      <c r="P601" s="2">
        <f t="shared" si="57"/>
        <v>0.43987086359967714</v>
      </c>
      <c r="Q601" s="3">
        <f t="shared" si="58"/>
        <v>0.56834862385321105</v>
      </c>
    </row>
    <row r="602" spans="1:17" x14ac:dyDescent="0.25">
      <c r="A602" t="s">
        <v>662</v>
      </c>
      <c r="B602" t="s">
        <v>35</v>
      </c>
      <c r="C602" t="s">
        <v>81</v>
      </c>
      <c r="D602" t="str">
        <f t="shared" si="54"/>
        <v>CO</v>
      </c>
      <c r="E602" t="str">
        <f t="shared" si="55"/>
        <v>West</v>
      </c>
      <c r="F602" t="s">
        <v>14</v>
      </c>
      <c r="G602" s="1">
        <v>45194</v>
      </c>
      <c r="H602" s="1">
        <v>45198</v>
      </c>
      <c r="I602" s="1">
        <f t="shared" si="59"/>
        <v>45198</v>
      </c>
      <c r="J602" s="2">
        <v>16.5</v>
      </c>
      <c r="K602" s="2">
        <v>143.91</v>
      </c>
      <c r="L602" t="s">
        <v>15</v>
      </c>
      <c r="M602" s="2">
        <v>1000</v>
      </c>
      <c r="N602" s="2">
        <v>4</v>
      </c>
      <c r="O602" s="2">
        <f t="shared" si="56"/>
        <v>250</v>
      </c>
      <c r="P602" s="2">
        <f t="shared" si="57"/>
        <v>1.7371968591480786</v>
      </c>
      <c r="Q602" s="3">
        <f t="shared" si="58"/>
        <v>0.14391000000000001</v>
      </c>
    </row>
    <row r="603" spans="1:17" x14ac:dyDescent="0.25">
      <c r="A603" t="s">
        <v>663</v>
      </c>
      <c r="B603" t="s">
        <v>30</v>
      </c>
      <c r="C603" t="s">
        <v>36</v>
      </c>
      <c r="D603" t="str">
        <f t="shared" si="54"/>
        <v>OR</v>
      </c>
      <c r="E603" t="str">
        <f t="shared" si="55"/>
        <v>West</v>
      </c>
      <c r="F603" t="s">
        <v>14</v>
      </c>
      <c r="G603" s="1">
        <v>45032</v>
      </c>
      <c r="H603" s="1">
        <v>45038</v>
      </c>
      <c r="I603" s="1">
        <f t="shared" si="59"/>
        <v>45038</v>
      </c>
      <c r="J603" s="2">
        <v>12.9</v>
      </c>
      <c r="K603" s="2">
        <v>56.83</v>
      </c>
      <c r="L603" t="s">
        <v>47</v>
      </c>
      <c r="M603" s="2">
        <v>354</v>
      </c>
      <c r="N603" s="2">
        <v>1</v>
      </c>
      <c r="O603" s="2">
        <f t="shared" si="56"/>
        <v>354</v>
      </c>
      <c r="P603" s="2">
        <f t="shared" si="57"/>
        <v>6.229104346295971</v>
      </c>
      <c r="Q603" s="3">
        <f t="shared" si="58"/>
        <v>0.16053672316384179</v>
      </c>
    </row>
    <row r="604" spans="1:17" hidden="1" x14ac:dyDescent="0.25">
      <c r="A604" t="s">
        <v>664</v>
      </c>
      <c r="B604" t="s">
        <v>30</v>
      </c>
      <c r="C604" t="s">
        <v>54</v>
      </c>
      <c r="D604" t="str">
        <f t="shared" si="54"/>
        <v>FL</v>
      </c>
      <c r="E604" t="str">
        <f t="shared" si="55"/>
        <v>Southeast</v>
      </c>
      <c r="F604" t="s">
        <v>32</v>
      </c>
      <c r="G604" s="1">
        <v>45040</v>
      </c>
      <c r="H604" s="1">
        <v>45042</v>
      </c>
      <c r="I604" s="1">
        <f t="shared" si="59"/>
        <v>45042</v>
      </c>
      <c r="J604" s="2">
        <v>11.5</v>
      </c>
      <c r="K604" s="2">
        <v>114.38</v>
      </c>
      <c r="L604" t="s">
        <v>15</v>
      </c>
      <c r="M604" s="2">
        <v>752</v>
      </c>
      <c r="N604" s="2">
        <v>2</v>
      </c>
      <c r="O604" s="2">
        <f t="shared" si="56"/>
        <v>376</v>
      </c>
      <c r="P604" s="2">
        <f t="shared" si="57"/>
        <v>3.2872879874103864</v>
      </c>
      <c r="Q604" s="3">
        <f t="shared" si="58"/>
        <v>0.15210106382978722</v>
      </c>
    </row>
    <row r="605" spans="1:17" x14ac:dyDescent="0.25">
      <c r="A605" t="s">
        <v>665</v>
      </c>
      <c r="B605" t="s">
        <v>30</v>
      </c>
      <c r="C605" t="s">
        <v>81</v>
      </c>
      <c r="D605" t="str">
        <f t="shared" si="54"/>
        <v>CO</v>
      </c>
      <c r="E605" t="str">
        <f t="shared" si="55"/>
        <v>West</v>
      </c>
      <c r="F605" t="s">
        <v>37</v>
      </c>
      <c r="G605" s="1">
        <v>45195</v>
      </c>
      <c r="H605" s="1">
        <v>45201</v>
      </c>
      <c r="I605" s="1">
        <f t="shared" si="59"/>
        <v>45201</v>
      </c>
      <c r="J605" s="2">
        <v>37.700000000000003</v>
      </c>
      <c r="K605" s="2">
        <v>286.39999999999998</v>
      </c>
      <c r="L605" t="s">
        <v>15</v>
      </c>
      <c r="M605" s="2">
        <v>2253</v>
      </c>
      <c r="N605" s="2">
        <v>6</v>
      </c>
      <c r="O605" s="2">
        <f t="shared" si="56"/>
        <v>375.5</v>
      </c>
      <c r="P605" s="2">
        <f t="shared" si="57"/>
        <v>1.3111033519553075</v>
      </c>
      <c r="Q605" s="3">
        <f t="shared" si="58"/>
        <v>0.12711939636040834</v>
      </c>
    </row>
    <row r="606" spans="1:17" x14ac:dyDescent="0.25">
      <c r="A606" t="s">
        <v>666</v>
      </c>
      <c r="B606" t="s">
        <v>35</v>
      </c>
      <c r="C606" t="s">
        <v>81</v>
      </c>
      <c r="D606" t="str">
        <f t="shared" si="54"/>
        <v>CO</v>
      </c>
      <c r="E606" t="str">
        <f t="shared" si="55"/>
        <v>West</v>
      </c>
      <c r="F606" t="s">
        <v>42</v>
      </c>
      <c r="G606" s="1">
        <v>45094</v>
      </c>
      <c r="H606" s="1">
        <v>45098</v>
      </c>
      <c r="I606" s="1">
        <f t="shared" si="59"/>
        <v>45098</v>
      </c>
      <c r="J606" s="2">
        <v>8.6</v>
      </c>
      <c r="K606" s="2">
        <v>119.7</v>
      </c>
      <c r="L606" t="s">
        <v>15</v>
      </c>
      <c r="M606" s="2">
        <v>1000</v>
      </c>
      <c r="N606" s="2">
        <v>4</v>
      </c>
      <c r="O606" s="2">
        <f t="shared" si="56"/>
        <v>250</v>
      </c>
      <c r="P606" s="2">
        <f t="shared" si="57"/>
        <v>2.0885547201336676</v>
      </c>
      <c r="Q606" s="3">
        <f t="shared" si="58"/>
        <v>0.1197</v>
      </c>
    </row>
    <row r="607" spans="1:17" hidden="1" x14ac:dyDescent="0.25">
      <c r="A607" t="s">
        <v>667</v>
      </c>
      <c r="B607" t="s">
        <v>27</v>
      </c>
      <c r="C607" t="s">
        <v>52</v>
      </c>
      <c r="D607" t="str">
        <f t="shared" si="54"/>
        <v>AZ</v>
      </c>
      <c r="E607" t="str">
        <f t="shared" si="55"/>
        <v>Southwest</v>
      </c>
      <c r="F607" t="s">
        <v>42</v>
      </c>
      <c r="G607" s="1">
        <v>45276</v>
      </c>
      <c r="H607" s="1">
        <v>45285</v>
      </c>
      <c r="I607" s="1">
        <f t="shared" si="59"/>
        <v>45285</v>
      </c>
      <c r="J607" s="2">
        <v>43.2</v>
      </c>
      <c r="K607" s="2">
        <v>416.42</v>
      </c>
      <c r="L607" t="s">
        <v>47</v>
      </c>
      <c r="M607" s="2">
        <v>2266</v>
      </c>
      <c r="N607" s="2">
        <v>7</v>
      </c>
      <c r="O607" s="2">
        <f t="shared" si="56"/>
        <v>323.71428571428572</v>
      </c>
      <c r="P607" s="2">
        <f t="shared" si="57"/>
        <v>0.77737449141320236</v>
      </c>
      <c r="Q607" s="3">
        <f t="shared" si="58"/>
        <v>0.18376875551632835</v>
      </c>
    </row>
    <row r="608" spans="1:17" hidden="1" x14ac:dyDescent="0.25">
      <c r="A608" t="s">
        <v>668</v>
      </c>
      <c r="B608" t="s">
        <v>30</v>
      </c>
      <c r="C608" t="s">
        <v>57</v>
      </c>
      <c r="D608" t="str">
        <f t="shared" si="54"/>
        <v>MN</v>
      </c>
      <c r="E608" t="str">
        <f t="shared" si="55"/>
        <v>Midwest</v>
      </c>
      <c r="F608" t="s">
        <v>18</v>
      </c>
      <c r="G608" s="1">
        <v>45187</v>
      </c>
      <c r="H608" s="1">
        <v>45196</v>
      </c>
      <c r="I608" s="1">
        <f t="shared" si="59"/>
        <v>45196</v>
      </c>
      <c r="J608" s="2">
        <v>51.8</v>
      </c>
      <c r="K608" s="2">
        <v>201.57</v>
      </c>
      <c r="L608" t="s">
        <v>47</v>
      </c>
      <c r="M608" s="2">
        <v>1014</v>
      </c>
      <c r="N608" s="2">
        <v>3</v>
      </c>
      <c r="O608" s="2">
        <f t="shared" si="56"/>
        <v>338</v>
      </c>
      <c r="P608" s="2">
        <f t="shared" si="57"/>
        <v>1.6768368308776107</v>
      </c>
      <c r="Q608" s="3">
        <f t="shared" si="58"/>
        <v>0.1987869822485207</v>
      </c>
    </row>
    <row r="609" spans="1:17" x14ac:dyDescent="0.25">
      <c r="A609" t="s">
        <v>669</v>
      </c>
      <c r="B609" t="s">
        <v>23</v>
      </c>
      <c r="C609" t="s">
        <v>36</v>
      </c>
      <c r="D609" t="str">
        <f t="shared" si="54"/>
        <v>OR</v>
      </c>
      <c r="E609" t="str">
        <f t="shared" si="55"/>
        <v>West</v>
      </c>
      <c r="F609" t="s">
        <v>59</v>
      </c>
      <c r="G609" s="1">
        <v>45244</v>
      </c>
      <c r="H609" s="1">
        <v>45252</v>
      </c>
      <c r="I609" s="1">
        <f t="shared" si="59"/>
        <v>45252</v>
      </c>
      <c r="J609" s="2">
        <v>21.4</v>
      </c>
      <c r="K609" s="2">
        <v>276.47000000000003</v>
      </c>
      <c r="L609" t="s">
        <v>15</v>
      </c>
      <c r="M609" s="2">
        <v>1837</v>
      </c>
      <c r="N609" s="2">
        <v>8</v>
      </c>
      <c r="O609" s="2">
        <f t="shared" si="56"/>
        <v>229.625</v>
      </c>
      <c r="P609" s="2">
        <f t="shared" si="57"/>
        <v>0.83056027778782504</v>
      </c>
      <c r="Q609" s="3">
        <f t="shared" si="58"/>
        <v>0.15050081654872074</v>
      </c>
    </row>
    <row r="610" spans="1:17" hidden="1" x14ac:dyDescent="0.25">
      <c r="A610" t="s">
        <v>670</v>
      </c>
      <c r="B610" t="s">
        <v>39</v>
      </c>
      <c r="C610" t="s">
        <v>44</v>
      </c>
      <c r="D610" t="str">
        <f t="shared" si="54"/>
        <v>IL</v>
      </c>
      <c r="E610" t="str">
        <f t="shared" si="55"/>
        <v>Midwest</v>
      </c>
      <c r="F610" t="s">
        <v>25</v>
      </c>
      <c r="G610" s="1">
        <v>44974</v>
      </c>
      <c r="H610" s="1">
        <v>44977</v>
      </c>
      <c r="I610" s="1">
        <f t="shared" si="59"/>
        <v>44977</v>
      </c>
      <c r="J610" s="2">
        <v>34.200000000000003</v>
      </c>
      <c r="K610" s="2">
        <v>73.58</v>
      </c>
      <c r="L610" t="s">
        <v>15</v>
      </c>
      <c r="M610" s="2">
        <v>264</v>
      </c>
      <c r="N610" s="2">
        <v>3</v>
      </c>
      <c r="O610" s="2">
        <f t="shared" si="56"/>
        <v>88</v>
      </c>
      <c r="P610" s="2">
        <f t="shared" si="57"/>
        <v>1.1959771677086164</v>
      </c>
      <c r="Q610" s="3">
        <f t="shared" si="58"/>
        <v>0.27871212121212119</v>
      </c>
    </row>
    <row r="611" spans="1:17" hidden="1" x14ac:dyDescent="0.25">
      <c r="A611" t="s">
        <v>671</v>
      </c>
      <c r="B611" t="s">
        <v>20</v>
      </c>
      <c r="C611" t="s">
        <v>40</v>
      </c>
      <c r="D611" t="str">
        <f t="shared" si="54"/>
        <v>MI</v>
      </c>
      <c r="E611" t="str">
        <f t="shared" si="55"/>
        <v>Midwest</v>
      </c>
      <c r="F611" t="s">
        <v>32</v>
      </c>
      <c r="G611" s="1">
        <v>45199</v>
      </c>
      <c r="H611" s="1">
        <v>45202</v>
      </c>
      <c r="I611" s="1">
        <f t="shared" si="59"/>
        <v>45202</v>
      </c>
      <c r="J611" s="2">
        <v>27.8</v>
      </c>
      <c r="K611" s="2">
        <v>172.58</v>
      </c>
      <c r="L611" t="s">
        <v>15</v>
      </c>
      <c r="M611" s="2">
        <v>920</v>
      </c>
      <c r="N611" s="2">
        <v>3</v>
      </c>
      <c r="O611" s="2">
        <f t="shared" si="56"/>
        <v>306.66666666666669</v>
      </c>
      <c r="P611" s="2">
        <f t="shared" si="57"/>
        <v>1.77695368331595</v>
      </c>
      <c r="Q611" s="3">
        <f t="shared" si="58"/>
        <v>0.18758695652173915</v>
      </c>
    </row>
    <row r="612" spans="1:17" hidden="1" x14ac:dyDescent="0.25">
      <c r="A612" t="s">
        <v>672</v>
      </c>
      <c r="B612" t="s">
        <v>23</v>
      </c>
      <c r="C612" t="s">
        <v>28</v>
      </c>
      <c r="D612" t="str">
        <f t="shared" si="54"/>
        <v>TX</v>
      </c>
      <c r="E612" t="str">
        <f t="shared" si="55"/>
        <v>Southwest</v>
      </c>
      <c r="F612" t="s">
        <v>32</v>
      </c>
      <c r="G612" s="1">
        <v>45021</v>
      </c>
      <c r="H612" s="1">
        <v>45025</v>
      </c>
      <c r="I612" s="1">
        <f t="shared" si="59"/>
        <v>45025</v>
      </c>
      <c r="J612" s="2">
        <v>3.3</v>
      </c>
      <c r="K612" s="2">
        <v>52.34</v>
      </c>
      <c r="L612" t="s">
        <v>15</v>
      </c>
      <c r="M612" s="2">
        <v>385</v>
      </c>
      <c r="N612" s="2">
        <v>4</v>
      </c>
      <c r="O612" s="2">
        <f t="shared" si="56"/>
        <v>96.25</v>
      </c>
      <c r="P612" s="2">
        <f t="shared" si="57"/>
        <v>1.8389377149407717</v>
      </c>
      <c r="Q612" s="3">
        <f t="shared" si="58"/>
        <v>0.13594805194805196</v>
      </c>
    </row>
    <row r="613" spans="1:17" x14ac:dyDescent="0.25">
      <c r="A613" t="s">
        <v>673</v>
      </c>
      <c r="B613" t="s">
        <v>35</v>
      </c>
      <c r="C613" t="s">
        <v>13</v>
      </c>
      <c r="D613" t="str">
        <f t="shared" si="54"/>
        <v>CA</v>
      </c>
      <c r="E613" t="str">
        <f t="shared" si="55"/>
        <v>West</v>
      </c>
      <c r="F613" t="s">
        <v>18</v>
      </c>
      <c r="G613" s="1">
        <v>45094</v>
      </c>
      <c r="H613" s="1">
        <v>45098</v>
      </c>
      <c r="I613" s="1">
        <f t="shared" si="59"/>
        <v>45098</v>
      </c>
      <c r="J613" s="2">
        <v>22.5</v>
      </c>
      <c r="K613" s="2">
        <v>252.88</v>
      </c>
      <c r="L613" t="s">
        <v>15</v>
      </c>
      <c r="M613" s="2">
        <v>1650</v>
      </c>
      <c r="N613" s="2">
        <v>4</v>
      </c>
      <c r="O613" s="2">
        <f t="shared" si="56"/>
        <v>412.5</v>
      </c>
      <c r="P613" s="2">
        <f t="shared" si="57"/>
        <v>1.6312084783296426</v>
      </c>
      <c r="Q613" s="3">
        <f t="shared" si="58"/>
        <v>0.15326060606060607</v>
      </c>
    </row>
    <row r="614" spans="1:17" hidden="1" x14ac:dyDescent="0.25">
      <c r="A614" t="s">
        <v>674</v>
      </c>
      <c r="B614" t="s">
        <v>12</v>
      </c>
      <c r="C614" t="s">
        <v>57</v>
      </c>
      <c r="D614" t="str">
        <f t="shared" si="54"/>
        <v>MN</v>
      </c>
      <c r="E614" t="str">
        <f t="shared" si="55"/>
        <v>Midwest</v>
      </c>
      <c r="F614" t="s">
        <v>25</v>
      </c>
      <c r="G614" s="1">
        <v>45193</v>
      </c>
      <c r="H614" s="1">
        <v>45199</v>
      </c>
      <c r="I614" s="1">
        <f t="shared" si="59"/>
        <v>45199</v>
      </c>
      <c r="J614" s="2">
        <v>16.3</v>
      </c>
      <c r="K614" s="2">
        <v>274.14999999999998</v>
      </c>
      <c r="L614" t="s">
        <v>15</v>
      </c>
      <c r="M614" s="2">
        <v>2133</v>
      </c>
      <c r="N614" s="2">
        <v>6</v>
      </c>
      <c r="O614" s="2">
        <f t="shared" si="56"/>
        <v>355.5</v>
      </c>
      <c r="P614" s="2">
        <f t="shared" si="57"/>
        <v>1.2967353638519059</v>
      </c>
      <c r="Q614" s="3">
        <f t="shared" si="58"/>
        <v>0.12852789498359118</v>
      </c>
    </row>
    <row r="615" spans="1:17" x14ac:dyDescent="0.25">
      <c r="A615" t="s">
        <v>675</v>
      </c>
      <c r="B615" t="s">
        <v>27</v>
      </c>
      <c r="C615" t="s">
        <v>13</v>
      </c>
      <c r="D615" t="str">
        <f t="shared" si="54"/>
        <v>CA</v>
      </c>
      <c r="E615" t="str">
        <f t="shared" si="55"/>
        <v>West</v>
      </c>
      <c r="F615" t="s">
        <v>32</v>
      </c>
      <c r="G615" s="1">
        <v>45245</v>
      </c>
      <c r="H615" s="1">
        <v>45250</v>
      </c>
      <c r="I615" s="1">
        <f t="shared" si="59"/>
        <v>45250</v>
      </c>
      <c r="J615" s="2">
        <v>7</v>
      </c>
      <c r="K615" s="2">
        <v>194.75</v>
      </c>
      <c r="L615" t="s">
        <v>62</v>
      </c>
      <c r="M615" s="2">
        <v>1191</v>
      </c>
      <c r="N615" s="2">
        <v>5</v>
      </c>
      <c r="O615" s="2">
        <f t="shared" si="56"/>
        <v>238.2</v>
      </c>
      <c r="P615" s="2">
        <f t="shared" si="57"/>
        <v>1.2231065468549422</v>
      </c>
      <c r="Q615" s="3">
        <f t="shared" si="58"/>
        <v>0.16351805205709488</v>
      </c>
    </row>
    <row r="616" spans="1:17" hidden="1" x14ac:dyDescent="0.25">
      <c r="A616" t="s">
        <v>676</v>
      </c>
      <c r="B616" t="s">
        <v>20</v>
      </c>
      <c r="C616" t="s">
        <v>54</v>
      </c>
      <c r="D616" t="str">
        <f t="shared" si="54"/>
        <v>FL</v>
      </c>
      <c r="E616" t="str">
        <f t="shared" si="55"/>
        <v>Southeast</v>
      </c>
      <c r="F616" t="s">
        <v>59</v>
      </c>
      <c r="G616" s="1">
        <v>44931</v>
      </c>
      <c r="H616" s="1">
        <v>44934</v>
      </c>
      <c r="I616" s="1">
        <f t="shared" si="59"/>
        <v>44934</v>
      </c>
      <c r="J616" s="2">
        <v>27.1</v>
      </c>
      <c r="K616" s="2">
        <v>133.41999999999999</v>
      </c>
      <c r="L616" t="s">
        <v>60</v>
      </c>
      <c r="M616" s="2">
        <v>836</v>
      </c>
      <c r="N616" s="2">
        <v>3</v>
      </c>
      <c r="O616" s="2">
        <f t="shared" si="56"/>
        <v>278.66666666666669</v>
      </c>
      <c r="P616" s="2">
        <f t="shared" si="57"/>
        <v>2.0886423824514071</v>
      </c>
      <c r="Q616" s="3">
        <f t="shared" si="58"/>
        <v>0.15959330143540668</v>
      </c>
    </row>
    <row r="617" spans="1:17" x14ac:dyDescent="0.25">
      <c r="A617" t="s">
        <v>677</v>
      </c>
      <c r="B617" t="s">
        <v>35</v>
      </c>
      <c r="C617" t="s">
        <v>81</v>
      </c>
      <c r="D617" t="str">
        <f t="shared" si="54"/>
        <v>CO</v>
      </c>
      <c r="E617" t="str">
        <f t="shared" si="55"/>
        <v>West</v>
      </c>
      <c r="F617" t="s">
        <v>32</v>
      </c>
      <c r="G617" s="1">
        <v>45203</v>
      </c>
      <c r="H617" s="1">
        <v>45205</v>
      </c>
      <c r="I617" s="1">
        <f t="shared" si="59"/>
        <v>45205</v>
      </c>
      <c r="J617" s="2">
        <v>11.9</v>
      </c>
      <c r="K617" s="2">
        <v>149.69999999999999</v>
      </c>
      <c r="L617" t="s">
        <v>15</v>
      </c>
      <c r="M617" s="2">
        <v>1000</v>
      </c>
      <c r="N617" s="2">
        <v>2</v>
      </c>
      <c r="O617" s="2">
        <f t="shared" si="56"/>
        <v>500</v>
      </c>
      <c r="P617" s="2">
        <f t="shared" si="57"/>
        <v>3.3400133600534403</v>
      </c>
      <c r="Q617" s="3">
        <f t="shared" si="58"/>
        <v>0.1497</v>
      </c>
    </row>
    <row r="618" spans="1:17" x14ac:dyDescent="0.25">
      <c r="A618" t="s">
        <v>678</v>
      </c>
      <c r="B618" t="s">
        <v>27</v>
      </c>
      <c r="C618" t="s">
        <v>70</v>
      </c>
      <c r="D618" t="str">
        <f t="shared" si="54"/>
        <v>CA</v>
      </c>
      <c r="E618" t="str">
        <f t="shared" si="55"/>
        <v>West</v>
      </c>
      <c r="F618" t="s">
        <v>18</v>
      </c>
      <c r="G618" s="1">
        <v>45150</v>
      </c>
      <c r="H618" s="1">
        <v>45152</v>
      </c>
      <c r="I618" s="1">
        <f t="shared" si="59"/>
        <v>45152</v>
      </c>
      <c r="J618" s="2">
        <v>54.7</v>
      </c>
      <c r="K618" s="2">
        <v>191.49</v>
      </c>
      <c r="L618" t="s">
        <v>15</v>
      </c>
      <c r="M618" s="2">
        <v>723</v>
      </c>
      <c r="N618" s="2">
        <v>2</v>
      </c>
      <c r="O618" s="2">
        <f t="shared" si="56"/>
        <v>361.5</v>
      </c>
      <c r="P618" s="2">
        <f t="shared" si="57"/>
        <v>1.8878270405765314</v>
      </c>
      <c r="Q618" s="3">
        <f t="shared" si="58"/>
        <v>0.26485477178423239</v>
      </c>
    </row>
    <row r="619" spans="1:17" x14ac:dyDescent="0.25">
      <c r="A619" t="s">
        <v>679</v>
      </c>
      <c r="B619" t="s">
        <v>12</v>
      </c>
      <c r="C619" t="s">
        <v>70</v>
      </c>
      <c r="D619" t="str">
        <f t="shared" si="54"/>
        <v>CA</v>
      </c>
      <c r="E619" t="str">
        <f t="shared" si="55"/>
        <v>West</v>
      </c>
      <c r="F619" t="s">
        <v>32</v>
      </c>
      <c r="G619" s="1">
        <v>45133</v>
      </c>
      <c r="H619" s="1">
        <v>45139</v>
      </c>
      <c r="I619" s="1">
        <f t="shared" si="59"/>
        <v>45139</v>
      </c>
      <c r="J619" s="2">
        <v>26</v>
      </c>
      <c r="K619" s="2">
        <v>304.66000000000003</v>
      </c>
      <c r="L619" t="s">
        <v>60</v>
      </c>
      <c r="M619" s="2">
        <v>1990</v>
      </c>
      <c r="N619" s="2">
        <v>6</v>
      </c>
      <c r="O619" s="2">
        <f t="shared" si="56"/>
        <v>331.66666666666669</v>
      </c>
      <c r="P619" s="2">
        <f t="shared" si="57"/>
        <v>1.0886452657607386</v>
      </c>
      <c r="Q619" s="3">
        <f t="shared" si="58"/>
        <v>0.15309547738693469</v>
      </c>
    </row>
    <row r="620" spans="1:17" hidden="1" x14ac:dyDescent="0.25">
      <c r="A620" t="s">
        <v>680</v>
      </c>
      <c r="B620" t="s">
        <v>23</v>
      </c>
      <c r="C620" t="s">
        <v>57</v>
      </c>
      <c r="D620" t="str">
        <f t="shared" si="54"/>
        <v>MN</v>
      </c>
      <c r="E620" t="str">
        <f t="shared" si="55"/>
        <v>Midwest</v>
      </c>
      <c r="F620" t="s">
        <v>14</v>
      </c>
      <c r="G620" s="1">
        <v>45237</v>
      </c>
      <c r="H620" s="1">
        <v>45239</v>
      </c>
      <c r="I620" s="1">
        <f t="shared" si="59"/>
        <v>45239</v>
      </c>
      <c r="J620" s="2">
        <v>6.9</v>
      </c>
      <c r="K620" s="2">
        <v>107.24</v>
      </c>
      <c r="L620" t="s">
        <v>15</v>
      </c>
      <c r="M620" s="2">
        <v>660</v>
      </c>
      <c r="N620" s="2">
        <v>2</v>
      </c>
      <c r="O620" s="2">
        <f t="shared" si="56"/>
        <v>330</v>
      </c>
      <c r="P620" s="2">
        <f t="shared" si="57"/>
        <v>3.0772099962700485</v>
      </c>
      <c r="Q620" s="3">
        <f t="shared" si="58"/>
        <v>0.16248484848484848</v>
      </c>
    </row>
    <row r="621" spans="1:17" hidden="1" x14ac:dyDescent="0.25">
      <c r="A621" t="s">
        <v>681</v>
      </c>
      <c r="B621" t="s">
        <v>30</v>
      </c>
      <c r="C621" t="s">
        <v>21</v>
      </c>
      <c r="D621" t="str">
        <f t="shared" si="54"/>
        <v>TX</v>
      </c>
      <c r="E621" t="str">
        <f t="shared" si="55"/>
        <v>Southwest</v>
      </c>
      <c r="F621" t="s">
        <v>14</v>
      </c>
      <c r="G621" s="1">
        <v>45128</v>
      </c>
      <c r="H621" s="1">
        <v>45134</v>
      </c>
      <c r="I621" s="1">
        <f t="shared" si="59"/>
        <v>45134</v>
      </c>
      <c r="J621" s="2">
        <v>44.1</v>
      </c>
      <c r="K621" s="2">
        <v>340.74</v>
      </c>
      <c r="L621" t="s">
        <v>15</v>
      </c>
      <c r="M621" s="2">
        <v>2174</v>
      </c>
      <c r="N621" s="2">
        <v>6</v>
      </c>
      <c r="O621" s="2">
        <f t="shared" si="56"/>
        <v>362.33333333333331</v>
      </c>
      <c r="P621" s="2">
        <f t="shared" si="57"/>
        <v>1.0633718768953844</v>
      </c>
      <c r="Q621" s="3">
        <f t="shared" si="58"/>
        <v>0.15673413063477462</v>
      </c>
    </row>
    <row r="622" spans="1:17" hidden="1" x14ac:dyDescent="0.25">
      <c r="A622" t="s">
        <v>682</v>
      </c>
      <c r="B622" t="s">
        <v>30</v>
      </c>
      <c r="C622" t="s">
        <v>57</v>
      </c>
      <c r="D622" t="str">
        <f t="shared" si="54"/>
        <v>MN</v>
      </c>
      <c r="E622" t="str">
        <f t="shared" si="55"/>
        <v>Midwest</v>
      </c>
      <c r="F622" t="s">
        <v>59</v>
      </c>
      <c r="G622" s="1">
        <v>45141</v>
      </c>
      <c r="H622" s="1">
        <v>45144</v>
      </c>
      <c r="I622" s="1">
        <f t="shared" si="59"/>
        <v>45144</v>
      </c>
      <c r="J622" s="2">
        <v>16.2</v>
      </c>
      <c r="K622" s="2">
        <v>93.12</v>
      </c>
      <c r="L622" t="s">
        <v>15</v>
      </c>
      <c r="M622" s="2">
        <v>651</v>
      </c>
      <c r="N622" s="2">
        <v>3</v>
      </c>
      <c r="O622" s="2">
        <f t="shared" si="56"/>
        <v>217</v>
      </c>
      <c r="P622" s="2">
        <f t="shared" si="57"/>
        <v>2.3303264604810994</v>
      </c>
      <c r="Q622" s="3">
        <f t="shared" si="58"/>
        <v>0.14304147465437789</v>
      </c>
    </row>
    <row r="623" spans="1:17" x14ac:dyDescent="0.25">
      <c r="A623" t="s">
        <v>683</v>
      </c>
      <c r="B623" t="s">
        <v>35</v>
      </c>
      <c r="C623" t="s">
        <v>81</v>
      </c>
      <c r="D623" t="str">
        <f t="shared" si="54"/>
        <v>CO</v>
      </c>
      <c r="E623" t="str">
        <f t="shared" si="55"/>
        <v>West</v>
      </c>
      <c r="F623" t="s">
        <v>32</v>
      </c>
      <c r="G623" s="1">
        <v>45241</v>
      </c>
      <c r="H623" s="1">
        <v>45244</v>
      </c>
      <c r="I623" s="1">
        <f t="shared" si="59"/>
        <v>45244</v>
      </c>
      <c r="J623" s="2">
        <v>65.2</v>
      </c>
      <c r="K623" s="2">
        <v>264.64</v>
      </c>
      <c r="L623" t="s">
        <v>15</v>
      </c>
      <c r="M623" s="2">
        <v>1000</v>
      </c>
      <c r="N623" s="2">
        <v>3</v>
      </c>
      <c r="O623" s="2">
        <f t="shared" si="56"/>
        <v>333.33333333333331</v>
      </c>
      <c r="P623" s="2">
        <f t="shared" si="57"/>
        <v>1.2595727529222087</v>
      </c>
      <c r="Q623" s="3">
        <f t="shared" si="58"/>
        <v>0.26463999999999999</v>
      </c>
    </row>
    <row r="624" spans="1:17" hidden="1" x14ac:dyDescent="0.25">
      <c r="A624" t="s">
        <v>684</v>
      </c>
      <c r="B624" t="s">
        <v>35</v>
      </c>
      <c r="C624" t="s">
        <v>57</v>
      </c>
      <c r="D624" t="str">
        <f t="shared" si="54"/>
        <v>MN</v>
      </c>
      <c r="E624" t="str">
        <f t="shared" si="55"/>
        <v>Midwest</v>
      </c>
      <c r="F624" t="s">
        <v>18</v>
      </c>
      <c r="G624" s="1">
        <v>45064</v>
      </c>
      <c r="I624" s="1">
        <f t="shared" si="59"/>
        <v>45067</v>
      </c>
      <c r="J624" s="2">
        <v>8</v>
      </c>
      <c r="K624" s="2">
        <v>164.55</v>
      </c>
      <c r="L624" t="s">
        <v>15</v>
      </c>
      <c r="M624" s="2">
        <v>1019</v>
      </c>
      <c r="N624" s="2">
        <v>3</v>
      </c>
      <c r="O624" s="2">
        <f t="shared" si="56"/>
        <v>339.66666666666669</v>
      </c>
      <c r="P624" s="2">
        <f t="shared" si="57"/>
        <v>2.064215537324015</v>
      </c>
      <c r="Q624" s="3">
        <f t="shared" si="58"/>
        <v>0.16148184494602552</v>
      </c>
    </row>
    <row r="625" spans="1:17" hidden="1" x14ac:dyDescent="0.25">
      <c r="A625" t="s">
        <v>685</v>
      </c>
      <c r="B625" t="s">
        <v>56</v>
      </c>
      <c r="C625" t="s">
        <v>46</v>
      </c>
      <c r="D625" t="str">
        <f t="shared" si="54"/>
        <v>MA</v>
      </c>
      <c r="E625" t="str">
        <f t="shared" si="55"/>
        <v>Northeast</v>
      </c>
      <c r="F625" t="s">
        <v>42</v>
      </c>
      <c r="G625" s="1">
        <v>45064</v>
      </c>
      <c r="H625" s="1">
        <v>45066</v>
      </c>
      <c r="I625" s="1">
        <f t="shared" si="59"/>
        <v>45066</v>
      </c>
      <c r="J625" s="2">
        <v>29.9</v>
      </c>
      <c r="K625" s="2">
        <v>95.19</v>
      </c>
      <c r="L625" t="s">
        <v>15</v>
      </c>
      <c r="M625" s="2">
        <v>508</v>
      </c>
      <c r="N625" s="2">
        <v>2</v>
      </c>
      <c r="O625" s="2">
        <f t="shared" si="56"/>
        <v>254</v>
      </c>
      <c r="P625" s="2">
        <f t="shared" si="57"/>
        <v>2.6683475154953253</v>
      </c>
      <c r="Q625" s="3">
        <f t="shared" si="58"/>
        <v>0.18738188976377954</v>
      </c>
    </row>
    <row r="626" spans="1:17" hidden="1" x14ac:dyDescent="0.25">
      <c r="A626" t="s">
        <v>686</v>
      </c>
      <c r="B626" t="s">
        <v>35</v>
      </c>
      <c r="C626" t="s">
        <v>21</v>
      </c>
      <c r="D626" t="str">
        <f t="shared" si="54"/>
        <v>TX</v>
      </c>
      <c r="E626" t="str">
        <f t="shared" si="55"/>
        <v>Southwest</v>
      </c>
      <c r="F626" t="s">
        <v>42</v>
      </c>
      <c r="G626" s="1">
        <v>45077</v>
      </c>
      <c r="H626" s="1">
        <v>45083</v>
      </c>
      <c r="I626" s="1">
        <f t="shared" si="59"/>
        <v>45083</v>
      </c>
      <c r="J626" s="2">
        <v>22.5</v>
      </c>
      <c r="K626" s="2">
        <v>304.07</v>
      </c>
      <c r="L626" t="s">
        <v>15</v>
      </c>
      <c r="M626" s="2">
        <v>2165</v>
      </c>
      <c r="N626" s="2">
        <v>6</v>
      </c>
      <c r="O626" s="2">
        <f t="shared" si="56"/>
        <v>360.83333333333331</v>
      </c>
      <c r="P626" s="2">
        <f t="shared" si="57"/>
        <v>1.186678506045757</v>
      </c>
      <c r="Q626" s="3">
        <f t="shared" si="58"/>
        <v>0.14044803695150115</v>
      </c>
    </row>
    <row r="627" spans="1:17" x14ac:dyDescent="0.25">
      <c r="A627" t="s">
        <v>687</v>
      </c>
      <c r="B627" t="s">
        <v>39</v>
      </c>
      <c r="C627" t="s">
        <v>36</v>
      </c>
      <c r="D627" t="str">
        <f t="shared" si="54"/>
        <v>OR</v>
      </c>
      <c r="E627" t="str">
        <f t="shared" si="55"/>
        <v>West</v>
      </c>
      <c r="F627" t="s">
        <v>59</v>
      </c>
      <c r="G627" s="1">
        <v>45194</v>
      </c>
      <c r="H627" s="1">
        <v>45199</v>
      </c>
      <c r="I627" s="1">
        <f t="shared" si="59"/>
        <v>45199</v>
      </c>
      <c r="J627" s="2">
        <v>27.2</v>
      </c>
      <c r="K627" s="2">
        <v>158.38</v>
      </c>
      <c r="L627" t="s">
        <v>15</v>
      </c>
      <c r="M627" s="2">
        <v>1038</v>
      </c>
      <c r="N627" s="2">
        <v>5</v>
      </c>
      <c r="O627" s="2">
        <f t="shared" si="56"/>
        <v>207.6</v>
      </c>
      <c r="P627" s="2">
        <f t="shared" si="57"/>
        <v>1.3107715620659175</v>
      </c>
      <c r="Q627" s="3">
        <f t="shared" si="58"/>
        <v>0.15258188824662813</v>
      </c>
    </row>
    <row r="628" spans="1:17" hidden="1" x14ac:dyDescent="0.25">
      <c r="A628" t="s">
        <v>688</v>
      </c>
      <c r="B628" t="s">
        <v>39</v>
      </c>
      <c r="C628" t="s">
        <v>57</v>
      </c>
      <c r="D628" t="str">
        <f t="shared" si="54"/>
        <v>MN</v>
      </c>
      <c r="E628" t="str">
        <f t="shared" si="55"/>
        <v>Midwest</v>
      </c>
      <c r="F628" t="s">
        <v>14</v>
      </c>
      <c r="G628" s="1">
        <v>44979</v>
      </c>
      <c r="I628" s="1">
        <f t="shared" si="59"/>
        <v>44982</v>
      </c>
      <c r="J628" s="2">
        <v>27.7</v>
      </c>
      <c r="K628" s="2">
        <v>129.49</v>
      </c>
      <c r="L628" t="s">
        <v>15</v>
      </c>
      <c r="M628" s="2">
        <v>730</v>
      </c>
      <c r="N628" s="2">
        <v>3</v>
      </c>
      <c r="O628" s="2">
        <f t="shared" si="56"/>
        <v>243.33333333333334</v>
      </c>
      <c r="P628" s="2">
        <f t="shared" si="57"/>
        <v>1.8791669884418358</v>
      </c>
      <c r="Q628" s="3">
        <f t="shared" si="58"/>
        <v>0.17738356164383562</v>
      </c>
    </row>
    <row r="629" spans="1:17" x14ac:dyDescent="0.25">
      <c r="A629" t="s">
        <v>689</v>
      </c>
      <c r="B629" t="s">
        <v>27</v>
      </c>
      <c r="C629" t="s">
        <v>70</v>
      </c>
      <c r="D629" t="str">
        <f t="shared" ref="D629:D692" si="60">IF(C629="Atlanta","GA",
IF(C629="Boston","MA",
IF(C629="Chicago","IL",
IF(C629="Dallas","TX",
IF(C629="Denver","CO",
IF(C629="Detroit","MI",
IF(C629="Houston","TX",
IF(C629="Los Angeles","CA",
IF(C629="Miami","FL",
IF(C629="Minneapolis","MN",
IF(C629="New York","NY",
IF(C629="Phoenix","AZ",
IF(C629="Portland","OR",
IF(C629="San Francisco","CA",
IF(C629="Seattle","WA","Unknown")))))))))))))))</f>
        <v>CA</v>
      </c>
      <c r="E629" t="str">
        <f t="shared" ref="E629:E692" si="61">IF(OR(D629="NY",D629="NJ",D629="PA",D629="MA",D629="CT",D629="RI",D629="VT",D629="NH",D629="ME"),"Northeast",
IF(OR(D629="FL",D629="GA",D629="AL",D629="MS",D629="SC",D629="NC",D629="TN",D629="KY"),"Southeast",
IF(OR(D629="IL",D629="IN",D629="OH",D629="MI",D629="WI",D629="MN",D629="IA",D629="MO",D629="KS",D629="NE",D629="ND",D629="SD"),"Midwest",
IF(OR(D629="TX",D629="OK",D629="NM",D629="AZ"),"Southwest",
IF(OR(D629="CA",D629="OR",D629="WA",D629="NV",D629="CO",D629="UT",D629="ID",D629="MT",D629="WY",D629="AK",D629="HI"),"West","Other")))))</f>
        <v>West</v>
      </c>
      <c r="F629" t="s">
        <v>37</v>
      </c>
      <c r="G629" s="1">
        <v>45004</v>
      </c>
      <c r="H629" s="1">
        <v>45011</v>
      </c>
      <c r="I629" s="1">
        <f t="shared" si="59"/>
        <v>45011</v>
      </c>
      <c r="J629" s="2">
        <v>37.700000000000003</v>
      </c>
      <c r="K629" s="2">
        <v>339.21</v>
      </c>
      <c r="L629" t="s">
        <v>15</v>
      </c>
      <c r="M629" s="2">
        <v>2201</v>
      </c>
      <c r="N629" s="2">
        <v>7</v>
      </c>
      <c r="O629" s="2">
        <f t="shared" ref="O629:O692" si="62">M629/N629</f>
        <v>314.42857142857144</v>
      </c>
      <c r="P629" s="2">
        <f t="shared" ref="P629:P692" si="63">O629/K629</f>
        <v>0.92694369690920508</v>
      </c>
      <c r="Q629" s="3">
        <f t="shared" ref="Q629:Q692" si="64">K629/M629</f>
        <v>0.1541163107678328</v>
      </c>
    </row>
    <row r="630" spans="1:17" hidden="1" x14ac:dyDescent="0.25">
      <c r="A630" t="s">
        <v>690</v>
      </c>
      <c r="B630" t="s">
        <v>56</v>
      </c>
      <c r="C630" t="s">
        <v>40</v>
      </c>
      <c r="D630" t="str">
        <f t="shared" si="60"/>
        <v>MI</v>
      </c>
      <c r="E630" t="str">
        <f t="shared" si="61"/>
        <v>Midwest</v>
      </c>
      <c r="F630" t="s">
        <v>32</v>
      </c>
      <c r="G630" s="1">
        <v>45005</v>
      </c>
      <c r="H630" s="1">
        <v>45010</v>
      </c>
      <c r="I630" s="1">
        <f t="shared" si="59"/>
        <v>45010</v>
      </c>
      <c r="J630" s="2">
        <v>10.199999999999999</v>
      </c>
      <c r="K630" s="2">
        <v>265.14999999999998</v>
      </c>
      <c r="L630" t="s">
        <v>15</v>
      </c>
      <c r="M630" s="2">
        <v>1808</v>
      </c>
      <c r="N630" s="2">
        <v>5</v>
      </c>
      <c r="O630" s="2">
        <f t="shared" si="62"/>
        <v>361.6</v>
      </c>
      <c r="P630" s="2">
        <f t="shared" si="63"/>
        <v>1.363756364322082</v>
      </c>
      <c r="Q630" s="3">
        <f t="shared" si="64"/>
        <v>0.14665376106194689</v>
      </c>
    </row>
    <row r="631" spans="1:17" hidden="1" x14ac:dyDescent="0.25">
      <c r="A631" t="s">
        <v>691</v>
      </c>
      <c r="B631" t="s">
        <v>49</v>
      </c>
      <c r="C631" t="s">
        <v>52</v>
      </c>
      <c r="D631" t="str">
        <f t="shared" si="60"/>
        <v>AZ</v>
      </c>
      <c r="E631" t="str">
        <f t="shared" si="61"/>
        <v>Southwest</v>
      </c>
      <c r="F631" t="s">
        <v>25</v>
      </c>
      <c r="G631" s="1">
        <v>45202</v>
      </c>
      <c r="H631" s="1">
        <v>45204</v>
      </c>
      <c r="I631" s="1">
        <f t="shared" si="59"/>
        <v>45204</v>
      </c>
      <c r="J631" s="2">
        <v>10.199999999999999</v>
      </c>
      <c r="K631" s="2">
        <v>79.739999999999995</v>
      </c>
      <c r="L631" t="s">
        <v>15</v>
      </c>
      <c r="M631" s="2">
        <v>553</v>
      </c>
      <c r="N631" s="2">
        <v>2</v>
      </c>
      <c r="O631" s="2">
        <f t="shared" si="62"/>
        <v>276.5</v>
      </c>
      <c r="P631" s="2">
        <f t="shared" si="63"/>
        <v>3.4675194381740657</v>
      </c>
      <c r="Q631" s="3">
        <f t="shared" si="64"/>
        <v>0.14419529837251355</v>
      </c>
    </row>
    <row r="632" spans="1:17" hidden="1" x14ac:dyDescent="0.25">
      <c r="A632" t="s">
        <v>692</v>
      </c>
      <c r="B632" t="s">
        <v>49</v>
      </c>
      <c r="C632" t="s">
        <v>31</v>
      </c>
      <c r="D632" t="str">
        <f t="shared" si="60"/>
        <v>NY</v>
      </c>
      <c r="E632" t="str">
        <f t="shared" si="61"/>
        <v>Northeast</v>
      </c>
      <c r="F632" t="s">
        <v>18</v>
      </c>
      <c r="G632" s="1">
        <v>45003</v>
      </c>
      <c r="H632" s="1">
        <v>45007</v>
      </c>
      <c r="I632" s="1">
        <f t="shared" si="59"/>
        <v>45007</v>
      </c>
      <c r="J632" s="2">
        <v>44.4</v>
      </c>
      <c r="K632" s="2">
        <v>151.19999999999999</v>
      </c>
      <c r="L632" t="s">
        <v>15</v>
      </c>
      <c r="M632" s="2">
        <v>560</v>
      </c>
      <c r="N632" s="2">
        <v>4</v>
      </c>
      <c r="O632" s="2">
        <f t="shared" si="62"/>
        <v>140</v>
      </c>
      <c r="P632" s="2">
        <f t="shared" si="63"/>
        <v>0.92592592592592604</v>
      </c>
      <c r="Q632" s="3">
        <f t="shared" si="64"/>
        <v>0.26999999999999996</v>
      </c>
    </row>
    <row r="633" spans="1:17" hidden="1" x14ac:dyDescent="0.25">
      <c r="A633" t="s">
        <v>693</v>
      </c>
      <c r="B633" t="s">
        <v>12</v>
      </c>
      <c r="C633" t="s">
        <v>17</v>
      </c>
      <c r="D633" t="str">
        <f t="shared" si="60"/>
        <v>GA</v>
      </c>
      <c r="E633" t="str">
        <f t="shared" si="61"/>
        <v>Southeast</v>
      </c>
      <c r="F633" t="s">
        <v>59</v>
      </c>
      <c r="G633" s="1">
        <v>45135</v>
      </c>
      <c r="H633" s="1">
        <v>45140</v>
      </c>
      <c r="I633" s="1">
        <f t="shared" si="59"/>
        <v>45140</v>
      </c>
      <c r="J633" s="2">
        <v>21.9</v>
      </c>
      <c r="K633" s="2">
        <v>289.79000000000002</v>
      </c>
      <c r="L633" t="s">
        <v>15</v>
      </c>
      <c r="M633" s="2">
        <v>2189</v>
      </c>
      <c r="N633" s="2">
        <v>5</v>
      </c>
      <c r="O633" s="2">
        <f t="shared" si="62"/>
        <v>437.8</v>
      </c>
      <c r="P633" s="2">
        <f t="shared" si="63"/>
        <v>1.5107491631871355</v>
      </c>
      <c r="Q633" s="3">
        <f t="shared" si="64"/>
        <v>0.13238465052535406</v>
      </c>
    </row>
    <row r="634" spans="1:17" hidden="1" x14ac:dyDescent="0.25">
      <c r="A634" t="s">
        <v>694</v>
      </c>
      <c r="B634" t="s">
        <v>30</v>
      </c>
      <c r="C634" t="s">
        <v>40</v>
      </c>
      <c r="D634" t="str">
        <f t="shared" si="60"/>
        <v>MI</v>
      </c>
      <c r="E634" t="str">
        <f t="shared" si="61"/>
        <v>Midwest</v>
      </c>
      <c r="F634" t="s">
        <v>42</v>
      </c>
      <c r="G634" s="1">
        <v>45247</v>
      </c>
      <c r="H634" s="1">
        <v>45249</v>
      </c>
      <c r="I634" s="1">
        <f t="shared" si="59"/>
        <v>45249</v>
      </c>
      <c r="J634" s="2">
        <v>23.1</v>
      </c>
      <c r="K634" s="2">
        <v>98.82</v>
      </c>
      <c r="L634" t="s">
        <v>15</v>
      </c>
      <c r="M634" s="2">
        <v>393</v>
      </c>
      <c r="N634" s="2">
        <v>2</v>
      </c>
      <c r="O634" s="2">
        <f t="shared" si="62"/>
        <v>196.5</v>
      </c>
      <c r="P634" s="2">
        <f t="shared" si="63"/>
        <v>1.9884638737097755</v>
      </c>
      <c r="Q634" s="3">
        <f t="shared" si="64"/>
        <v>0.25145038167938932</v>
      </c>
    </row>
    <row r="635" spans="1:17" hidden="1" x14ac:dyDescent="0.25">
      <c r="A635" t="s">
        <v>695</v>
      </c>
      <c r="B635" t="s">
        <v>49</v>
      </c>
      <c r="C635" t="s">
        <v>57</v>
      </c>
      <c r="D635" t="str">
        <f t="shared" si="60"/>
        <v>MN</v>
      </c>
      <c r="E635" t="str">
        <f t="shared" si="61"/>
        <v>Midwest</v>
      </c>
      <c r="F635" t="s">
        <v>18</v>
      </c>
      <c r="G635" s="1">
        <v>45273</v>
      </c>
      <c r="H635" s="1">
        <v>45276</v>
      </c>
      <c r="I635" s="1">
        <f t="shared" si="59"/>
        <v>45276</v>
      </c>
      <c r="J635" s="2">
        <v>37.700000000000003</v>
      </c>
      <c r="K635" s="2">
        <v>336.06</v>
      </c>
      <c r="L635" t="s">
        <v>15</v>
      </c>
      <c r="M635" s="2">
        <v>1505</v>
      </c>
      <c r="N635" s="2">
        <v>3</v>
      </c>
      <c r="O635" s="2">
        <f t="shared" si="62"/>
        <v>501.66666666666669</v>
      </c>
      <c r="P635" s="2">
        <f t="shared" si="63"/>
        <v>1.4927889860937531</v>
      </c>
      <c r="Q635" s="3">
        <f t="shared" si="64"/>
        <v>0.22329568106312292</v>
      </c>
    </row>
    <row r="636" spans="1:17" hidden="1" x14ac:dyDescent="0.25">
      <c r="A636" t="s">
        <v>696</v>
      </c>
      <c r="B636" t="s">
        <v>56</v>
      </c>
      <c r="C636" t="s">
        <v>31</v>
      </c>
      <c r="D636" t="str">
        <f t="shared" si="60"/>
        <v>NY</v>
      </c>
      <c r="E636" t="str">
        <f t="shared" si="61"/>
        <v>Northeast</v>
      </c>
      <c r="F636" t="s">
        <v>25</v>
      </c>
      <c r="G636" s="1">
        <v>45194</v>
      </c>
      <c r="H636" s="1">
        <v>45200</v>
      </c>
      <c r="I636" s="1">
        <f t="shared" si="59"/>
        <v>45200</v>
      </c>
      <c r="J636" s="2">
        <v>37.1</v>
      </c>
      <c r="K636" s="2">
        <v>236.03</v>
      </c>
      <c r="L636" t="s">
        <v>15</v>
      </c>
      <c r="M636" s="2">
        <v>1673</v>
      </c>
      <c r="N636" s="2">
        <v>6</v>
      </c>
      <c r="O636" s="2">
        <f t="shared" si="62"/>
        <v>278.83333333333331</v>
      </c>
      <c r="P636" s="2">
        <f t="shared" si="63"/>
        <v>1.181347003911932</v>
      </c>
      <c r="Q636" s="3">
        <f t="shared" si="64"/>
        <v>0.1410818888224746</v>
      </c>
    </row>
    <row r="637" spans="1:17" x14ac:dyDescent="0.25">
      <c r="A637" t="s">
        <v>697</v>
      </c>
      <c r="B637" t="s">
        <v>20</v>
      </c>
      <c r="C637" t="s">
        <v>36</v>
      </c>
      <c r="D637" t="str">
        <f t="shared" si="60"/>
        <v>OR</v>
      </c>
      <c r="E637" t="str">
        <f t="shared" si="61"/>
        <v>West</v>
      </c>
      <c r="F637" t="s">
        <v>25</v>
      </c>
      <c r="G637" s="1">
        <v>45142</v>
      </c>
      <c r="H637" s="1">
        <v>45146</v>
      </c>
      <c r="I637" s="1">
        <f t="shared" si="59"/>
        <v>45146</v>
      </c>
      <c r="J637" s="2">
        <v>12.1</v>
      </c>
      <c r="K637" s="2">
        <v>144.44</v>
      </c>
      <c r="L637" t="s">
        <v>15</v>
      </c>
      <c r="M637" s="2">
        <v>1029</v>
      </c>
      <c r="N637" s="2">
        <v>4</v>
      </c>
      <c r="O637" s="2">
        <f t="shared" si="62"/>
        <v>257.25</v>
      </c>
      <c r="P637" s="2">
        <f t="shared" si="63"/>
        <v>1.7810163389642759</v>
      </c>
      <c r="Q637" s="3">
        <f t="shared" si="64"/>
        <v>0.14036929057337219</v>
      </c>
    </row>
    <row r="638" spans="1:17" hidden="1" x14ac:dyDescent="0.25">
      <c r="A638" t="s">
        <v>698</v>
      </c>
      <c r="B638" t="s">
        <v>27</v>
      </c>
      <c r="C638" t="s">
        <v>54</v>
      </c>
      <c r="D638" t="str">
        <f t="shared" si="60"/>
        <v>FL</v>
      </c>
      <c r="E638" t="str">
        <f t="shared" si="61"/>
        <v>Southeast</v>
      </c>
      <c r="F638" t="s">
        <v>37</v>
      </c>
      <c r="G638" s="1">
        <v>45198</v>
      </c>
      <c r="H638" s="1">
        <v>45205</v>
      </c>
      <c r="I638" s="1">
        <f t="shared" si="59"/>
        <v>45205</v>
      </c>
      <c r="J638" s="2">
        <v>6.9</v>
      </c>
      <c r="K638" s="2">
        <v>294.86</v>
      </c>
      <c r="L638" t="s">
        <v>15</v>
      </c>
      <c r="M638" s="2">
        <v>2487</v>
      </c>
      <c r="N638" s="2">
        <v>7</v>
      </c>
      <c r="O638" s="2">
        <f t="shared" si="62"/>
        <v>355.28571428571428</v>
      </c>
      <c r="P638" s="2">
        <f t="shared" si="63"/>
        <v>1.2049301847850311</v>
      </c>
      <c r="Q638" s="3">
        <f t="shared" si="64"/>
        <v>0.11856051467631686</v>
      </c>
    </row>
    <row r="639" spans="1:17" x14ac:dyDescent="0.25">
      <c r="A639" t="s">
        <v>699</v>
      </c>
      <c r="B639" t="s">
        <v>49</v>
      </c>
      <c r="C639" t="s">
        <v>70</v>
      </c>
      <c r="D639" t="str">
        <f t="shared" si="60"/>
        <v>CA</v>
      </c>
      <c r="E639" t="str">
        <f t="shared" si="61"/>
        <v>West</v>
      </c>
      <c r="F639" t="s">
        <v>25</v>
      </c>
      <c r="G639" s="1">
        <v>45111</v>
      </c>
      <c r="H639" s="1">
        <v>45115</v>
      </c>
      <c r="I639" s="1">
        <f t="shared" si="59"/>
        <v>45115</v>
      </c>
      <c r="J639" s="2">
        <v>14.6</v>
      </c>
      <c r="K639" s="2">
        <v>204.47</v>
      </c>
      <c r="L639" t="s">
        <v>15</v>
      </c>
      <c r="M639" s="2">
        <v>1495</v>
      </c>
      <c r="N639" s="2">
        <v>4</v>
      </c>
      <c r="O639" s="2">
        <f t="shared" si="62"/>
        <v>373.75</v>
      </c>
      <c r="P639" s="2">
        <f t="shared" si="63"/>
        <v>1.8278965129358831</v>
      </c>
      <c r="Q639" s="3">
        <f t="shared" si="64"/>
        <v>0.13676923076923078</v>
      </c>
    </row>
    <row r="640" spans="1:17" hidden="1" x14ac:dyDescent="0.25">
      <c r="A640" t="s">
        <v>700</v>
      </c>
      <c r="B640" t="s">
        <v>23</v>
      </c>
      <c r="C640" t="s">
        <v>44</v>
      </c>
      <c r="D640" t="str">
        <f t="shared" si="60"/>
        <v>IL</v>
      </c>
      <c r="E640" t="str">
        <f t="shared" si="61"/>
        <v>Midwest</v>
      </c>
      <c r="F640" t="s">
        <v>18</v>
      </c>
      <c r="G640" s="1">
        <v>45108</v>
      </c>
      <c r="H640" s="1">
        <v>45113</v>
      </c>
      <c r="I640" s="1">
        <f t="shared" si="59"/>
        <v>45113</v>
      </c>
      <c r="J640" s="2">
        <v>54.9</v>
      </c>
      <c r="K640" s="2">
        <v>243.58</v>
      </c>
      <c r="L640" t="s">
        <v>15</v>
      </c>
      <c r="M640" s="2">
        <v>1121</v>
      </c>
      <c r="N640" s="2">
        <v>5</v>
      </c>
      <c r="O640" s="2">
        <f t="shared" si="62"/>
        <v>224.2</v>
      </c>
      <c r="P640" s="2">
        <f t="shared" si="63"/>
        <v>0.92043681747269879</v>
      </c>
      <c r="Q640" s="3">
        <f t="shared" si="64"/>
        <v>0.21728813559322036</v>
      </c>
    </row>
    <row r="641" spans="1:17" hidden="1" x14ac:dyDescent="0.25">
      <c r="A641" t="s">
        <v>701</v>
      </c>
      <c r="B641" t="s">
        <v>51</v>
      </c>
      <c r="C641" t="s">
        <v>44</v>
      </c>
      <c r="D641" t="str">
        <f t="shared" si="60"/>
        <v>IL</v>
      </c>
      <c r="E641" t="str">
        <f t="shared" si="61"/>
        <v>Midwest</v>
      </c>
      <c r="F641" t="s">
        <v>18</v>
      </c>
      <c r="G641" s="1">
        <v>45160</v>
      </c>
      <c r="H641" s="1">
        <v>45162</v>
      </c>
      <c r="I641" s="1">
        <f t="shared" si="59"/>
        <v>45162</v>
      </c>
      <c r="J641" s="2">
        <v>31.7</v>
      </c>
      <c r="K641" s="2">
        <v>163.47999999999999</v>
      </c>
      <c r="L641" t="s">
        <v>15</v>
      </c>
      <c r="M641" s="2">
        <v>790</v>
      </c>
      <c r="N641" s="2">
        <v>2</v>
      </c>
      <c r="O641" s="2">
        <f t="shared" si="62"/>
        <v>395</v>
      </c>
      <c r="P641" s="2">
        <f t="shared" si="63"/>
        <v>2.4161977000244681</v>
      </c>
      <c r="Q641" s="3">
        <f t="shared" si="64"/>
        <v>0.20693670886075949</v>
      </c>
    </row>
    <row r="642" spans="1:17" hidden="1" x14ac:dyDescent="0.25">
      <c r="A642" t="s">
        <v>702</v>
      </c>
      <c r="B642" t="s">
        <v>23</v>
      </c>
      <c r="C642" t="s">
        <v>57</v>
      </c>
      <c r="D642" t="str">
        <f t="shared" si="60"/>
        <v>MN</v>
      </c>
      <c r="E642" t="str">
        <f t="shared" si="61"/>
        <v>Midwest</v>
      </c>
      <c r="F642" t="s">
        <v>25</v>
      </c>
      <c r="G642" s="1">
        <v>45203</v>
      </c>
      <c r="H642" s="1">
        <v>45207</v>
      </c>
      <c r="I642" s="1">
        <f t="shared" ref="I642:I705" si="65">IF(H642="", G642 + N642, H642)</f>
        <v>45207</v>
      </c>
      <c r="J642" s="2">
        <v>15.7</v>
      </c>
      <c r="K642" s="2">
        <v>191.45</v>
      </c>
      <c r="L642" t="s">
        <v>15</v>
      </c>
      <c r="M642" s="2">
        <v>1457</v>
      </c>
      <c r="N642" s="2">
        <v>4</v>
      </c>
      <c r="O642" s="2">
        <f t="shared" si="62"/>
        <v>364.25</v>
      </c>
      <c r="P642" s="2">
        <f t="shared" si="63"/>
        <v>1.9025855314703579</v>
      </c>
      <c r="Q642" s="3">
        <f t="shared" si="64"/>
        <v>0.13140013726835964</v>
      </c>
    </row>
    <row r="643" spans="1:17" hidden="1" x14ac:dyDescent="0.25">
      <c r="A643" t="s">
        <v>703</v>
      </c>
      <c r="B643" t="s">
        <v>39</v>
      </c>
      <c r="C643" t="s">
        <v>54</v>
      </c>
      <c r="D643" t="str">
        <f t="shared" si="60"/>
        <v>FL</v>
      </c>
      <c r="E643" t="str">
        <f t="shared" si="61"/>
        <v>Southeast</v>
      </c>
      <c r="F643" t="s">
        <v>14</v>
      </c>
      <c r="G643" s="1">
        <v>44933</v>
      </c>
      <c r="H643" s="1">
        <v>44938</v>
      </c>
      <c r="I643" s="1">
        <f t="shared" si="65"/>
        <v>44938</v>
      </c>
      <c r="J643" s="2">
        <v>6.6</v>
      </c>
      <c r="K643" s="2">
        <v>261.19</v>
      </c>
      <c r="L643" t="s">
        <v>15</v>
      </c>
      <c r="M643" s="2">
        <v>1832</v>
      </c>
      <c r="N643" s="2">
        <v>5</v>
      </c>
      <c r="O643" s="2">
        <f t="shared" si="62"/>
        <v>366.4</v>
      </c>
      <c r="P643" s="2">
        <f t="shared" si="63"/>
        <v>1.402810214786171</v>
      </c>
      <c r="Q643" s="3">
        <f t="shared" si="64"/>
        <v>0.14257096069868996</v>
      </c>
    </row>
    <row r="644" spans="1:17" x14ac:dyDescent="0.25">
      <c r="A644" t="s">
        <v>704</v>
      </c>
      <c r="B644" t="s">
        <v>27</v>
      </c>
      <c r="C644" t="s">
        <v>70</v>
      </c>
      <c r="D644" t="str">
        <f t="shared" si="60"/>
        <v>CA</v>
      </c>
      <c r="E644" t="str">
        <f t="shared" si="61"/>
        <v>West</v>
      </c>
      <c r="F644" t="s">
        <v>42</v>
      </c>
      <c r="G644" s="1">
        <v>45132</v>
      </c>
      <c r="H644" s="1">
        <v>45135</v>
      </c>
      <c r="I644" s="1">
        <f t="shared" si="65"/>
        <v>45135</v>
      </c>
      <c r="J644" s="2">
        <v>53.1</v>
      </c>
      <c r="K644" s="2">
        <v>197.62</v>
      </c>
      <c r="L644" t="s">
        <v>15</v>
      </c>
      <c r="M644" s="2">
        <v>1208</v>
      </c>
      <c r="N644" s="2">
        <v>3</v>
      </c>
      <c r="O644" s="2">
        <f t="shared" si="62"/>
        <v>402.66666666666669</v>
      </c>
      <c r="P644" s="2">
        <f t="shared" si="63"/>
        <v>2.0375805417805215</v>
      </c>
      <c r="Q644" s="3">
        <f t="shared" si="64"/>
        <v>0.16359271523178809</v>
      </c>
    </row>
    <row r="645" spans="1:17" x14ac:dyDescent="0.25">
      <c r="A645" t="s">
        <v>705</v>
      </c>
      <c r="B645" t="s">
        <v>27</v>
      </c>
      <c r="C645" t="s">
        <v>81</v>
      </c>
      <c r="D645" t="str">
        <f t="shared" si="60"/>
        <v>CO</v>
      </c>
      <c r="E645" t="str">
        <f t="shared" si="61"/>
        <v>West</v>
      </c>
      <c r="F645" t="s">
        <v>42</v>
      </c>
      <c r="G645" s="1">
        <v>45276</v>
      </c>
      <c r="H645" s="1">
        <v>45277</v>
      </c>
      <c r="I645" s="1">
        <f t="shared" si="65"/>
        <v>45277</v>
      </c>
      <c r="J645" s="2">
        <v>32.299999999999997</v>
      </c>
      <c r="K645" s="2">
        <v>115.94</v>
      </c>
      <c r="L645" t="s">
        <v>15</v>
      </c>
      <c r="M645" s="2">
        <v>531</v>
      </c>
      <c r="N645" s="2">
        <v>1</v>
      </c>
      <c r="O645" s="2">
        <f t="shared" si="62"/>
        <v>531</v>
      </c>
      <c r="P645" s="2">
        <f t="shared" si="63"/>
        <v>4.5799551492151114</v>
      </c>
      <c r="Q645" s="3">
        <f t="shared" si="64"/>
        <v>0.21834274952919019</v>
      </c>
    </row>
    <row r="646" spans="1:17" hidden="1" x14ac:dyDescent="0.25">
      <c r="A646" t="s">
        <v>706</v>
      </c>
      <c r="B646" t="s">
        <v>20</v>
      </c>
      <c r="C646" t="s">
        <v>28</v>
      </c>
      <c r="D646" t="str">
        <f t="shared" si="60"/>
        <v>TX</v>
      </c>
      <c r="E646" t="str">
        <f t="shared" si="61"/>
        <v>Southwest</v>
      </c>
      <c r="F646" t="s">
        <v>37</v>
      </c>
      <c r="G646" s="1">
        <v>45283</v>
      </c>
      <c r="H646" s="1">
        <v>45290</v>
      </c>
      <c r="I646" s="1">
        <f t="shared" si="65"/>
        <v>45290</v>
      </c>
      <c r="J646" s="2">
        <v>67.3</v>
      </c>
      <c r="K646" s="2">
        <v>275.70999999999998</v>
      </c>
      <c r="L646" t="s">
        <v>15</v>
      </c>
      <c r="M646" s="2">
        <v>1435</v>
      </c>
      <c r="N646" s="2">
        <v>7</v>
      </c>
      <c r="O646" s="2">
        <f t="shared" si="62"/>
        <v>205</v>
      </c>
      <c r="P646" s="2">
        <f t="shared" si="63"/>
        <v>0.74353487359907156</v>
      </c>
      <c r="Q646" s="3">
        <f t="shared" si="64"/>
        <v>0.19213240418118466</v>
      </c>
    </row>
    <row r="647" spans="1:17" x14ac:dyDescent="0.25">
      <c r="A647" t="s">
        <v>707</v>
      </c>
      <c r="B647" t="s">
        <v>27</v>
      </c>
      <c r="C647" t="s">
        <v>36</v>
      </c>
      <c r="D647" t="str">
        <f t="shared" si="60"/>
        <v>OR</v>
      </c>
      <c r="E647" t="str">
        <f t="shared" si="61"/>
        <v>West</v>
      </c>
      <c r="F647" t="s">
        <v>14</v>
      </c>
      <c r="G647" s="1">
        <v>45186</v>
      </c>
      <c r="H647" s="1">
        <v>45191</v>
      </c>
      <c r="I647" s="1">
        <f t="shared" si="65"/>
        <v>45191</v>
      </c>
      <c r="J647" s="2">
        <v>11.7</v>
      </c>
      <c r="K647" s="2">
        <v>241.13</v>
      </c>
      <c r="L647" t="s">
        <v>15</v>
      </c>
      <c r="M647" s="2">
        <v>1803</v>
      </c>
      <c r="N647" s="2">
        <v>5</v>
      </c>
      <c r="O647" s="2">
        <f t="shared" si="62"/>
        <v>360.6</v>
      </c>
      <c r="P647" s="2">
        <f t="shared" si="63"/>
        <v>1.4954588811014806</v>
      </c>
      <c r="Q647" s="3">
        <f t="shared" si="64"/>
        <v>0.13373821408763173</v>
      </c>
    </row>
    <row r="648" spans="1:17" x14ac:dyDescent="0.25">
      <c r="A648" t="s">
        <v>708</v>
      </c>
      <c r="B648" t="s">
        <v>49</v>
      </c>
      <c r="C648" t="s">
        <v>70</v>
      </c>
      <c r="D648" t="str">
        <f t="shared" si="60"/>
        <v>CA</v>
      </c>
      <c r="E648" t="str">
        <f t="shared" si="61"/>
        <v>West</v>
      </c>
      <c r="F648" t="s">
        <v>37</v>
      </c>
      <c r="G648" s="1">
        <v>45155</v>
      </c>
      <c r="H648" s="1">
        <v>45160</v>
      </c>
      <c r="I648" s="1">
        <f t="shared" si="65"/>
        <v>45160</v>
      </c>
      <c r="J648" s="2">
        <v>6.3</v>
      </c>
      <c r="K648" s="2">
        <v>315.26</v>
      </c>
      <c r="L648" t="s">
        <v>15</v>
      </c>
      <c r="M648" s="2">
        <v>2363</v>
      </c>
      <c r="N648" s="2">
        <v>5</v>
      </c>
      <c r="O648" s="2">
        <f t="shared" si="62"/>
        <v>472.6</v>
      </c>
      <c r="P648" s="2">
        <f t="shared" si="63"/>
        <v>1.4990801243418133</v>
      </c>
      <c r="Q648" s="3">
        <f t="shared" si="64"/>
        <v>0.13341515023275496</v>
      </c>
    </row>
    <row r="649" spans="1:17" hidden="1" x14ac:dyDescent="0.25">
      <c r="A649" t="s">
        <v>709</v>
      </c>
      <c r="B649" t="s">
        <v>30</v>
      </c>
      <c r="C649" t="s">
        <v>44</v>
      </c>
      <c r="D649" t="str">
        <f t="shared" si="60"/>
        <v>IL</v>
      </c>
      <c r="E649" t="str">
        <f t="shared" si="61"/>
        <v>Midwest</v>
      </c>
      <c r="F649" t="s">
        <v>37</v>
      </c>
      <c r="G649" s="1">
        <v>45204</v>
      </c>
      <c r="H649" s="1">
        <v>45207</v>
      </c>
      <c r="I649" s="1">
        <f t="shared" si="65"/>
        <v>45207</v>
      </c>
      <c r="J649" s="2">
        <v>57.7</v>
      </c>
      <c r="K649" s="2">
        <v>243.19</v>
      </c>
      <c r="L649" t="s">
        <v>15</v>
      </c>
      <c r="M649" s="2">
        <v>1274</v>
      </c>
      <c r="N649" s="2">
        <v>3</v>
      </c>
      <c r="O649" s="2">
        <f t="shared" si="62"/>
        <v>424.66666666666669</v>
      </c>
      <c r="P649" s="2">
        <f t="shared" si="63"/>
        <v>1.7462340830900394</v>
      </c>
      <c r="Q649" s="3">
        <f t="shared" si="64"/>
        <v>0.19088697017268447</v>
      </c>
    </row>
    <row r="650" spans="1:17" hidden="1" x14ac:dyDescent="0.25">
      <c r="A650" t="s">
        <v>710</v>
      </c>
      <c r="B650" t="s">
        <v>35</v>
      </c>
      <c r="C650" t="s">
        <v>31</v>
      </c>
      <c r="D650" t="str">
        <f t="shared" si="60"/>
        <v>NY</v>
      </c>
      <c r="E650" t="str">
        <f t="shared" si="61"/>
        <v>Northeast</v>
      </c>
      <c r="F650" t="s">
        <v>25</v>
      </c>
      <c r="G650" s="1">
        <v>44966</v>
      </c>
      <c r="H650" s="1">
        <v>44971</v>
      </c>
      <c r="I650" s="1">
        <f t="shared" si="65"/>
        <v>44971</v>
      </c>
      <c r="J650" s="2">
        <v>5.9</v>
      </c>
      <c r="K650" s="2">
        <v>199.78</v>
      </c>
      <c r="L650" t="s">
        <v>15</v>
      </c>
      <c r="M650" s="2">
        <v>1678</v>
      </c>
      <c r="N650" s="2">
        <v>5</v>
      </c>
      <c r="O650" s="2">
        <f t="shared" si="62"/>
        <v>335.6</v>
      </c>
      <c r="P650" s="2">
        <f t="shared" si="63"/>
        <v>1.6798478326158777</v>
      </c>
      <c r="Q650" s="3">
        <f t="shared" si="64"/>
        <v>0.11905840286054828</v>
      </c>
    </row>
    <row r="651" spans="1:17" x14ac:dyDescent="0.25">
      <c r="A651" t="s">
        <v>711</v>
      </c>
      <c r="B651" t="s">
        <v>35</v>
      </c>
      <c r="C651" t="s">
        <v>24</v>
      </c>
      <c r="D651" t="str">
        <f t="shared" si="60"/>
        <v>WA</v>
      </c>
      <c r="E651" t="str">
        <f t="shared" si="61"/>
        <v>West</v>
      </c>
      <c r="F651" t="s">
        <v>18</v>
      </c>
      <c r="G651" s="1">
        <v>45216</v>
      </c>
      <c r="H651" s="1">
        <v>45233</v>
      </c>
      <c r="I651" s="1">
        <f t="shared" si="65"/>
        <v>45233</v>
      </c>
      <c r="J651" s="2">
        <v>38</v>
      </c>
      <c r="K651" s="2">
        <v>416.88</v>
      </c>
      <c r="L651" t="s">
        <v>47</v>
      </c>
      <c r="M651" s="2">
        <v>2447</v>
      </c>
      <c r="N651" s="2">
        <v>6</v>
      </c>
      <c r="O651" s="2">
        <f t="shared" si="62"/>
        <v>407.83333333333331</v>
      </c>
      <c r="P651" s="2">
        <f t="shared" si="63"/>
        <v>0.97829911085524213</v>
      </c>
      <c r="Q651" s="3">
        <f t="shared" si="64"/>
        <v>0.17036371066612177</v>
      </c>
    </row>
    <row r="652" spans="1:17" hidden="1" x14ac:dyDescent="0.25">
      <c r="A652" t="s">
        <v>712</v>
      </c>
      <c r="B652" t="s">
        <v>27</v>
      </c>
      <c r="C652" t="s">
        <v>57</v>
      </c>
      <c r="D652" t="str">
        <f t="shared" si="60"/>
        <v>MN</v>
      </c>
      <c r="E652" t="str">
        <f t="shared" si="61"/>
        <v>Midwest</v>
      </c>
      <c r="F652" t="s">
        <v>37</v>
      </c>
      <c r="G652" s="1">
        <v>44988</v>
      </c>
      <c r="H652" s="1">
        <v>44993</v>
      </c>
      <c r="I652" s="1">
        <f t="shared" si="65"/>
        <v>44993</v>
      </c>
      <c r="J652" s="2">
        <v>9.6999999999999993</v>
      </c>
      <c r="K652" s="2">
        <v>230.69</v>
      </c>
      <c r="L652" t="s">
        <v>15</v>
      </c>
      <c r="M652" s="2">
        <v>1667</v>
      </c>
      <c r="N652" s="2">
        <v>5</v>
      </c>
      <c r="O652" s="2">
        <f t="shared" si="62"/>
        <v>333.4</v>
      </c>
      <c r="P652" s="2">
        <f t="shared" si="63"/>
        <v>1.4452295288048895</v>
      </c>
      <c r="Q652" s="3">
        <f t="shared" si="64"/>
        <v>0.1383863227354529</v>
      </c>
    </row>
    <row r="653" spans="1:17" hidden="1" x14ac:dyDescent="0.25">
      <c r="A653" t="s">
        <v>713</v>
      </c>
      <c r="B653" t="s">
        <v>20</v>
      </c>
      <c r="C653" t="s">
        <v>28</v>
      </c>
      <c r="D653" t="str">
        <f t="shared" si="60"/>
        <v>TX</v>
      </c>
      <c r="E653" t="str">
        <f t="shared" si="61"/>
        <v>Southwest</v>
      </c>
      <c r="F653" t="s">
        <v>37</v>
      </c>
      <c r="G653" s="1">
        <v>45079</v>
      </c>
      <c r="H653" s="1">
        <v>45083</v>
      </c>
      <c r="I653" s="1">
        <f t="shared" si="65"/>
        <v>45083</v>
      </c>
      <c r="J653" s="2">
        <v>25</v>
      </c>
      <c r="K653" s="2">
        <v>220.62</v>
      </c>
      <c r="L653" t="s">
        <v>15</v>
      </c>
      <c r="M653" s="2">
        <v>1435</v>
      </c>
      <c r="N653" s="2">
        <v>4</v>
      </c>
      <c r="O653" s="2">
        <f t="shared" si="62"/>
        <v>358.75</v>
      </c>
      <c r="P653" s="2">
        <f t="shared" si="63"/>
        <v>1.6260991750521259</v>
      </c>
      <c r="Q653" s="3">
        <f t="shared" si="64"/>
        <v>0.15374216027874565</v>
      </c>
    </row>
    <row r="654" spans="1:17" hidden="1" x14ac:dyDescent="0.25">
      <c r="A654" t="s">
        <v>714</v>
      </c>
      <c r="B654" t="s">
        <v>56</v>
      </c>
      <c r="C654" t="s">
        <v>21</v>
      </c>
      <c r="D654" t="str">
        <f t="shared" si="60"/>
        <v>TX</v>
      </c>
      <c r="E654" t="str">
        <f t="shared" si="61"/>
        <v>Southwest</v>
      </c>
      <c r="F654" t="s">
        <v>25</v>
      </c>
      <c r="G654" s="1">
        <v>44933</v>
      </c>
      <c r="H654" s="1">
        <v>44938</v>
      </c>
      <c r="I654" s="1">
        <f t="shared" si="65"/>
        <v>44938</v>
      </c>
      <c r="J654" s="2">
        <v>9.6999999999999993</v>
      </c>
      <c r="K654" s="2">
        <v>260.86</v>
      </c>
      <c r="L654" t="s">
        <v>15</v>
      </c>
      <c r="M654" s="2">
        <v>1937</v>
      </c>
      <c r="N654" s="2">
        <v>5</v>
      </c>
      <c r="O654" s="2">
        <f t="shared" si="62"/>
        <v>387.4</v>
      </c>
      <c r="P654" s="2">
        <f t="shared" si="63"/>
        <v>1.4850877865521734</v>
      </c>
      <c r="Q654" s="3">
        <f t="shared" si="64"/>
        <v>0.13467217346411978</v>
      </c>
    </row>
    <row r="655" spans="1:17" hidden="1" x14ac:dyDescent="0.25">
      <c r="A655" t="s">
        <v>715</v>
      </c>
      <c r="B655" t="s">
        <v>30</v>
      </c>
      <c r="C655" t="s">
        <v>28</v>
      </c>
      <c r="D655" t="str">
        <f t="shared" si="60"/>
        <v>TX</v>
      </c>
      <c r="E655" t="str">
        <f t="shared" si="61"/>
        <v>Southwest</v>
      </c>
      <c r="F655" t="s">
        <v>14</v>
      </c>
      <c r="G655" s="1">
        <v>45013</v>
      </c>
      <c r="H655" s="1">
        <v>45016</v>
      </c>
      <c r="I655" s="1">
        <f t="shared" si="65"/>
        <v>45016</v>
      </c>
      <c r="J655" s="2">
        <v>5.6</v>
      </c>
      <c r="K655" s="2">
        <v>94.63</v>
      </c>
      <c r="L655" t="s">
        <v>67</v>
      </c>
      <c r="M655" s="2">
        <v>659</v>
      </c>
      <c r="N655" s="2">
        <v>3</v>
      </c>
      <c r="O655" s="2">
        <f t="shared" si="62"/>
        <v>219.66666666666666</v>
      </c>
      <c r="P655" s="2">
        <f t="shared" si="63"/>
        <v>2.3213216386628623</v>
      </c>
      <c r="Q655" s="3">
        <f t="shared" si="64"/>
        <v>0.14359635811836113</v>
      </c>
    </row>
    <row r="656" spans="1:17" hidden="1" x14ac:dyDescent="0.25">
      <c r="A656" t="s">
        <v>716</v>
      </c>
      <c r="B656" t="s">
        <v>49</v>
      </c>
      <c r="C656" t="s">
        <v>54</v>
      </c>
      <c r="D656" t="str">
        <f t="shared" si="60"/>
        <v>FL</v>
      </c>
      <c r="E656" t="str">
        <f t="shared" si="61"/>
        <v>Southeast</v>
      </c>
      <c r="F656" t="s">
        <v>14</v>
      </c>
      <c r="G656" s="1">
        <v>44988</v>
      </c>
      <c r="H656" s="1">
        <v>44993</v>
      </c>
      <c r="I656" s="1">
        <f t="shared" si="65"/>
        <v>44993</v>
      </c>
      <c r="J656" s="2">
        <v>18.100000000000001</v>
      </c>
      <c r="K656" s="2">
        <v>102.98</v>
      </c>
      <c r="L656" t="s">
        <v>15</v>
      </c>
      <c r="M656" s="2">
        <v>663</v>
      </c>
      <c r="N656" s="2">
        <v>5</v>
      </c>
      <c r="O656" s="2">
        <f t="shared" si="62"/>
        <v>132.6</v>
      </c>
      <c r="P656" s="2">
        <f t="shared" si="63"/>
        <v>1.2876286657603417</v>
      </c>
      <c r="Q656" s="3">
        <f t="shared" si="64"/>
        <v>0.15532428355957767</v>
      </c>
    </row>
    <row r="657" spans="1:17" hidden="1" x14ac:dyDescent="0.25">
      <c r="A657" t="s">
        <v>717</v>
      </c>
      <c r="B657" t="s">
        <v>20</v>
      </c>
      <c r="C657" t="s">
        <v>28</v>
      </c>
      <c r="D657" t="str">
        <f t="shared" si="60"/>
        <v>TX</v>
      </c>
      <c r="E657" t="str">
        <f t="shared" si="61"/>
        <v>Southwest</v>
      </c>
      <c r="F657" t="s">
        <v>42</v>
      </c>
      <c r="G657" s="1">
        <v>45246</v>
      </c>
      <c r="H657" s="1">
        <v>45251</v>
      </c>
      <c r="I657" s="1">
        <f t="shared" si="65"/>
        <v>45251</v>
      </c>
      <c r="J657" s="2">
        <v>39</v>
      </c>
      <c r="K657" s="2">
        <v>280.22000000000003</v>
      </c>
      <c r="L657" t="s">
        <v>15</v>
      </c>
      <c r="M657" s="2">
        <v>1435</v>
      </c>
      <c r="N657" s="2">
        <v>5</v>
      </c>
      <c r="O657" s="2">
        <f t="shared" si="62"/>
        <v>287</v>
      </c>
      <c r="P657" s="2">
        <f t="shared" si="63"/>
        <v>1.0241952751409606</v>
      </c>
      <c r="Q657" s="3">
        <f t="shared" si="64"/>
        <v>0.19527526132404183</v>
      </c>
    </row>
    <row r="658" spans="1:17" hidden="1" x14ac:dyDescent="0.25">
      <c r="A658" t="s">
        <v>718</v>
      </c>
      <c r="B658" t="s">
        <v>23</v>
      </c>
      <c r="C658" t="s">
        <v>31</v>
      </c>
      <c r="D658" t="str">
        <f t="shared" si="60"/>
        <v>NY</v>
      </c>
      <c r="E658" t="str">
        <f t="shared" si="61"/>
        <v>Northeast</v>
      </c>
      <c r="F658" t="s">
        <v>42</v>
      </c>
      <c r="G658" s="1">
        <v>45005</v>
      </c>
      <c r="H658" s="1">
        <v>45013</v>
      </c>
      <c r="I658" s="1">
        <f t="shared" si="65"/>
        <v>45013</v>
      </c>
      <c r="J658" s="2">
        <v>28.1</v>
      </c>
      <c r="K658" s="2">
        <v>192.15</v>
      </c>
      <c r="L658" t="s">
        <v>15</v>
      </c>
      <c r="M658" s="2">
        <v>1431</v>
      </c>
      <c r="N658" s="2">
        <v>8</v>
      </c>
      <c r="O658" s="2">
        <f t="shared" si="62"/>
        <v>178.875</v>
      </c>
      <c r="P658" s="2">
        <f t="shared" si="63"/>
        <v>0.93091334894613575</v>
      </c>
      <c r="Q658" s="3">
        <f t="shared" si="64"/>
        <v>0.13427672955974843</v>
      </c>
    </row>
    <row r="659" spans="1:17" hidden="1" x14ac:dyDescent="0.25">
      <c r="A659" t="s">
        <v>719</v>
      </c>
      <c r="B659" t="s">
        <v>12</v>
      </c>
      <c r="C659" t="s">
        <v>57</v>
      </c>
      <c r="D659" t="str">
        <f t="shared" si="60"/>
        <v>MN</v>
      </c>
      <c r="E659" t="str">
        <f t="shared" si="61"/>
        <v>Midwest</v>
      </c>
      <c r="F659" t="s">
        <v>18</v>
      </c>
      <c r="G659" s="1">
        <v>45219</v>
      </c>
      <c r="H659" s="1">
        <v>45233</v>
      </c>
      <c r="I659" s="1">
        <f t="shared" si="65"/>
        <v>45233</v>
      </c>
      <c r="J659" s="2">
        <v>22.8</v>
      </c>
      <c r="K659" s="2">
        <v>362.33</v>
      </c>
      <c r="L659" t="s">
        <v>47</v>
      </c>
      <c r="M659" s="2">
        <v>2452</v>
      </c>
      <c r="N659" s="2">
        <v>5</v>
      </c>
      <c r="O659" s="2">
        <f t="shared" si="62"/>
        <v>490.4</v>
      </c>
      <c r="P659" s="2">
        <f t="shared" si="63"/>
        <v>1.3534623133607484</v>
      </c>
      <c r="Q659" s="3">
        <f t="shared" si="64"/>
        <v>0.14776916802610113</v>
      </c>
    </row>
    <row r="660" spans="1:17" hidden="1" x14ac:dyDescent="0.25">
      <c r="A660" t="s">
        <v>720</v>
      </c>
      <c r="B660" t="s">
        <v>39</v>
      </c>
      <c r="C660" t="s">
        <v>40</v>
      </c>
      <c r="D660" t="str">
        <f t="shared" si="60"/>
        <v>MI</v>
      </c>
      <c r="E660" t="str">
        <f t="shared" si="61"/>
        <v>Midwest</v>
      </c>
      <c r="F660" t="s">
        <v>42</v>
      </c>
      <c r="G660" s="1">
        <v>45116</v>
      </c>
      <c r="H660" s="1">
        <v>45130</v>
      </c>
      <c r="I660" s="1">
        <f t="shared" si="65"/>
        <v>45130</v>
      </c>
      <c r="J660" s="2">
        <v>25.5</v>
      </c>
      <c r="K660" s="2">
        <v>298.33</v>
      </c>
      <c r="L660" t="s">
        <v>47</v>
      </c>
      <c r="M660" s="2">
        <v>2427</v>
      </c>
      <c r="N660" s="2">
        <v>6</v>
      </c>
      <c r="O660" s="2">
        <f t="shared" si="62"/>
        <v>404.5</v>
      </c>
      <c r="P660" s="2">
        <f t="shared" si="63"/>
        <v>1.3558810712968861</v>
      </c>
      <c r="Q660" s="3">
        <f t="shared" si="64"/>
        <v>0.12292130201895343</v>
      </c>
    </row>
    <row r="661" spans="1:17" x14ac:dyDescent="0.25">
      <c r="A661" t="s">
        <v>721</v>
      </c>
      <c r="B661" t="s">
        <v>51</v>
      </c>
      <c r="C661" t="s">
        <v>24</v>
      </c>
      <c r="D661" t="str">
        <f t="shared" si="60"/>
        <v>WA</v>
      </c>
      <c r="E661" t="str">
        <f t="shared" si="61"/>
        <v>West</v>
      </c>
      <c r="F661" t="s">
        <v>42</v>
      </c>
      <c r="G661" s="1">
        <v>45089</v>
      </c>
      <c r="H661" s="1">
        <v>45094</v>
      </c>
      <c r="I661" s="1">
        <f t="shared" si="65"/>
        <v>45094</v>
      </c>
      <c r="J661" s="2">
        <v>13.9</v>
      </c>
      <c r="K661" s="2">
        <v>131.13</v>
      </c>
      <c r="L661" t="s">
        <v>15</v>
      </c>
      <c r="M661" s="2">
        <v>872</v>
      </c>
      <c r="N661" s="2">
        <v>5</v>
      </c>
      <c r="O661" s="2">
        <f t="shared" si="62"/>
        <v>174.4</v>
      </c>
      <c r="P661" s="2">
        <f t="shared" si="63"/>
        <v>1.3299778845420576</v>
      </c>
      <c r="Q661" s="3">
        <f t="shared" si="64"/>
        <v>0.15037844036697248</v>
      </c>
    </row>
    <row r="662" spans="1:17" hidden="1" x14ac:dyDescent="0.25">
      <c r="A662" t="s">
        <v>722</v>
      </c>
      <c r="B662" t="s">
        <v>30</v>
      </c>
      <c r="C662" t="s">
        <v>21</v>
      </c>
      <c r="D662" t="str">
        <f t="shared" si="60"/>
        <v>TX</v>
      </c>
      <c r="E662" t="str">
        <f t="shared" si="61"/>
        <v>Southwest</v>
      </c>
      <c r="F662" t="s">
        <v>18</v>
      </c>
      <c r="G662" s="1">
        <v>45031</v>
      </c>
      <c r="H662" s="1">
        <v>45037</v>
      </c>
      <c r="I662" s="1">
        <f t="shared" si="65"/>
        <v>45037</v>
      </c>
      <c r="J662" s="2">
        <v>7.7</v>
      </c>
      <c r="K662" s="2">
        <v>234.65</v>
      </c>
      <c r="L662" t="s">
        <v>15</v>
      </c>
      <c r="M662" s="2">
        <v>1747</v>
      </c>
      <c r="N662" s="2">
        <v>6</v>
      </c>
      <c r="O662" s="2">
        <f t="shared" si="62"/>
        <v>291.16666666666669</v>
      </c>
      <c r="P662" s="2">
        <f t="shared" si="63"/>
        <v>1.2408551743731799</v>
      </c>
      <c r="Q662" s="3">
        <f t="shared" si="64"/>
        <v>0.13431597023468805</v>
      </c>
    </row>
    <row r="663" spans="1:17" hidden="1" x14ac:dyDescent="0.25">
      <c r="A663" t="s">
        <v>723</v>
      </c>
      <c r="B663" t="s">
        <v>20</v>
      </c>
      <c r="C663" t="s">
        <v>21</v>
      </c>
      <c r="D663" t="str">
        <f t="shared" si="60"/>
        <v>TX</v>
      </c>
      <c r="E663" t="str">
        <f t="shared" si="61"/>
        <v>Southwest</v>
      </c>
      <c r="F663" t="s">
        <v>42</v>
      </c>
      <c r="G663" s="1">
        <v>45041</v>
      </c>
      <c r="H663" s="1">
        <v>45045</v>
      </c>
      <c r="I663" s="1">
        <f t="shared" si="65"/>
        <v>45045</v>
      </c>
      <c r="J663" s="2">
        <v>37.799999999999997</v>
      </c>
      <c r="K663" s="2">
        <v>199.44</v>
      </c>
      <c r="L663" t="s">
        <v>15</v>
      </c>
      <c r="M663" s="2">
        <v>1314</v>
      </c>
      <c r="N663" s="2">
        <v>4</v>
      </c>
      <c r="O663" s="2">
        <f t="shared" si="62"/>
        <v>328.5</v>
      </c>
      <c r="P663" s="2">
        <f t="shared" si="63"/>
        <v>1.6471119133574008</v>
      </c>
      <c r="Q663" s="3">
        <f t="shared" si="64"/>
        <v>0.15178082191780823</v>
      </c>
    </row>
    <row r="664" spans="1:17" x14ac:dyDescent="0.25">
      <c r="A664" t="s">
        <v>724</v>
      </c>
      <c r="B664" t="s">
        <v>12</v>
      </c>
      <c r="C664" t="s">
        <v>70</v>
      </c>
      <c r="D664" t="str">
        <f t="shared" si="60"/>
        <v>CA</v>
      </c>
      <c r="E664" t="str">
        <f t="shared" si="61"/>
        <v>West</v>
      </c>
      <c r="F664" t="s">
        <v>18</v>
      </c>
      <c r="G664" s="1">
        <v>45226</v>
      </c>
      <c r="H664" s="1">
        <v>45231</v>
      </c>
      <c r="I664" s="1">
        <f t="shared" si="65"/>
        <v>45231</v>
      </c>
      <c r="J664" s="2">
        <v>43.7</v>
      </c>
      <c r="K664" s="2">
        <v>401.12</v>
      </c>
      <c r="L664" t="s">
        <v>15</v>
      </c>
      <c r="M664" s="2">
        <v>2460</v>
      </c>
      <c r="N664" s="2">
        <v>5</v>
      </c>
      <c r="O664" s="2">
        <f t="shared" si="62"/>
        <v>492</v>
      </c>
      <c r="P664" s="2">
        <f t="shared" si="63"/>
        <v>1.2265656162744316</v>
      </c>
      <c r="Q664" s="3">
        <f t="shared" si="64"/>
        <v>0.16305691056910571</v>
      </c>
    </row>
    <row r="665" spans="1:17" hidden="1" x14ac:dyDescent="0.25">
      <c r="A665" t="s">
        <v>725</v>
      </c>
      <c r="B665" t="s">
        <v>12</v>
      </c>
      <c r="C665" t="s">
        <v>31</v>
      </c>
      <c r="D665" t="str">
        <f t="shared" si="60"/>
        <v>NY</v>
      </c>
      <c r="E665" t="str">
        <f t="shared" si="61"/>
        <v>Northeast</v>
      </c>
      <c r="F665" t="s">
        <v>25</v>
      </c>
      <c r="G665" s="1">
        <v>45177</v>
      </c>
      <c r="H665" s="1">
        <v>45182</v>
      </c>
      <c r="I665" s="1">
        <f t="shared" si="65"/>
        <v>45182</v>
      </c>
      <c r="J665" s="2">
        <v>20.6</v>
      </c>
      <c r="K665" s="2">
        <v>259.44</v>
      </c>
      <c r="L665" t="s">
        <v>15</v>
      </c>
      <c r="M665" s="2">
        <v>2189</v>
      </c>
      <c r="N665" s="2">
        <v>5</v>
      </c>
      <c r="O665" s="2">
        <f t="shared" si="62"/>
        <v>437.8</v>
      </c>
      <c r="P665" s="2">
        <f t="shared" si="63"/>
        <v>1.6874807277212458</v>
      </c>
      <c r="Q665" s="3">
        <f t="shared" si="64"/>
        <v>0.11851987208771128</v>
      </c>
    </row>
    <row r="666" spans="1:17" x14ac:dyDescent="0.25">
      <c r="A666" t="s">
        <v>726</v>
      </c>
      <c r="B666" t="s">
        <v>49</v>
      </c>
      <c r="C666" t="s">
        <v>81</v>
      </c>
      <c r="D666" t="str">
        <f t="shared" si="60"/>
        <v>CO</v>
      </c>
      <c r="E666" t="str">
        <f t="shared" si="61"/>
        <v>West</v>
      </c>
      <c r="F666" t="s">
        <v>32</v>
      </c>
      <c r="G666" s="1">
        <v>45201</v>
      </c>
      <c r="H666" s="1">
        <v>45207</v>
      </c>
      <c r="I666" s="1">
        <f t="shared" si="65"/>
        <v>45207</v>
      </c>
      <c r="J666" s="2">
        <v>14</v>
      </c>
      <c r="K666" s="2">
        <v>295.69</v>
      </c>
      <c r="L666" t="s">
        <v>15</v>
      </c>
      <c r="M666" s="2">
        <v>2105</v>
      </c>
      <c r="N666" s="2">
        <v>6</v>
      </c>
      <c r="O666" s="2">
        <f t="shared" si="62"/>
        <v>350.83333333333331</v>
      </c>
      <c r="P666" s="2">
        <f t="shared" si="63"/>
        <v>1.1864903558907414</v>
      </c>
      <c r="Q666" s="3">
        <f t="shared" si="64"/>
        <v>0.14047030878859856</v>
      </c>
    </row>
    <row r="667" spans="1:17" hidden="1" x14ac:dyDescent="0.25">
      <c r="A667" t="s">
        <v>727</v>
      </c>
      <c r="B667" t="s">
        <v>23</v>
      </c>
      <c r="C667" t="s">
        <v>54</v>
      </c>
      <c r="D667" t="str">
        <f t="shared" si="60"/>
        <v>FL</v>
      </c>
      <c r="E667" t="str">
        <f t="shared" si="61"/>
        <v>Southeast</v>
      </c>
      <c r="F667" t="s">
        <v>32</v>
      </c>
      <c r="G667" s="1">
        <v>44988</v>
      </c>
      <c r="H667" s="1">
        <v>44994</v>
      </c>
      <c r="I667" s="1">
        <f t="shared" si="65"/>
        <v>44994</v>
      </c>
      <c r="J667" s="2">
        <v>6.5</v>
      </c>
      <c r="K667" s="2">
        <v>297.79000000000002</v>
      </c>
      <c r="L667" t="s">
        <v>15</v>
      </c>
      <c r="M667" s="2">
        <v>2185</v>
      </c>
      <c r="N667" s="2">
        <v>6</v>
      </c>
      <c r="O667" s="2">
        <f t="shared" si="62"/>
        <v>364.16666666666669</v>
      </c>
      <c r="P667" s="2">
        <f t="shared" si="63"/>
        <v>1.2228975676371492</v>
      </c>
      <c r="Q667" s="3">
        <f t="shared" si="64"/>
        <v>0.1362883295194508</v>
      </c>
    </row>
    <row r="668" spans="1:17" hidden="1" x14ac:dyDescent="0.25">
      <c r="A668" t="s">
        <v>728</v>
      </c>
      <c r="B668" t="s">
        <v>30</v>
      </c>
      <c r="C668" t="s">
        <v>21</v>
      </c>
      <c r="D668" t="str">
        <f t="shared" si="60"/>
        <v>TX</v>
      </c>
      <c r="E668" t="str">
        <f t="shared" si="61"/>
        <v>Southwest</v>
      </c>
      <c r="F668" t="s">
        <v>32</v>
      </c>
      <c r="G668" s="1">
        <v>45153</v>
      </c>
      <c r="H668" s="1">
        <v>45158</v>
      </c>
      <c r="I668" s="1">
        <f t="shared" si="65"/>
        <v>45158</v>
      </c>
      <c r="J668" s="2">
        <v>122.7</v>
      </c>
      <c r="K668" s="2">
        <v>432.92</v>
      </c>
      <c r="L668" t="s">
        <v>15</v>
      </c>
      <c r="M668" s="2">
        <v>1984</v>
      </c>
      <c r="N668" s="2">
        <v>5</v>
      </c>
      <c r="O668" s="2">
        <f t="shared" si="62"/>
        <v>396.8</v>
      </c>
      <c r="P668" s="2">
        <f t="shared" si="63"/>
        <v>0.91656657119098217</v>
      </c>
      <c r="Q668" s="3">
        <f t="shared" si="64"/>
        <v>0.21820564516129032</v>
      </c>
    </row>
    <row r="669" spans="1:17" hidden="1" x14ac:dyDescent="0.25">
      <c r="A669" t="s">
        <v>729</v>
      </c>
      <c r="B669" t="s">
        <v>23</v>
      </c>
      <c r="C669" t="s">
        <v>52</v>
      </c>
      <c r="D669" t="str">
        <f t="shared" si="60"/>
        <v>AZ</v>
      </c>
      <c r="E669" t="str">
        <f t="shared" si="61"/>
        <v>Southwest</v>
      </c>
      <c r="F669" t="s">
        <v>25</v>
      </c>
      <c r="G669" s="1">
        <v>45218</v>
      </c>
      <c r="H669" s="1">
        <v>45221</v>
      </c>
      <c r="I669" s="1">
        <f t="shared" si="65"/>
        <v>45221</v>
      </c>
      <c r="J669" s="2">
        <v>13.6</v>
      </c>
      <c r="K669" s="2">
        <v>141.30000000000001</v>
      </c>
      <c r="L669" t="s">
        <v>15</v>
      </c>
      <c r="M669" s="2">
        <v>1123</v>
      </c>
      <c r="N669" s="2">
        <v>3</v>
      </c>
      <c r="O669" s="2">
        <f t="shared" si="62"/>
        <v>374.33333333333331</v>
      </c>
      <c r="P669" s="2">
        <f t="shared" si="63"/>
        <v>2.6492097192734132</v>
      </c>
      <c r="Q669" s="3">
        <f t="shared" si="64"/>
        <v>0.12582368655387358</v>
      </c>
    </row>
    <row r="670" spans="1:17" x14ac:dyDescent="0.25">
      <c r="A670" t="s">
        <v>730</v>
      </c>
      <c r="B670" t="s">
        <v>30</v>
      </c>
      <c r="C670" t="s">
        <v>13</v>
      </c>
      <c r="D670" t="str">
        <f t="shared" si="60"/>
        <v>CA</v>
      </c>
      <c r="E670" t="str">
        <f t="shared" si="61"/>
        <v>West</v>
      </c>
      <c r="F670" t="s">
        <v>25</v>
      </c>
      <c r="G670" s="1">
        <v>45050</v>
      </c>
      <c r="H670" s="1">
        <v>45052</v>
      </c>
      <c r="I670" s="1">
        <f t="shared" si="65"/>
        <v>45052</v>
      </c>
      <c r="J670" s="2">
        <v>35.9</v>
      </c>
      <c r="K670" s="2">
        <v>89.84</v>
      </c>
      <c r="L670" t="s">
        <v>15</v>
      </c>
      <c r="M670" s="2">
        <v>348</v>
      </c>
      <c r="N670" s="2">
        <v>2</v>
      </c>
      <c r="O670" s="2">
        <f t="shared" si="62"/>
        <v>174</v>
      </c>
      <c r="P670" s="2">
        <f t="shared" si="63"/>
        <v>1.9367764915405163</v>
      </c>
      <c r="Q670" s="3">
        <f t="shared" si="64"/>
        <v>0.25816091954022991</v>
      </c>
    </row>
    <row r="671" spans="1:17" hidden="1" x14ac:dyDescent="0.25">
      <c r="A671" t="s">
        <v>731</v>
      </c>
      <c r="B671" t="s">
        <v>20</v>
      </c>
      <c r="C671" t="s">
        <v>28</v>
      </c>
      <c r="D671" t="str">
        <f t="shared" si="60"/>
        <v>TX</v>
      </c>
      <c r="E671" t="str">
        <f t="shared" si="61"/>
        <v>Southwest</v>
      </c>
      <c r="F671" t="s">
        <v>37</v>
      </c>
      <c r="G671" s="1">
        <v>44928</v>
      </c>
      <c r="H671" s="1">
        <v>44931</v>
      </c>
      <c r="I671" s="1">
        <f t="shared" si="65"/>
        <v>44931</v>
      </c>
      <c r="J671" s="2">
        <v>52.3</v>
      </c>
      <c r="K671" s="2">
        <v>222.33</v>
      </c>
      <c r="L671" t="s">
        <v>15</v>
      </c>
      <c r="M671" s="2">
        <v>1435</v>
      </c>
      <c r="N671" s="2">
        <v>3</v>
      </c>
      <c r="O671" s="2">
        <f t="shared" si="62"/>
        <v>478.33333333333331</v>
      </c>
      <c r="P671" s="2">
        <f t="shared" si="63"/>
        <v>2.1514565435763653</v>
      </c>
      <c r="Q671" s="3">
        <f t="shared" si="64"/>
        <v>0.15493379790940767</v>
      </c>
    </row>
    <row r="672" spans="1:17" hidden="1" x14ac:dyDescent="0.25">
      <c r="A672" t="s">
        <v>732</v>
      </c>
      <c r="B672" t="s">
        <v>39</v>
      </c>
      <c r="C672" t="s">
        <v>40</v>
      </c>
      <c r="D672" t="str">
        <f t="shared" si="60"/>
        <v>MI</v>
      </c>
      <c r="E672" t="str">
        <f t="shared" si="61"/>
        <v>Midwest</v>
      </c>
      <c r="F672" t="s">
        <v>18</v>
      </c>
      <c r="G672" s="1">
        <v>44985</v>
      </c>
      <c r="H672" s="1">
        <v>44986</v>
      </c>
      <c r="I672" s="1">
        <f t="shared" si="65"/>
        <v>44986</v>
      </c>
      <c r="J672" s="2">
        <v>14.6</v>
      </c>
      <c r="K672" s="2">
        <v>58.01</v>
      </c>
      <c r="L672" t="s">
        <v>15</v>
      </c>
      <c r="M672" s="2">
        <v>265</v>
      </c>
      <c r="N672" s="2">
        <v>1</v>
      </c>
      <c r="O672" s="2">
        <f t="shared" si="62"/>
        <v>265</v>
      </c>
      <c r="P672" s="2">
        <f t="shared" si="63"/>
        <v>4.5681779003620067</v>
      </c>
      <c r="Q672" s="3">
        <f t="shared" si="64"/>
        <v>0.21890566037735848</v>
      </c>
    </row>
    <row r="673" spans="1:17" hidden="1" x14ac:dyDescent="0.25">
      <c r="A673" t="s">
        <v>733</v>
      </c>
      <c r="B673" t="s">
        <v>51</v>
      </c>
      <c r="C673" t="s">
        <v>17</v>
      </c>
      <c r="D673" t="str">
        <f t="shared" si="60"/>
        <v>GA</v>
      </c>
      <c r="E673" t="str">
        <f t="shared" si="61"/>
        <v>Southeast</v>
      </c>
      <c r="F673" t="s">
        <v>32</v>
      </c>
      <c r="G673" s="1">
        <v>44999</v>
      </c>
      <c r="H673" s="1">
        <v>45002</v>
      </c>
      <c r="I673" s="1">
        <f t="shared" si="65"/>
        <v>45002</v>
      </c>
      <c r="J673" s="2">
        <v>36.799999999999997</v>
      </c>
      <c r="K673" s="2">
        <v>166.16</v>
      </c>
      <c r="L673" t="s">
        <v>15</v>
      </c>
      <c r="M673" s="2">
        <v>870</v>
      </c>
      <c r="N673" s="2">
        <v>3</v>
      </c>
      <c r="O673" s="2">
        <f t="shared" si="62"/>
        <v>290</v>
      </c>
      <c r="P673" s="2">
        <f t="shared" si="63"/>
        <v>1.745305729417429</v>
      </c>
      <c r="Q673" s="3">
        <f t="shared" si="64"/>
        <v>0.19098850574712642</v>
      </c>
    </row>
    <row r="674" spans="1:17" x14ac:dyDescent="0.25">
      <c r="A674" t="s">
        <v>734</v>
      </c>
      <c r="B674" t="s">
        <v>23</v>
      </c>
      <c r="C674" t="s">
        <v>36</v>
      </c>
      <c r="D674" t="str">
        <f t="shared" si="60"/>
        <v>OR</v>
      </c>
      <c r="E674" t="str">
        <f t="shared" si="61"/>
        <v>West</v>
      </c>
      <c r="F674" t="s">
        <v>42</v>
      </c>
      <c r="G674" s="1">
        <v>45255</v>
      </c>
      <c r="H674" s="1">
        <v>45261</v>
      </c>
      <c r="I674" s="1">
        <f t="shared" si="65"/>
        <v>45261</v>
      </c>
      <c r="J674" s="2">
        <v>25.8</v>
      </c>
      <c r="K674" s="2">
        <v>319.08999999999997</v>
      </c>
      <c r="L674" t="s">
        <v>60</v>
      </c>
      <c r="M674" s="2">
        <v>2008</v>
      </c>
      <c r="N674" s="2">
        <v>6</v>
      </c>
      <c r="O674" s="2">
        <f t="shared" si="62"/>
        <v>334.66666666666669</v>
      </c>
      <c r="P674" s="2">
        <f t="shared" si="63"/>
        <v>1.0488159035590796</v>
      </c>
      <c r="Q674" s="3">
        <f t="shared" si="64"/>
        <v>0.15890936254980079</v>
      </c>
    </row>
    <row r="675" spans="1:17" hidden="1" x14ac:dyDescent="0.25">
      <c r="A675" t="s">
        <v>735</v>
      </c>
      <c r="B675" t="s">
        <v>20</v>
      </c>
      <c r="C675" t="s">
        <v>44</v>
      </c>
      <c r="D675" t="str">
        <f t="shared" si="60"/>
        <v>IL</v>
      </c>
      <c r="E675" t="str">
        <f t="shared" si="61"/>
        <v>Midwest</v>
      </c>
      <c r="F675" t="s">
        <v>59</v>
      </c>
      <c r="G675" s="1">
        <v>45096</v>
      </c>
      <c r="H675" s="1">
        <v>45099</v>
      </c>
      <c r="I675" s="1">
        <f t="shared" si="65"/>
        <v>45099</v>
      </c>
      <c r="J675" s="2">
        <v>17.5</v>
      </c>
      <c r="K675" s="2">
        <v>165.72</v>
      </c>
      <c r="L675" t="s">
        <v>15</v>
      </c>
      <c r="M675" s="2">
        <v>1305</v>
      </c>
      <c r="N675" s="2">
        <v>3</v>
      </c>
      <c r="O675" s="2">
        <f t="shared" si="62"/>
        <v>435</v>
      </c>
      <c r="P675" s="2">
        <f t="shared" si="63"/>
        <v>2.6249094858797974</v>
      </c>
      <c r="Q675" s="3">
        <f t="shared" si="64"/>
        <v>0.12698850574712645</v>
      </c>
    </row>
    <row r="676" spans="1:17" x14ac:dyDescent="0.25">
      <c r="A676" t="s">
        <v>736</v>
      </c>
      <c r="B676" t="s">
        <v>27</v>
      </c>
      <c r="C676" t="s">
        <v>36</v>
      </c>
      <c r="D676" t="str">
        <f t="shared" si="60"/>
        <v>OR</v>
      </c>
      <c r="E676" t="str">
        <f t="shared" si="61"/>
        <v>West</v>
      </c>
      <c r="F676" t="s">
        <v>25</v>
      </c>
      <c r="G676" s="1">
        <v>45225</v>
      </c>
      <c r="H676" s="1">
        <v>45229</v>
      </c>
      <c r="I676" s="1">
        <f t="shared" si="65"/>
        <v>45229</v>
      </c>
      <c r="J676" s="2">
        <v>50.1</v>
      </c>
      <c r="K676" s="2">
        <v>282.69</v>
      </c>
      <c r="L676" t="s">
        <v>15</v>
      </c>
      <c r="M676" s="2">
        <v>1646</v>
      </c>
      <c r="N676" s="2">
        <v>4</v>
      </c>
      <c r="O676" s="2">
        <f t="shared" si="62"/>
        <v>411.5</v>
      </c>
      <c r="P676" s="2">
        <f t="shared" si="63"/>
        <v>1.4556581414270049</v>
      </c>
      <c r="Q676" s="3">
        <f t="shared" si="64"/>
        <v>0.17174362089914946</v>
      </c>
    </row>
    <row r="677" spans="1:17" hidden="1" x14ac:dyDescent="0.25">
      <c r="A677" t="s">
        <v>737</v>
      </c>
      <c r="B677" t="s">
        <v>35</v>
      </c>
      <c r="C677" t="s">
        <v>17</v>
      </c>
      <c r="D677" t="str">
        <f t="shared" si="60"/>
        <v>GA</v>
      </c>
      <c r="E677" t="str">
        <f t="shared" si="61"/>
        <v>Southeast</v>
      </c>
      <c r="F677" t="s">
        <v>42</v>
      </c>
      <c r="G677" s="1">
        <v>45001</v>
      </c>
      <c r="H677" s="1">
        <v>45006</v>
      </c>
      <c r="I677" s="1">
        <f t="shared" si="65"/>
        <v>45006</v>
      </c>
      <c r="J677" s="2">
        <v>54</v>
      </c>
      <c r="K677" s="2">
        <v>326.08</v>
      </c>
      <c r="L677" t="s">
        <v>15</v>
      </c>
      <c r="M677" s="2">
        <v>2448</v>
      </c>
      <c r="N677" s="2">
        <v>5</v>
      </c>
      <c r="O677" s="2">
        <f t="shared" si="62"/>
        <v>489.6</v>
      </c>
      <c r="P677" s="2">
        <f t="shared" si="63"/>
        <v>1.5014720314033367</v>
      </c>
      <c r="Q677" s="3">
        <f t="shared" si="64"/>
        <v>0.13320261437908495</v>
      </c>
    </row>
    <row r="678" spans="1:17" hidden="1" x14ac:dyDescent="0.25">
      <c r="A678" t="s">
        <v>738</v>
      </c>
      <c r="B678" t="s">
        <v>23</v>
      </c>
      <c r="C678" t="s">
        <v>28</v>
      </c>
      <c r="D678" t="str">
        <f t="shared" si="60"/>
        <v>TX</v>
      </c>
      <c r="E678" t="str">
        <f t="shared" si="61"/>
        <v>Southwest</v>
      </c>
      <c r="F678" t="s">
        <v>18</v>
      </c>
      <c r="G678" s="1">
        <v>44940</v>
      </c>
      <c r="H678" s="1">
        <v>44944</v>
      </c>
      <c r="I678" s="1">
        <f t="shared" si="65"/>
        <v>44944</v>
      </c>
      <c r="J678" s="2">
        <v>9.6</v>
      </c>
      <c r="K678" s="2">
        <v>243.91</v>
      </c>
      <c r="L678" t="s">
        <v>15</v>
      </c>
      <c r="M678" s="2">
        <v>1854</v>
      </c>
      <c r="N678" s="2">
        <v>4</v>
      </c>
      <c r="O678" s="2">
        <f t="shared" si="62"/>
        <v>463.5</v>
      </c>
      <c r="P678" s="2">
        <f t="shared" si="63"/>
        <v>1.9002910909761799</v>
      </c>
      <c r="Q678" s="3">
        <f t="shared" si="64"/>
        <v>0.13155879180151026</v>
      </c>
    </row>
    <row r="679" spans="1:17" hidden="1" x14ac:dyDescent="0.25">
      <c r="A679" t="s">
        <v>739</v>
      </c>
      <c r="B679" t="s">
        <v>23</v>
      </c>
      <c r="C679" t="s">
        <v>57</v>
      </c>
      <c r="D679" t="str">
        <f t="shared" si="60"/>
        <v>MN</v>
      </c>
      <c r="E679" t="str">
        <f t="shared" si="61"/>
        <v>Midwest</v>
      </c>
      <c r="F679" t="s">
        <v>37</v>
      </c>
      <c r="G679" s="1">
        <v>45084</v>
      </c>
      <c r="H679" s="1">
        <v>45087</v>
      </c>
      <c r="I679" s="1">
        <f t="shared" si="65"/>
        <v>45087</v>
      </c>
      <c r="J679" s="2">
        <v>14.5</v>
      </c>
      <c r="K679" s="2">
        <v>174.22</v>
      </c>
      <c r="L679" t="s">
        <v>15</v>
      </c>
      <c r="M679" s="2">
        <v>1208</v>
      </c>
      <c r="N679" s="2">
        <v>3</v>
      </c>
      <c r="O679" s="2">
        <f t="shared" si="62"/>
        <v>402.66666666666669</v>
      </c>
      <c r="P679" s="2">
        <f t="shared" si="63"/>
        <v>2.311253970076149</v>
      </c>
      <c r="Q679" s="3">
        <f t="shared" si="64"/>
        <v>0.14422185430463577</v>
      </c>
    </row>
    <row r="680" spans="1:17" hidden="1" x14ac:dyDescent="0.25">
      <c r="A680" t="s">
        <v>740</v>
      </c>
      <c r="B680" t="s">
        <v>12</v>
      </c>
      <c r="C680" t="s">
        <v>28</v>
      </c>
      <c r="D680" t="str">
        <f t="shared" si="60"/>
        <v>TX</v>
      </c>
      <c r="E680" t="str">
        <f t="shared" si="61"/>
        <v>Southwest</v>
      </c>
      <c r="F680" t="s">
        <v>59</v>
      </c>
      <c r="G680" s="1">
        <v>44941</v>
      </c>
      <c r="H680" s="1">
        <v>44945</v>
      </c>
      <c r="I680" s="1">
        <f t="shared" si="65"/>
        <v>44945</v>
      </c>
      <c r="J680" s="2">
        <v>14.5</v>
      </c>
      <c r="K680" s="2">
        <v>230.05</v>
      </c>
      <c r="L680" t="s">
        <v>15</v>
      </c>
      <c r="M680" s="2">
        <v>1753</v>
      </c>
      <c r="N680" s="2">
        <v>4</v>
      </c>
      <c r="O680" s="2">
        <f t="shared" si="62"/>
        <v>438.25</v>
      </c>
      <c r="P680" s="2">
        <f t="shared" si="63"/>
        <v>1.9050206476852858</v>
      </c>
      <c r="Q680" s="3">
        <f t="shared" si="64"/>
        <v>0.13123217341699944</v>
      </c>
    </row>
    <row r="681" spans="1:17" hidden="1" x14ac:dyDescent="0.25">
      <c r="A681" t="s">
        <v>741</v>
      </c>
      <c r="B681" t="s">
        <v>12</v>
      </c>
      <c r="C681" t="s">
        <v>44</v>
      </c>
      <c r="D681" t="str">
        <f t="shared" si="60"/>
        <v>IL</v>
      </c>
      <c r="E681" t="str">
        <f t="shared" si="61"/>
        <v>Midwest</v>
      </c>
      <c r="F681" t="s">
        <v>59</v>
      </c>
      <c r="G681" s="1">
        <v>45002</v>
      </c>
      <c r="H681" s="1">
        <v>45019</v>
      </c>
      <c r="I681" s="1">
        <f t="shared" si="65"/>
        <v>45019</v>
      </c>
      <c r="J681" s="2">
        <v>3.1</v>
      </c>
      <c r="K681" s="2">
        <v>124.09</v>
      </c>
      <c r="L681" t="s">
        <v>47</v>
      </c>
      <c r="M681" s="2">
        <v>1098</v>
      </c>
      <c r="N681" s="2">
        <v>6</v>
      </c>
      <c r="O681" s="2">
        <f t="shared" si="62"/>
        <v>183</v>
      </c>
      <c r="P681" s="2">
        <f t="shared" si="63"/>
        <v>1.4747360786525909</v>
      </c>
      <c r="Q681" s="3">
        <f t="shared" si="64"/>
        <v>0.11301457194899818</v>
      </c>
    </row>
    <row r="682" spans="1:17" x14ac:dyDescent="0.25">
      <c r="A682" t="s">
        <v>742</v>
      </c>
      <c r="B682" t="s">
        <v>56</v>
      </c>
      <c r="C682" t="s">
        <v>81</v>
      </c>
      <c r="D682" t="str">
        <f t="shared" si="60"/>
        <v>CO</v>
      </c>
      <c r="E682" t="str">
        <f t="shared" si="61"/>
        <v>West</v>
      </c>
      <c r="F682" t="s">
        <v>32</v>
      </c>
      <c r="G682" s="1">
        <v>44973</v>
      </c>
      <c r="H682" s="1">
        <v>44978</v>
      </c>
      <c r="I682" s="1">
        <f t="shared" si="65"/>
        <v>44978</v>
      </c>
      <c r="J682" s="2">
        <v>108.4</v>
      </c>
      <c r="K682" s="2">
        <v>397.96</v>
      </c>
      <c r="L682" t="s">
        <v>15</v>
      </c>
      <c r="M682" s="2">
        <v>1964</v>
      </c>
      <c r="N682" s="2">
        <v>5</v>
      </c>
      <c r="O682" s="2">
        <f t="shared" si="62"/>
        <v>392.8</v>
      </c>
      <c r="P682" s="2">
        <f t="shared" si="63"/>
        <v>0.98703387275103038</v>
      </c>
      <c r="Q682" s="3">
        <f t="shared" si="64"/>
        <v>0.20262729124236251</v>
      </c>
    </row>
    <row r="683" spans="1:17" hidden="1" x14ac:dyDescent="0.25">
      <c r="A683" t="s">
        <v>743</v>
      </c>
      <c r="B683" t="s">
        <v>56</v>
      </c>
      <c r="C683" t="s">
        <v>21</v>
      </c>
      <c r="D683" t="str">
        <f t="shared" si="60"/>
        <v>TX</v>
      </c>
      <c r="E683" t="str">
        <f t="shared" si="61"/>
        <v>Southwest</v>
      </c>
      <c r="F683" t="s">
        <v>37</v>
      </c>
      <c r="G683" s="1">
        <v>45092</v>
      </c>
      <c r="H683" s="1">
        <v>45097</v>
      </c>
      <c r="I683" s="1">
        <f t="shared" si="65"/>
        <v>45097</v>
      </c>
      <c r="J683" s="2">
        <v>26.6</v>
      </c>
      <c r="K683" s="2">
        <v>231.19</v>
      </c>
      <c r="L683" t="s">
        <v>15</v>
      </c>
      <c r="M683" s="2">
        <v>1615</v>
      </c>
      <c r="N683" s="2">
        <v>5</v>
      </c>
      <c r="O683" s="2">
        <f t="shared" si="62"/>
        <v>323</v>
      </c>
      <c r="P683" s="2">
        <f t="shared" si="63"/>
        <v>1.3971192525628271</v>
      </c>
      <c r="Q683" s="3">
        <f t="shared" si="64"/>
        <v>0.1431517027863777</v>
      </c>
    </row>
    <row r="684" spans="1:17" hidden="1" x14ac:dyDescent="0.25">
      <c r="A684" t="s">
        <v>744</v>
      </c>
      <c r="B684" t="s">
        <v>51</v>
      </c>
      <c r="C684" t="s">
        <v>17</v>
      </c>
      <c r="D684" t="str">
        <f t="shared" si="60"/>
        <v>GA</v>
      </c>
      <c r="E684" t="str">
        <f t="shared" si="61"/>
        <v>Southeast</v>
      </c>
      <c r="F684" t="s">
        <v>32</v>
      </c>
      <c r="G684" s="1">
        <v>45249</v>
      </c>
      <c r="H684" s="1">
        <v>45252</v>
      </c>
      <c r="I684" s="1">
        <f t="shared" si="65"/>
        <v>45252</v>
      </c>
      <c r="J684" s="2">
        <v>7.2</v>
      </c>
      <c r="K684" s="2">
        <v>158.85</v>
      </c>
      <c r="L684" t="s">
        <v>15</v>
      </c>
      <c r="M684" s="2">
        <v>870</v>
      </c>
      <c r="N684" s="2">
        <v>3</v>
      </c>
      <c r="O684" s="2">
        <f t="shared" si="62"/>
        <v>290</v>
      </c>
      <c r="P684" s="2">
        <f t="shared" si="63"/>
        <v>1.8256216556499842</v>
      </c>
      <c r="Q684" s="3">
        <f t="shared" si="64"/>
        <v>0.18258620689655172</v>
      </c>
    </row>
    <row r="685" spans="1:17" hidden="1" x14ac:dyDescent="0.25">
      <c r="A685" t="s">
        <v>745</v>
      </c>
      <c r="B685" t="s">
        <v>27</v>
      </c>
      <c r="C685" t="s">
        <v>40</v>
      </c>
      <c r="D685" t="str">
        <f t="shared" si="60"/>
        <v>MI</v>
      </c>
      <c r="E685" t="str">
        <f t="shared" si="61"/>
        <v>Midwest</v>
      </c>
      <c r="F685" t="s">
        <v>18</v>
      </c>
      <c r="G685" s="1">
        <v>45016</v>
      </c>
      <c r="H685" s="1">
        <v>45017</v>
      </c>
      <c r="I685" s="1">
        <f t="shared" si="65"/>
        <v>45017</v>
      </c>
      <c r="J685" s="2">
        <v>17.100000000000001</v>
      </c>
      <c r="K685" s="2">
        <v>34.450000000000003</v>
      </c>
      <c r="L685" t="s">
        <v>15</v>
      </c>
      <c r="M685" s="2">
        <v>105</v>
      </c>
      <c r="N685" s="2">
        <v>1</v>
      </c>
      <c r="O685" s="2">
        <f t="shared" si="62"/>
        <v>105</v>
      </c>
      <c r="P685" s="2">
        <f t="shared" si="63"/>
        <v>3.0478955007256889</v>
      </c>
      <c r="Q685" s="3">
        <f t="shared" si="64"/>
        <v>0.32809523809523811</v>
      </c>
    </row>
    <row r="686" spans="1:17" hidden="1" x14ac:dyDescent="0.25">
      <c r="A686" t="s">
        <v>746</v>
      </c>
      <c r="B686" t="s">
        <v>27</v>
      </c>
      <c r="C686" t="s">
        <v>17</v>
      </c>
      <c r="D686" t="str">
        <f t="shared" si="60"/>
        <v>GA</v>
      </c>
      <c r="E686" t="str">
        <f t="shared" si="61"/>
        <v>Southeast</v>
      </c>
      <c r="F686" t="s">
        <v>14</v>
      </c>
      <c r="G686" s="1">
        <v>44944</v>
      </c>
      <c r="H686" s="1">
        <v>44946</v>
      </c>
      <c r="I686" s="1">
        <f t="shared" si="65"/>
        <v>44946</v>
      </c>
      <c r="J686" s="2">
        <v>21.9</v>
      </c>
      <c r="K686" s="2">
        <v>83.7</v>
      </c>
      <c r="L686" t="s">
        <v>15</v>
      </c>
      <c r="M686" s="2">
        <v>472</v>
      </c>
      <c r="N686" s="2">
        <v>2</v>
      </c>
      <c r="O686" s="2">
        <f t="shared" si="62"/>
        <v>236</v>
      </c>
      <c r="P686" s="2">
        <f t="shared" si="63"/>
        <v>2.8195937873357226</v>
      </c>
      <c r="Q686" s="3">
        <f t="shared" si="64"/>
        <v>0.17733050847457626</v>
      </c>
    </row>
    <row r="687" spans="1:17" hidden="1" x14ac:dyDescent="0.25">
      <c r="A687" t="s">
        <v>747</v>
      </c>
      <c r="B687" t="s">
        <v>39</v>
      </c>
      <c r="C687" t="s">
        <v>28</v>
      </c>
      <c r="D687" t="str">
        <f t="shared" si="60"/>
        <v>TX</v>
      </c>
      <c r="E687" t="str">
        <f t="shared" si="61"/>
        <v>Southwest</v>
      </c>
      <c r="F687" t="s">
        <v>14</v>
      </c>
      <c r="G687" s="1">
        <v>44985</v>
      </c>
      <c r="H687" s="1">
        <v>44990</v>
      </c>
      <c r="I687" s="1">
        <f t="shared" si="65"/>
        <v>44990</v>
      </c>
      <c r="J687" s="2">
        <v>78.2</v>
      </c>
      <c r="K687" s="2">
        <v>195.05</v>
      </c>
      <c r="L687" t="s">
        <v>47</v>
      </c>
      <c r="M687" s="2">
        <v>860</v>
      </c>
      <c r="N687" s="2">
        <v>3</v>
      </c>
      <c r="O687" s="2">
        <f t="shared" si="62"/>
        <v>286.66666666666669</v>
      </c>
      <c r="P687" s="2">
        <f t="shared" si="63"/>
        <v>1.4697086217209263</v>
      </c>
      <c r="Q687" s="3">
        <f t="shared" si="64"/>
        <v>0.22680232558139538</v>
      </c>
    </row>
    <row r="688" spans="1:17" x14ac:dyDescent="0.25">
      <c r="A688" t="s">
        <v>748</v>
      </c>
      <c r="B688" t="s">
        <v>30</v>
      </c>
      <c r="C688" t="s">
        <v>24</v>
      </c>
      <c r="D688" t="str">
        <f t="shared" si="60"/>
        <v>WA</v>
      </c>
      <c r="E688" t="str">
        <f t="shared" si="61"/>
        <v>West</v>
      </c>
      <c r="F688" t="s">
        <v>42</v>
      </c>
      <c r="G688" s="1">
        <v>44930</v>
      </c>
      <c r="H688" s="1">
        <v>44933</v>
      </c>
      <c r="I688" s="1">
        <f t="shared" si="65"/>
        <v>44933</v>
      </c>
      <c r="J688" s="2">
        <v>14.5</v>
      </c>
      <c r="K688" s="2">
        <v>83.98</v>
      </c>
      <c r="L688" t="s">
        <v>15</v>
      </c>
      <c r="M688" s="2">
        <v>530</v>
      </c>
      <c r="N688" s="2">
        <v>3</v>
      </c>
      <c r="O688" s="2">
        <f t="shared" si="62"/>
        <v>176.66666666666666</v>
      </c>
      <c r="P688" s="2">
        <f t="shared" si="63"/>
        <v>2.1036754782884812</v>
      </c>
      <c r="Q688" s="3">
        <f t="shared" si="64"/>
        <v>0.15845283018867926</v>
      </c>
    </row>
    <row r="689" spans="1:17" x14ac:dyDescent="0.25">
      <c r="A689" t="s">
        <v>749</v>
      </c>
      <c r="B689" t="s">
        <v>49</v>
      </c>
      <c r="C689" t="s">
        <v>24</v>
      </c>
      <c r="D689" t="str">
        <f t="shared" si="60"/>
        <v>WA</v>
      </c>
      <c r="E689" t="str">
        <f t="shared" si="61"/>
        <v>West</v>
      </c>
      <c r="F689" t="s">
        <v>14</v>
      </c>
      <c r="G689" s="1">
        <v>45185</v>
      </c>
      <c r="H689" s="1">
        <v>45189</v>
      </c>
      <c r="I689" s="1">
        <f t="shared" si="65"/>
        <v>45189</v>
      </c>
      <c r="J689" s="2">
        <v>17.7</v>
      </c>
      <c r="K689" s="2">
        <v>198.87</v>
      </c>
      <c r="L689" t="s">
        <v>15</v>
      </c>
      <c r="M689" s="2">
        <v>1498</v>
      </c>
      <c r="N689" s="2">
        <v>4</v>
      </c>
      <c r="O689" s="2">
        <f t="shared" si="62"/>
        <v>374.5</v>
      </c>
      <c r="P689" s="2">
        <f t="shared" si="63"/>
        <v>1.8831397395283351</v>
      </c>
      <c r="Q689" s="3">
        <f t="shared" si="64"/>
        <v>0.1327570093457944</v>
      </c>
    </row>
    <row r="690" spans="1:17" x14ac:dyDescent="0.25">
      <c r="A690" t="s">
        <v>750</v>
      </c>
      <c r="B690" t="s">
        <v>35</v>
      </c>
      <c r="C690" t="s">
        <v>36</v>
      </c>
      <c r="D690" t="str">
        <f t="shared" si="60"/>
        <v>OR</v>
      </c>
      <c r="E690" t="str">
        <f t="shared" si="61"/>
        <v>West</v>
      </c>
      <c r="F690" t="s">
        <v>25</v>
      </c>
      <c r="G690" s="1">
        <v>44962</v>
      </c>
      <c r="H690" s="1">
        <v>44963</v>
      </c>
      <c r="I690" s="1">
        <f t="shared" si="65"/>
        <v>44963</v>
      </c>
      <c r="J690" s="2">
        <v>14.1</v>
      </c>
      <c r="K690" s="2">
        <v>33.49</v>
      </c>
      <c r="L690" t="s">
        <v>15</v>
      </c>
      <c r="M690" s="2">
        <v>154</v>
      </c>
      <c r="N690" s="2">
        <v>1</v>
      </c>
      <c r="O690" s="2">
        <f t="shared" si="62"/>
        <v>154</v>
      </c>
      <c r="P690" s="2">
        <f t="shared" si="63"/>
        <v>4.5983875783816064</v>
      </c>
      <c r="Q690" s="3">
        <f t="shared" si="64"/>
        <v>0.21746753246753248</v>
      </c>
    </row>
    <row r="691" spans="1:17" hidden="1" x14ac:dyDescent="0.25">
      <c r="A691" t="s">
        <v>751</v>
      </c>
      <c r="B691" t="s">
        <v>30</v>
      </c>
      <c r="C691" t="s">
        <v>44</v>
      </c>
      <c r="D691" t="str">
        <f t="shared" si="60"/>
        <v>IL</v>
      </c>
      <c r="E691" t="str">
        <f t="shared" si="61"/>
        <v>Midwest</v>
      </c>
      <c r="F691" t="s">
        <v>59</v>
      </c>
      <c r="G691" s="1">
        <v>45165</v>
      </c>
      <c r="H691" s="1">
        <v>45166</v>
      </c>
      <c r="I691" s="1">
        <f t="shared" si="65"/>
        <v>45166</v>
      </c>
      <c r="J691" s="2">
        <v>6.7</v>
      </c>
      <c r="K691" s="2">
        <v>52</v>
      </c>
      <c r="L691" t="s">
        <v>15</v>
      </c>
      <c r="M691" s="2">
        <v>357</v>
      </c>
      <c r="N691" s="2">
        <v>1</v>
      </c>
      <c r="O691" s="2">
        <f t="shared" si="62"/>
        <v>357</v>
      </c>
      <c r="P691" s="2">
        <f t="shared" si="63"/>
        <v>6.865384615384615</v>
      </c>
      <c r="Q691" s="3">
        <f t="shared" si="64"/>
        <v>0.14565826330532214</v>
      </c>
    </row>
    <row r="692" spans="1:17" x14ac:dyDescent="0.25">
      <c r="A692" t="s">
        <v>752</v>
      </c>
      <c r="B692" t="s">
        <v>23</v>
      </c>
      <c r="C692" t="s">
        <v>13</v>
      </c>
      <c r="D692" t="str">
        <f t="shared" si="60"/>
        <v>CA</v>
      </c>
      <c r="E692" t="str">
        <f t="shared" si="61"/>
        <v>West</v>
      </c>
      <c r="F692" t="s">
        <v>32</v>
      </c>
      <c r="G692" s="1">
        <v>45063</v>
      </c>
      <c r="H692" s="1">
        <v>45068</v>
      </c>
      <c r="I692" s="1">
        <f t="shared" si="65"/>
        <v>45068</v>
      </c>
      <c r="J692" s="2">
        <v>11.9</v>
      </c>
      <c r="K692" s="2">
        <v>34.31</v>
      </c>
      <c r="L692" t="s">
        <v>15</v>
      </c>
      <c r="M692" s="2">
        <v>2440</v>
      </c>
      <c r="N692" s="2">
        <v>5</v>
      </c>
      <c r="O692" s="2">
        <f t="shared" si="62"/>
        <v>488</v>
      </c>
      <c r="P692" s="2">
        <f t="shared" si="63"/>
        <v>14.223258525211307</v>
      </c>
      <c r="Q692" s="3">
        <f t="shared" si="64"/>
        <v>1.4061475409836066E-2</v>
      </c>
    </row>
    <row r="693" spans="1:17" x14ac:dyDescent="0.25">
      <c r="A693" t="s">
        <v>753</v>
      </c>
      <c r="B693" t="s">
        <v>51</v>
      </c>
      <c r="C693" t="s">
        <v>36</v>
      </c>
      <c r="D693" t="str">
        <f t="shared" ref="D693:D754" si="66">IF(C693="Atlanta","GA",
IF(C693="Boston","MA",
IF(C693="Chicago","IL",
IF(C693="Dallas","TX",
IF(C693="Denver","CO",
IF(C693="Detroit","MI",
IF(C693="Houston","TX",
IF(C693="Los Angeles","CA",
IF(C693="Miami","FL",
IF(C693="Minneapolis","MN",
IF(C693="New York","NY",
IF(C693="Phoenix","AZ",
IF(C693="Portland","OR",
IF(C693="San Francisco","CA",
IF(C693="Seattle","WA","Unknown")))))))))))))))</f>
        <v>OR</v>
      </c>
      <c r="E693" t="str">
        <f t="shared" ref="E693:E754" si="67">IF(OR(D693="NY",D693="NJ",D693="PA",D693="MA",D693="CT",D693="RI",D693="VT",D693="NH",D693="ME"),"Northeast",
IF(OR(D693="FL",D693="GA",D693="AL",D693="MS",D693="SC",D693="NC",D693="TN",D693="KY"),"Southeast",
IF(OR(D693="IL",D693="IN",D693="OH",D693="MI",D693="WI",D693="MN",D693="IA",D693="MO",D693="KS",D693="NE",D693="ND",D693="SD"),"Midwest",
IF(OR(D693="TX",D693="OK",D693="NM",D693="AZ"),"Southwest",
IF(OR(D693="CA",D693="OR",D693="WA",D693="NV",D693="CO",D693="UT",D693="ID",D693="MT",D693="WY",D693="AK",D693="HI"),"West","Other")))))</f>
        <v>West</v>
      </c>
      <c r="F693" t="s">
        <v>14</v>
      </c>
      <c r="G693" s="1">
        <v>45245</v>
      </c>
      <c r="H693" s="1">
        <v>45250</v>
      </c>
      <c r="I693" s="1">
        <f t="shared" si="65"/>
        <v>45250</v>
      </c>
      <c r="J693" s="2">
        <v>60.4</v>
      </c>
      <c r="K693" s="2">
        <v>370.75</v>
      </c>
      <c r="L693" t="s">
        <v>15</v>
      </c>
      <c r="M693" s="2">
        <v>1846</v>
      </c>
      <c r="N693" s="2">
        <v>5</v>
      </c>
      <c r="O693" s="2">
        <f t="shared" ref="O693:O754" si="68">M693/N693</f>
        <v>369.2</v>
      </c>
      <c r="P693" s="2">
        <f t="shared" ref="P693:P754" si="69">O693/K693</f>
        <v>0.99581928523263652</v>
      </c>
      <c r="Q693" s="3">
        <f t="shared" ref="Q693:Q754" si="70">K693/M693</f>
        <v>0.20083965330444203</v>
      </c>
    </row>
    <row r="694" spans="1:17" hidden="1" x14ac:dyDescent="0.25">
      <c r="A694" t="s">
        <v>754</v>
      </c>
      <c r="B694" t="s">
        <v>51</v>
      </c>
      <c r="C694" t="s">
        <v>40</v>
      </c>
      <c r="D694" t="str">
        <f t="shared" si="66"/>
        <v>MI</v>
      </c>
      <c r="E694" t="str">
        <f t="shared" si="67"/>
        <v>Midwest</v>
      </c>
      <c r="F694" t="s">
        <v>59</v>
      </c>
      <c r="G694" s="1">
        <v>45129</v>
      </c>
      <c r="H694" s="1">
        <v>45132</v>
      </c>
      <c r="I694" s="1">
        <f t="shared" si="65"/>
        <v>45132</v>
      </c>
      <c r="J694" s="2">
        <v>12.6</v>
      </c>
      <c r="K694" s="2">
        <v>75.73</v>
      </c>
      <c r="L694" t="s">
        <v>15</v>
      </c>
      <c r="M694" s="2">
        <v>497</v>
      </c>
      <c r="N694" s="2">
        <v>3</v>
      </c>
      <c r="O694" s="2">
        <f t="shared" si="68"/>
        <v>165.66666666666666</v>
      </c>
      <c r="P694" s="2">
        <f t="shared" si="69"/>
        <v>2.187596285047757</v>
      </c>
      <c r="Q694" s="3">
        <f t="shared" si="70"/>
        <v>0.15237424547283704</v>
      </c>
    </row>
    <row r="695" spans="1:17" hidden="1" x14ac:dyDescent="0.25">
      <c r="A695" t="s">
        <v>755</v>
      </c>
      <c r="B695" t="s">
        <v>23</v>
      </c>
      <c r="C695" t="s">
        <v>21</v>
      </c>
      <c r="D695" t="str">
        <f t="shared" si="66"/>
        <v>TX</v>
      </c>
      <c r="E695" t="str">
        <f t="shared" si="67"/>
        <v>Southwest</v>
      </c>
      <c r="F695" t="s">
        <v>18</v>
      </c>
      <c r="G695" s="1">
        <v>45044</v>
      </c>
      <c r="H695" s="1">
        <v>45047</v>
      </c>
      <c r="I695" s="1">
        <f t="shared" si="65"/>
        <v>45047</v>
      </c>
      <c r="J695" s="2">
        <v>43.8</v>
      </c>
      <c r="K695" s="2">
        <v>143.51</v>
      </c>
      <c r="L695" t="s">
        <v>15</v>
      </c>
      <c r="M695" s="2">
        <v>632</v>
      </c>
      <c r="N695" s="2">
        <v>3</v>
      </c>
      <c r="O695" s="2">
        <f t="shared" si="68"/>
        <v>210.66666666666666</v>
      </c>
      <c r="P695" s="2">
        <f t="shared" si="69"/>
        <v>1.4679580981580842</v>
      </c>
      <c r="Q695" s="3">
        <f t="shared" si="70"/>
        <v>0.22707278481012658</v>
      </c>
    </row>
    <row r="696" spans="1:17" x14ac:dyDescent="0.25">
      <c r="A696" t="s">
        <v>756</v>
      </c>
      <c r="B696" t="s">
        <v>49</v>
      </c>
      <c r="C696" t="s">
        <v>81</v>
      </c>
      <c r="D696" t="str">
        <f t="shared" si="66"/>
        <v>CO</v>
      </c>
      <c r="E696" t="str">
        <f t="shared" si="67"/>
        <v>West</v>
      </c>
      <c r="F696" t="s">
        <v>25</v>
      </c>
      <c r="G696" s="1">
        <v>45260</v>
      </c>
      <c r="I696" s="1">
        <f t="shared" si="65"/>
        <v>45265</v>
      </c>
      <c r="J696" s="2">
        <v>17</v>
      </c>
      <c r="K696" s="2">
        <v>174.48</v>
      </c>
      <c r="L696" t="s">
        <v>15</v>
      </c>
      <c r="M696" s="2">
        <v>1143</v>
      </c>
      <c r="N696" s="2">
        <v>5</v>
      </c>
      <c r="O696" s="2">
        <f t="shared" si="68"/>
        <v>228.6</v>
      </c>
      <c r="P696" s="2">
        <f t="shared" si="69"/>
        <v>1.3101788170563962</v>
      </c>
      <c r="Q696" s="3">
        <f t="shared" si="70"/>
        <v>0.15265091863517061</v>
      </c>
    </row>
    <row r="697" spans="1:17" hidden="1" x14ac:dyDescent="0.25">
      <c r="A697" t="s">
        <v>757</v>
      </c>
      <c r="B697" t="s">
        <v>56</v>
      </c>
      <c r="C697" t="s">
        <v>46</v>
      </c>
      <c r="D697" t="str">
        <f t="shared" si="66"/>
        <v>MA</v>
      </c>
      <c r="E697" t="str">
        <f t="shared" si="67"/>
        <v>Northeast</v>
      </c>
      <c r="F697" t="s">
        <v>42</v>
      </c>
      <c r="G697" s="1">
        <v>45152</v>
      </c>
      <c r="H697" s="1">
        <v>45156</v>
      </c>
      <c r="I697" s="1">
        <f t="shared" si="65"/>
        <v>45156</v>
      </c>
      <c r="J697" s="2">
        <v>27.5</v>
      </c>
      <c r="K697" s="2">
        <v>172.21</v>
      </c>
      <c r="L697" t="s">
        <v>15</v>
      </c>
      <c r="M697" s="2">
        <v>1086</v>
      </c>
      <c r="N697" s="2">
        <v>4</v>
      </c>
      <c r="O697" s="2">
        <f t="shared" si="68"/>
        <v>271.5</v>
      </c>
      <c r="P697" s="2">
        <f t="shared" si="69"/>
        <v>1.5765634980547005</v>
      </c>
      <c r="Q697" s="3">
        <f t="shared" si="70"/>
        <v>0.15857274401473298</v>
      </c>
    </row>
    <row r="698" spans="1:17" hidden="1" x14ac:dyDescent="0.25">
      <c r="A698" t="s">
        <v>758</v>
      </c>
      <c r="B698" t="s">
        <v>30</v>
      </c>
      <c r="C698" t="s">
        <v>44</v>
      </c>
      <c r="D698" t="str">
        <f t="shared" si="66"/>
        <v>IL</v>
      </c>
      <c r="E698" t="str">
        <f t="shared" si="67"/>
        <v>Midwest</v>
      </c>
      <c r="F698" t="s">
        <v>14</v>
      </c>
      <c r="G698" s="1">
        <v>45260</v>
      </c>
      <c r="H698" s="1">
        <v>45262</v>
      </c>
      <c r="I698" s="1">
        <f t="shared" si="65"/>
        <v>45262</v>
      </c>
      <c r="J698" s="2">
        <v>30.6</v>
      </c>
      <c r="K698" s="2">
        <v>89.12</v>
      </c>
      <c r="L698" t="s">
        <v>15</v>
      </c>
      <c r="M698" s="2">
        <v>284</v>
      </c>
      <c r="N698" s="2">
        <v>2</v>
      </c>
      <c r="O698" s="2">
        <f t="shared" si="68"/>
        <v>142</v>
      </c>
      <c r="P698" s="2">
        <f t="shared" si="69"/>
        <v>1.5933572710951525</v>
      </c>
      <c r="Q698" s="3">
        <f t="shared" si="70"/>
        <v>0.31380281690140849</v>
      </c>
    </row>
    <row r="699" spans="1:17" x14ac:dyDescent="0.25">
      <c r="A699" t="s">
        <v>759</v>
      </c>
      <c r="B699" t="s">
        <v>51</v>
      </c>
      <c r="C699" t="s">
        <v>70</v>
      </c>
      <c r="D699" t="str">
        <f t="shared" si="66"/>
        <v>CA</v>
      </c>
      <c r="E699" t="str">
        <f t="shared" si="67"/>
        <v>West</v>
      </c>
      <c r="F699" t="s">
        <v>42</v>
      </c>
      <c r="G699" s="1">
        <v>45229</v>
      </c>
      <c r="H699" s="1">
        <v>45233</v>
      </c>
      <c r="I699" s="1">
        <f t="shared" si="65"/>
        <v>45233</v>
      </c>
      <c r="J699" s="2">
        <v>139.4</v>
      </c>
      <c r="K699" s="2">
        <v>415.94</v>
      </c>
      <c r="L699" t="s">
        <v>15</v>
      </c>
      <c r="M699" s="2">
        <v>1881</v>
      </c>
      <c r="N699" s="2">
        <v>4</v>
      </c>
      <c r="O699" s="2">
        <f t="shared" si="68"/>
        <v>470.25</v>
      </c>
      <c r="P699" s="2">
        <f t="shared" si="69"/>
        <v>1.1305717170745782</v>
      </c>
      <c r="Q699" s="3">
        <f t="shared" si="70"/>
        <v>0.22112706007442851</v>
      </c>
    </row>
    <row r="700" spans="1:17" hidden="1" x14ac:dyDescent="0.25">
      <c r="A700" t="s">
        <v>760</v>
      </c>
      <c r="B700" t="s">
        <v>20</v>
      </c>
      <c r="C700" t="s">
        <v>40</v>
      </c>
      <c r="D700" t="str">
        <f t="shared" si="66"/>
        <v>MI</v>
      </c>
      <c r="E700" t="str">
        <f t="shared" si="67"/>
        <v>Midwest</v>
      </c>
      <c r="F700" t="s">
        <v>59</v>
      </c>
      <c r="G700" s="1">
        <v>45249</v>
      </c>
      <c r="H700" s="1">
        <v>45256</v>
      </c>
      <c r="I700" s="1">
        <f t="shared" si="65"/>
        <v>45256</v>
      </c>
      <c r="J700" s="2">
        <v>3.8</v>
      </c>
      <c r="K700" s="2">
        <v>206.23</v>
      </c>
      <c r="L700" t="s">
        <v>15</v>
      </c>
      <c r="M700" s="2">
        <v>1465</v>
      </c>
      <c r="N700" s="2">
        <v>7</v>
      </c>
      <c r="O700" s="2">
        <f t="shared" si="68"/>
        <v>209.28571428571428</v>
      </c>
      <c r="P700" s="2">
        <f t="shared" si="69"/>
        <v>1.0148170212176419</v>
      </c>
      <c r="Q700" s="3">
        <f t="shared" si="70"/>
        <v>0.14077133105802048</v>
      </c>
    </row>
    <row r="701" spans="1:17" x14ac:dyDescent="0.25">
      <c r="A701" t="s">
        <v>761</v>
      </c>
      <c r="B701" t="s">
        <v>49</v>
      </c>
      <c r="C701" t="s">
        <v>81</v>
      </c>
      <c r="D701" t="str">
        <f t="shared" si="66"/>
        <v>CO</v>
      </c>
      <c r="E701" t="str">
        <f t="shared" si="67"/>
        <v>West</v>
      </c>
      <c r="F701" t="s">
        <v>14</v>
      </c>
      <c r="G701" s="1">
        <v>44980</v>
      </c>
      <c r="H701" s="1">
        <v>44984</v>
      </c>
      <c r="I701" s="1">
        <f t="shared" si="65"/>
        <v>44984</v>
      </c>
      <c r="J701" s="2">
        <v>24.1</v>
      </c>
      <c r="K701" s="2">
        <v>148.09</v>
      </c>
      <c r="L701" t="s">
        <v>15</v>
      </c>
      <c r="M701" s="2">
        <v>1000</v>
      </c>
      <c r="N701" s="2">
        <v>4</v>
      </c>
      <c r="O701" s="2">
        <f t="shared" si="68"/>
        <v>250</v>
      </c>
      <c r="P701" s="2">
        <f t="shared" si="69"/>
        <v>1.6881626038220001</v>
      </c>
      <c r="Q701" s="3">
        <f t="shared" si="70"/>
        <v>0.14809</v>
      </c>
    </row>
    <row r="702" spans="1:17" hidden="1" x14ac:dyDescent="0.25">
      <c r="A702" t="s">
        <v>762</v>
      </c>
      <c r="B702" t="s">
        <v>39</v>
      </c>
      <c r="C702" t="s">
        <v>31</v>
      </c>
      <c r="D702" t="str">
        <f t="shared" si="66"/>
        <v>NY</v>
      </c>
      <c r="E702" t="str">
        <f t="shared" si="67"/>
        <v>Northeast</v>
      </c>
      <c r="F702" t="s">
        <v>42</v>
      </c>
      <c r="G702" s="1">
        <v>44954</v>
      </c>
      <c r="H702" s="1">
        <v>44963</v>
      </c>
      <c r="I702" s="1">
        <f t="shared" si="65"/>
        <v>44963</v>
      </c>
      <c r="J702" s="2">
        <v>66.5</v>
      </c>
      <c r="K702" s="2">
        <v>345.16</v>
      </c>
      <c r="L702" t="s">
        <v>47</v>
      </c>
      <c r="M702" s="2">
        <v>2301</v>
      </c>
      <c r="N702" s="2">
        <v>7</v>
      </c>
      <c r="O702" s="2">
        <f t="shared" si="68"/>
        <v>328.71428571428572</v>
      </c>
      <c r="P702" s="2">
        <f t="shared" si="69"/>
        <v>0.95235335993245362</v>
      </c>
      <c r="Q702" s="3">
        <f t="shared" si="70"/>
        <v>0.15000434593654935</v>
      </c>
    </row>
    <row r="703" spans="1:17" hidden="1" x14ac:dyDescent="0.25">
      <c r="A703" t="s">
        <v>763</v>
      </c>
      <c r="B703" t="s">
        <v>20</v>
      </c>
      <c r="C703" t="s">
        <v>57</v>
      </c>
      <c r="D703" t="str">
        <f t="shared" si="66"/>
        <v>MN</v>
      </c>
      <c r="E703" t="str">
        <f t="shared" si="67"/>
        <v>Midwest</v>
      </c>
      <c r="F703" t="s">
        <v>42</v>
      </c>
      <c r="G703" s="1">
        <v>44997</v>
      </c>
      <c r="H703" s="1">
        <v>45003</v>
      </c>
      <c r="I703" s="1">
        <f t="shared" si="65"/>
        <v>45003</v>
      </c>
      <c r="J703" s="2">
        <v>21.4</v>
      </c>
      <c r="K703" s="2">
        <v>92.29</v>
      </c>
      <c r="L703" t="s">
        <v>15</v>
      </c>
      <c r="M703" s="2">
        <v>623</v>
      </c>
      <c r="N703" s="2">
        <v>6</v>
      </c>
      <c r="O703" s="2">
        <f t="shared" si="68"/>
        <v>103.83333333333333</v>
      </c>
      <c r="P703" s="2">
        <f t="shared" si="69"/>
        <v>1.1250767508216852</v>
      </c>
      <c r="Q703" s="3">
        <f t="shared" si="70"/>
        <v>0.14813804173354736</v>
      </c>
    </row>
    <row r="704" spans="1:17" hidden="1" x14ac:dyDescent="0.25">
      <c r="A704" t="s">
        <v>764</v>
      </c>
      <c r="B704" t="s">
        <v>35</v>
      </c>
      <c r="C704" t="s">
        <v>21</v>
      </c>
      <c r="D704" t="str">
        <f t="shared" si="66"/>
        <v>TX</v>
      </c>
      <c r="E704" t="str">
        <f t="shared" si="67"/>
        <v>Southwest</v>
      </c>
      <c r="F704" t="s">
        <v>42</v>
      </c>
      <c r="G704" s="1">
        <v>45169</v>
      </c>
      <c r="H704" s="1">
        <v>45177</v>
      </c>
      <c r="I704" s="1">
        <f t="shared" si="65"/>
        <v>45177</v>
      </c>
      <c r="J704" s="2">
        <v>12</v>
      </c>
      <c r="K704" s="2">
        <v>321.79000000000002</v>
      </c>
      <c r="L704" t="s">
        <v>15</v>
      </c>
      <c r="M704" s="2">
        <v>2422</v>
      </c>
      <c r="N704" s="2">
        <v>8</v>
      </c>
      <c r="O704" s="2">
        <f t="shared" si="68"/>
        <v>302.75</v>
      </c>
      <c r="P704" s="2">
        <f t="shared" si="69"/>
        <v>0.94083097672395033</v>
      </c>
      <c r="Q704" s="3">
        <f t="shared" si="70"/>
        <v>0.13286127167630057</v>
      </c>
    </row>
    <row r="705" spans="1:17" hidden="1" x14ac:dyDescent="0.25">
      <c r="A705" t="s">
        <v>765</v>
      </c>
      <c r="B705" t="s">
        <v>30</v>
      </c>
      <c r="C705" t="s">
        <v>40</v>
      </c>
      <c r="D705" t="str">
        <f t="shared" si="66"/>
        <v>MI</v>
      </c>
      <c r="E705" t="str">
        <f t="shared" si="67"/>
        <v>Midwest</v>
      </c>
      <c r="F705" t="s">
        <v>32</v>
      </c>
      <c r="G705" s="1">
        <v>45100</v>
      </c>
      <c r="H705" s="1">
        <v>45105</v>
      </c>
      <c r="I705" s="1">
        <f t="shared" si="65"/>
        <v>45105</v>
      </c>
      <c r="J705" s="2">
        <v>19.7</v>
      </c>
      <c r="K705" s="2">
        <v>201.01</v>
      </c>
      <c r="L705" t="s">
        <v>15</v>
      </c>
      <c r="M705" s="2">
        <v>1284</v>
      </c>
      <c r="N705" s="2">
        <v>5</v>
      </c>
      <c r="O705" s="2">
        <f t="shared" si="68"/>
        <v>256.8</v>
      </c>
      <c r="P705" s="2">
        <f t="shared" si="69"/>
        <v>1.2775483806775783</v>
      </c>
      <c r="Q705" s="3">
        <f t="shared" si="70"/>
        <v>0.15654984423676011</v>
      </c>
    </row>
    <row r="706" spans="1:17" hidden="1" x14ac:dyDescent="0.25">
      <c r="A706" t="s">
        <v>768</v>
      </c>
      <c r="B706" t="s">
        <v>49</v>
      </c>
      <c r="C706" t="s">
        <v>44</v>
      </c>
      <c r="D706" t="str">
        <f t="shared" si="66"/>
        <v>IL</v>
      </c>
      <c r="E706" t="str">
        <f t="shared" si="67"/>
        <v>Midwest</v>
      </c>
      <c r="F706" t="s">
        <v>18</v>
      </c>
      <c r="G706" s="1">
        <v>44930</v>
      </c>
      <c r="H706" s="1">
        <v>44936</v>
      </c>
      <c r="I706" s="1">
        <f t="shared" ref="I706:I769" si="71">IF(H706="", G706 + N706, H706)</f>
        <v>44936</v>
      </c>
      <c r="J706" s="2">
        <v>19</v>
      </c>
      <c r="K706" s="2">
        <v>117.94</v>
      </c>
      <c r="L706" t="s">
        <v>47</v>
      </c>
      <c r="M706" s="2">
        <v>593</v>
      </c>
      <c r="N706" s="2">
        <v>5</v>
      </c>
      <c r="O706" s="2">
        <f t="shared" si="68"/>
        <v>118.6</v>
      </c>
      <c r="P706" s="2">
        <f t="shared" si="69"/>
        <v>1.0055960657961676</v>
      </c>
      <c r="Q706" s="3">
        <f t="shared" si="70"/>
        <v>0.19888701517706575</v>
      </c>
    </row>
    <row r="707" spans="1:17" hidden="1" x14ac:dyDescent="0.25">
      <c r="A707" t="s">
        <v>769</v>
      </c>
      <c r="B707" t="s">
        <v>51</v>
      </c>
      <c r="C707" t="s">
        <v>52</v>
      </c>
      <c r="D707" t="str">
        <f t="shared" si="66"/>
        <v>AZ</v>
      </c>
      <c r="E707" t="str">
        <f t="shared" si="67"/>
        <v>Southwest</v>
      </c>
      <c r="F707" t="s">
        <v>18</v>
      </c>
      <c r="G707" s="1">
        <v>44979</v>
      </c>
      <c r="H707" s="1">
        <v>44984</v>
      </c>
      <c r="I707" s="1">
        <f t="shared" si="71"/>
        <v>44984</v>
      </c>
      <c r="J707" s="2">
        <v>66.099999999999994</v>
      </c>
      <c r="K707" s="2">
        <v>181.39</v>
      </c>
      <c r="L707" t="s">
        <v>15</v>
      </c>
      <c r="M707" s="2">
        <v>796</v>
      </c>
      <c r="N707" s="2">
        <v>5</v>
      </c>
      <c r="O707" s="2">
        <f t="shared" si="68"/>
        <v>159.19999999999999</v>
      </c>
      <c r="P707" s="2">
        <f t="shared" si="69"/>
        <v>0.87766690556259996</v>
      </c>
      <c r="Q707" s="3">
        <f t="shared" si="70"/>
        <v>0.22787688442211054</v>
      </c>
    </row>
    <row r="708" spans="1:17" x14ac:dyDescent="0.25">
      <c r="A708" t="s">
        <v>770</v>
      </c>
      <c r="B708" t="s">
        <v>27</v>
      </c>
      <c r="C708" t="s">
        <v>13</v>
      </c>
      <c r="D708" t="str">
        <f t="shared" si="66"/>
        <v>CA</v>
      </c>
      <c r="E708" t="str">
        <f t="shared" si="67"/>
        <v>West</v>
      </c>
      <c r="F708" t="s">
        <v>59</v>
      </c>
      <c r="G708" s="1">
        <v>45291</v>
      </c>
      <c r="H708" s="1">
        <v>45296</v>
      </c>
      <c r="I708" s="1">
        <f t="shared" si="71"/>
        <v>45296</v>
      </c>
      <c r="J708" s="2">
        <v>23.2</v>
      </c>
      <c r="K708" s="2">
        <v>295.97000000000003</v>
      </c>
      <c r="L708" t="s">
        <v>15</v>
      </c>
      <c r="M708" s="2">
        <v>2164</v>
      </c>
      <c r="N708" s="2">
        <v>5</v>
      </c>
      <c r="O708" s="2">
        <f t="shared" si="68"/>
        <v>432.8</v>
      </c>
      <c r="P708" s="2">
        <f t="shared" si="69"/>
        <v>1.4623103692941852</v>
      </c>
      <c r="Q708" s="3">
        <f t="shared" si="70"/>
        <v>0.13676987060998153</v>
      </c>
    </row>
    <row r="709" spans="1:17" hidden="1" x14ac:dyDescent="0.25">
      <c r="A709" t="s">
        <v>771</v>
      </c>
      <c r="B709" t="s">
        <v>35</v>
      </c>
      <c r="C709" t="s">
        <v>46</v>
      </c>
      <c r="D709" t="str">
        <f t="shared" si="66"/>
        <v>MA</v>
      </c>
      <c r="E709" t="str">
        <f t="shared" si="67"/>
        <v>Northeast</v>
      </c>
      <c r="F709" t="s">
        <v>14</v>
      </c>
      <c r="G709" s="1">
        <v>45203</v>
      </c>
      <c r="H709" s="1">
        <v>45206</v>
      </c>
      <c r="I709" s="1">
        <f t="shared" si="71"/>
        <v>45206</v>
      </c>
      <c r="J709" s="2">
        <v>16.2</v>
      </c>
      <c r="K709" s="2">
        <v>157.6</v>
      </c>
      <c r="L709" t="s">
        <v>15</v>
      </c>
      <c r="M709" s="2">
        <v>1217</v>
      </c>
      <c r="N709" s="2">
        <v>3</v>
      </c>
      <c r="O709" s="2">
        <f t="shared" si="68"/>
        <v>405.66666666666669</v>
      </c>
      <c r="P709" s="2">
        <f t="shared" si="69"/>
        <v>2.5740270727580374</v>
      </c>
      <c r="Q709" s="3">
        <f t="shared" si="70"/>
        <v>0.12949876746096958</v>
      </c>
    </row>
    <row r="710" spans="1:17" x14ac:dyDescent="0.25">
      <c r="A710" t="s">
        <v>772</v>
      </c>
      <c r="B710" t="s">
        <v>35</v>
      </c>
      <c r="C710" t="s">
        <v>13</v>
      </c>
      <c r="D710" t="str">
        <f t="shared" si="66"/>
        <v>CA</v>
      </c>
      <c r="E710" t="str">
        <f t="shared" si="67"/>
        <v>West</v>
      </c>
      <c r="F710" t="s">
        <v>59</v>
      </c>
      <c r="G710" s="1">
        <v>44934</v>
      </c>
      <c r="H710" s="1">
        <v>44936</v>
      </c>
      <c r="I710" s="1">
        <f t="shared" si="71"/>
        <v>44936</v>
      </c>
      <c r="J710" s="2">
        <v>14.4</v>
      </c>
      <c r="K710" s="2">
        <v>34.450000000000003</v>
      </c>
      <c r="L710" t="s">
        <v>15</v>
      </c>
      <c r="M710" s="2">
        <v>140</v>
      </c>
      <c r="N710" s="2">
        <v>2</v>
      </c>
      <c r="O710" s="2">
        <f t="shared" si="68"/>
        <v>70</v>
      </c>
      <c r="P710" s="2">
        <f t="shared" si="69"/>
        <v>2.031930333817126</v>
      </c>
      <c r="Q710" s="3">
        <f t="shared" si="70"/>
        <v>0.24607142857142858</v>
      </c>
    </row>
    <row r="711" spans="1:17" hidden="1" x14ac:dyDescent="0.25">
      <c r="A711" t="s">
        <v>773</v>
      </c>
      <c r="B711" t="s">
        <v>51</v>
      </c>
      <c r="C711" t="s">
        <v>57</v>
      </c>
      <c r="D711" t="str">
        <f t="shared" si="66"/>
        <v>MN</v>
      </c>
      <c r="E711" t="str">
        <f t="shared" si="67"/>
        <v>Midwest</v>
      </c>
      <c r="F711" t="s">
        <v>59</v>
      </c>
      <c r="G711" s="1">
        <v>45121</v>
      </c>
      <c r="H711" s="1">
        <v>45126</v>
      </c>
      <c r="I711" s="1">
        <f t="shared" si="71"/>
        <v>45126</v>
      </c>
      <c r="J711" s="2">
        <v>27.4</v>
      </c>
      <c r="K711" s="2">
        <v>178.29</v>
      </c>
      <c r="L711" t="s">
        <v>15</v>
      </c>
      <c r="M711" s="2">
        <v>1367</v>
      </c>
      <c r="N711" s="2">
        <v>5</v>
      </c>
      <c r="O711" s="2">
        <f t="shared" si="68"/>
        <v>273.39999999999998</v>
      </c>
      <c r="P711" s="2">
        <f t="shared" si="69"/>
        <v>1.5334567278030176</v>
      </c>
      <c r="Q711" s="3">
        <f t="shared" si="70"/>
        <v>0.13042428675932699</v>
      </c>
    </row>
    <row r="712" spans="1:17" hidden="1" x14ac:dyDescent="0.25">
      <c r="A712" t="s">
        <v>774</v>
      </c>
      <c r="B712" t="s">
        <v>20</v>
      </c>
      <c r="C712" t="s">
        <v>44</v>
      </c>
      <c r="D712" t="str">
        <f t="shared" si="66"/>
        <v>IL</v>
      </c>
      <c r="E712" t="str">
        <f t="shared" si="67"/>
        <v>Midwest</v>
      </c>
      <c r="F712" t="s">
        <v>14</v>
      </c>
      <c r="G712" s="1">
        <v>45123</v>
      </c>
      <c r="H712" s="1">
        <v>45130</v>
      </c>
      <c r="I712" s="1">
        <f t="shared" si="71"/>
        <v>45130</v>
      </c>
      <c r="J712" s="2">
        <v>27.4</v>
      </c>
      <c r="K712" s="2">
        <v>286.48</v>
      </c>
      <c r="L712" t="s">
        <v>15</v>
      </c>
      <c r="M712" s="2">
        <v>2072</v>
      </c>
      <c r="N712" s="2">
        <v>7</v>
      </c>
      <c r="O712" s="2">
        <f t="shared" si="68"/>
        <v>296</v>
      </c>
      <c r="P712" s="2">
        <f t="shared" si="69"/>
        <v>1.033230941077911</v>
      </c>
      <c r="Q712" s="3">
        <f t="shared" si="70"/>
        <v>0.13826254826254827</v>
      </c>
    </row>
    <row r="713" spans="1:17" hidden="1" x14ac:dyDescent="0.25">
      <c r="A713" t="s">
        <v>775</v>
      </c>
      <c r="B713" t="s">
        <v>56</v>
      </c>
      <c r="C713" t="s">
        <v>17</v>
      </c>
      <c r="D713" t="str">
        <f t="shared" si="66"/>
        <v>GA</v>
      </c>
      <c r="E713" t="str">
        <f t="shared" si="67"/>
        <v>Southeast</v>
      </c>
      <c r="F713" t="s">
        <v>59</v>
      </c>
      <c r="G713" s="1">
        <v>45053</v>
      </c>
      <c r="H713" s="1">
        <v>45058</v>
      </c>
      <c r="I713" s="1">
        <f t="shared" si="71"/>
        <v>45058</v>
      </c>
      <c r="J713" s="2">
        <v>6.2</v>
      </c>
      <c r="K713" s="2">
        <v>25.02</v>
      </c>
      <c r="L713" t="s">
        <v>15</v>
      </c>
      <c r="M713" s="2">
        <v>150</v>
      </c>
      <c r="N713" s="2">
        <v>5</v>
      </c>
      <c r="O713" s="2">
        <f t="shared" si="68"/>
        <v>30</v>
      </c>
      <c r="P713" s="2">
        <f t="shared" si="69"/>
        <v>1.1990407673860912</v>
      </c>
      <c r="Q713" s="3">
        <f t="shared" si="70"/>
        <v>0.1668</v>
      </c>
    </row>
    <row r="714" spans="1:17" hidden="1" x14ac:dyDescent="0.25">
      <c r="A714" t="s">
        <v>776</v>
      </c>
      <c r="B714" t="s">
        <v>23</v>
      </c>
      <c r="C714" t="s">
        <v>52</v>
      </c>
      <c r="D714" t="str">
        <f t="shared" si="66"/>
        <v>AZ</v>
      </c>
      <c r="E714" t="str">
        <f t="shared" si="67"/>
        <v>Southwest</v>
      </c>
      <c r="F714" t="s">
        <v>18</v>
      </c>
      <c r="G714" s="1">
        <v>45211</v>
      </c>
      <c r="H714" s="1">
        <v>45214</v>
      </c>
      <c r="I714" s="1">
        <f t="shared" si="71"/>
        <v>45214</v>
      </c>
      <c r="J714" s="2">
        <v>24.1</v>
      </c>
      <c r="K714" s="2">
        <v>204.04</v>
      </c>
      <c r="L714" t="s">
        <v>15</v>
      </c>
      <c r="M714" s="2">
        <v>1168</v>
      </c>
      <c r="N714" s="2">
        <v>3</v>
      </c>
      <c r="O714" s="2">
        <f t="shared" si="68"/>
        <v>389.33333333333331</v>
      </c>
      <c r="P714" s="2">
        <f t="shared" si="69"/>
        <v>1.9081225903417631</v>
      </c>
      <c r="Q714" s="3">
        <f t="shared" si="70"/>
        <v>0.1746917808219178</v>
      </c>
    </row>
    <row r="715" spans="1:17" x14ac:dyDescent="0.25">
      <c r="A715" t="s">
        <v>777</v>
      </c>
      <c r="B715" t="s">
        <v>12</v>
      </c>
      <c r="C715" t="s">
        <v>81</v>
      </c>
      <c r="D715" t="str">
        <f t="shared" si="66"/>
        <v>CO</v>
      </c>
      <c r="E715" t="str">
        <f t="shared" si="67"/>
        <v>West</v>
      </c>
      <c r="F715" t="s">
        <v>25</v>
      </c>
      <c r="G715" s="1">
        <v>45212</v>
      </c>
      <c r="H715" s="1">
        <v>45213</v>
      </c>
      <c r="I715" s="1">
        <f t="shared" si="71"/>
        <v>45213</v>
      </c>
      <c r="J715" s="2">
        <v>28.8</v>
      </c>
      <c r="K715" s="2">
        <v>54.72</v>
      </c>
      <c r="L715" t="s">
        <v>15</v>
      </c>
      <c r="M715" s="2">
        <v>147</v>
      </c>
      <c r="N715" s="2">
        <v>1</v>
      </c>
      <c r="O715" s="2">
        <f t="shared" si="68"/>
        <v>147</v>
      </c>
      <c r="P715" s="2">
        <f t="shared" si="69"/>
        <v>2.6864035087719298</v>
      </c>
      <c r="Q715" s="3">
        <f t="shared" si="70"/>
        <v>0.37224489795918364</v>
      </c>
    </row>
    <row r="716" spans="1:17" hidden="1" x14ac:dyDescent="0.25">
      <c r="A716" t="s">
        <v>778</v>
      </c>
      <c r="B716" t="s">
        <v>51</v>
      </c>
      <c r="C716" t="s">
        <v>44</v>
      </c>
      <c r="D716" t="str">
        <f t="shared" si="66"/>
        <v>IL</v>
      </c>
      <c r="E716" t="str">
        <f t="shared" si="67"/>
        <v>Midwest</v>
      </c>
      <c r="F716" t="s">
        <v>42</v>
      </c>
      <c r="G716" s="1">
        <v>45175</v>
      </c>
      <c r="H716" s="1">
        <v>45178</v>
      </c>
      <c r="I716" s="1">
        <f t="shared" si="71"/>
        <v>45178</v>
      </c>
      <c r="J716" s="2">
        <v>12.5</v>
      </c>
      <c r="K716" s="2">
        <v>106.43</v>
      </c>
      <c r="L716" t="s">
        <v>15</v>
      </c>
      <c r="M716" s="2">
        <v>790</v>
      </c>
      <c r="N716" s="2">
        <v>3</v>
      </c>
      <c r="O716" s="2">
        <f t="shared" si="68"/>
        <v>263.33333333333331</v>
      </c>
      <c r="P716" s="2">
        <f t="shared" si="69"/>
        <v>2.4742397193773682</v>
      </c>
      <c r="Q716" s="3">
        <f t="shared" si="70"/>
        <v>0.13472151898734178</v>
      </c>
    </row>
    <row r="717" spans="1:17" x14ac:dyDescent="0.25">
      <c r="A717" t="s">
        <v>779</v>
      </c>
      <c r="B717" t="s">
        <v>20</v>
      </c>
      <c r="C717" t="s">
        <v>70</v>
      </c>
      <c r="D717" t="str">
        <f t="shared" si="66"/>
        <v>CA</v>
      </c>
      <c r="E717" t="str">
        <f t="shared" si="67"/>
        <v>West</v>
      </c>
      <c r="F717" t="s">
        <v>18</v>
      </c>
      <c r="G717" s="1">
        <v>44985</v>
      </c>
      <c r="H717" s="1">
        <v>44987</v>
      </c>
      <c r="I717" s="1">
        <f t="shared" si="71"/>
        <v>44987</v>
      </c>
      <c r="J717" s="2">
        <v>48.5</v>
      </c>
      <c r="K717" s="2">
        <v>84.38</v>
      </c>
      <c r="L717" t="s">
        <v>15</v>
      </c>
      <c r="M717" s="2">
        <v>159</v>
      </c>
      <c r="N717" s="2">
        <v>2</v>
      </c>
      <c r="O717" s="2">
        <f t="shared" si="68"/>
        <v>79.5</v>
      </c>
      <c r="P717" s="2">
        <f t="shared" si="69"/>
        <v>0.9421663901398436</v>
      </c>
      <c r="Q717" s="3">
        <f t="shared" si="70"/>
        <v>0.53069182389937108</v>
      </c>
    </row>
    <row r="718" spans="1:17" hidden="1" x14ac:dyDescent="0.25">
      <c r="A718" t="s">
        <v>780</v>
      </c>
      <c r="B718" t="s">
        <v>27</v>
      </c>
      <c r="C718" t="s">
        <v>28</v>
      </c>
      <c r="D718" t="str">
        <f t="shared" si="66"/>
        <v>TX</v>
      </c>
      <c r="E718" t="str">
        <f t="shared" si="67"/>
        <v>Southwest</v>
      </c>
      <c r="F718" t="s">
        <v>42</v>
      </c>
      <c r="G718" s="1">
        <v>45254</v>
      </c>
      <c r="H718" s="1">
        <v>45263</v>
      </c>
      <c r="I718" s="1">
        <f t="shared" si="71"/>
        <v>45263</v>
      </c>
      <c r="J718" s="2">
        <v>15</v>
      </c>
      <c r="K718" s="2">
        <v>266.52999999999997</v>
      </c>
      <c r="L718" t="s">
        <v>47</v>
      </c>
      <c r="M718" s="2">
        <v>1632</v>
      </c>
      <c r="N718" s="2">
        <v>5</v>
      </c>
      <c r="O718" s="2">
        <f t="shared" si="68"/>
        <v>326.39999999999998</v>
      </c>
      <c r="P718" s="2">
        <f t="shared" si="69"/>
        <v>1.2246276216560987</v>
      </c>
      <c r="Q718" s="3">
        <f t="shared" si="70"/>
        <v>0.16331495098039214</v>
      </c>
    </row>
    <row r="719" spans="1:17" x14ac:dyDescent="0.25">
      <c r="A719" t="s">
        <v>781</v>
      </c>
      <c r="B719" t="s">
        <v>56</v>
      </c>
      <c r="C719" t="s">
        <v>70</v>
      </c>
      <c r="D719" t="str">
        <f t="shared" si="66"/>
        <v>CA</v>
      </c>
      <c r="E719" t="str">
        <f t="shared" si="67"/>
        <v>West</v>
      </c>
      <c r="F719" t="s">
        <v>25</v>
      </c>
      <c r="G719" s="1">
        <v>44939</v>
      </c>
      <c r="H719" s="1">
        <v>44941</v>
      </c>
      <c r="I719" s="1">
        <f t="shared" si="71"/>
        <v>44941</v>
      </c>
      <c r="J719" s="2">
        <v>12</v>
      </c>
      <c r="K719" s="2">
        <v>95.74</v>
      </c>
      <c r="L719" t="s">
        <v>15</v>
      </c>
      <c r="M719" s="2">
        <v>607</v>
      </c>
      <c r="N719" s="2">
        <v>2</v>
      </c>
      <c r="O719" s="2">
        <f t="shared" si="68"/>
        <v>303.5</v>
      </c>
      <c r="P719" s="2">
        <f t="shared" si="69"/>
        <v>3.1700438688113644</v>
      </c>
      <c r="Q719" s="3">
        <f t="shared" si="70"/>
        <v>0.15772652388797362</v>
      </c>
    </row>
    <row r="720" spans="1:17" hidden="1" x14ac:dyDescent="0.25">
      <c r="A720" t="s">
        <v>782</v>
      </c>
      <c r="B720" t="s">
        <v>27</v>
      </c>
      <c r="C720" t="s">
        <v>40</v>
      </c>
      <c r="D720" t="str">
        <f t="shared" si="66"/>
        <v>MI</v>
      </c>
      <c r="E720" t="str">
        <f t="shared" si="67"/>
        <v>Midwest</v>
      </c>
      <c r="F720" t="s">
        <v>32</v>
      </c>
      <c r="G720" s="1">
        <v>45237</v>
      </c>
      <c r="H720" s="1">
        <v>45242</v>
      </c>
      <c r="I720" s="1">
        <f t="shared" si="71"/>
        <v>45242</v>
      </c>
      <c r="J720" s="2">
        <v>39.9</v>
      </c>
      <c r="K720" s="2">
        <v>138.47</v>
      </c>
      <c r="L720" t="s">
        <v>15</v>
      </c>
      <c r="M720" s="2">
        <v>475</v>
      </c>
      <c r="N720" s="2">
        <v>5</v>
      </c>
      <c r="O720" s="2">
        <f t="shared" si="68"/>
        <v>95</v>
      </c>
      <c r="P720" s="2">
        <f t="shared" si="69"/>
        <v>0.68606918466093736</v>
      </c>
      <c r="Q720" s="3">
        <f t="shared" si="70"/>
        <v>0.29151578947368423</v>
      </c>
    </row>
    <row r="721" spans="1:17" hidden="1" x14ac:dyDescent="0.25">
      <c r="A721" t="s">
        <v>783</v>
      </c>
      <c r="B721" t="s">
        <v>23</v>
      </c>
      <c r="C721" t="s">
        <v>21</v>
      </c>
      <c r="D721" t="str">
        <f t="shared" si="66"/>
        <v>TX</v>
      </c>
      <c r="E721" t="str">
        <f t="shared" si="67"/>
        <v>Southwest</v>
      </c>
      <c r="F721" t="s">
        <v>32</v>
      </c>
      <c r="G721" s="1">
        <v>45071</v>
      </c>
      <c r="H721" s="1">
        <v>45075</v>
      </c>
      <c r="I721" s="1">
        <f t="shared" si="71"/>
        <v>45075</v>
      </c>
      <c r="J721" s="2">
        <v>6.6</v>
      </c>
      <c r="K721" s="2">
        <v>199.12</v>
      </c>
      <c r="L721" t="s">
        <v>15</v>
      </c>
      <c r="M721" s="2">
        <v>1370</v>
      </c>
      <c r="N721" s="2">
        <v>4</v>
      </c>
      <c r="O721" s="2">
        <f t="shared" si="68"/>
        <v>342.5</v>
      </c>
      <c r="P721" s="2">
        <f t="shared" si="69"/>
        <v>1.7200683005222981</v>
      </c>
      <c r="Q721" s="3">
        <f t="shared" si="70"/>
        <v>0.14534306569343067</v>
      </c>
    </row>
    <row r="722" spans="1:17" x14ac:dyDescent="0.25">
      <c r="A722" t="s">
        <v>784</v>
      </c>
      <c r="B722" t="s">
        <v>56</v>
      </c>
      <c r="C722" t="s">
        <v>70</v>
      </c>
      <c r="D722" t="str">
        <f t="shared" si="66"/>
        <v>CA</v>
      </c>
      <c r="E722" t="str">
        <f t="shared" si="67"/>
        <v>West</v>
      </c>
      <c r="F722" t="s">
        <v>42</v>
      </c>
      <c r="G722" s="1">
        <v>45226</v>
      </c>
      <c r="H722" s="1">
        <v>45232</v>
      </c>
      <c r="I722" s="1">
        <f t="shared" si="71"/>
        <v>45232</v>
      </c>
      <c r="J722" s="2">
        <v>474.2</v>
      </c>
      <c r="K722" s="2">
        <v>341.15</v>
      </c>
      <c r="L722" t="s">
        <v>15</v>
      </c>
      <c r="M722" s="2">
        <v>2200</v>
      </c>
      <c r="N722" s="2">
        <v>6</v>
      </c>
      <c r="O722" s="2">
        <f t="shared" si="68"/>
        <v>366.66666666666669</v>
      </c>
      <c r="P722" s="2">
        <f t="shared" si="69"/>
        <v>1.074796033025551</v>
      </c>
      <c r="Q722" s="3">
        <f t="shared" si="70"/>
        <v>0.1550681818181818</v>
      </c>
    </row>
    <row r="723" spans="1:17" hidden="1" x14ac:dyDescent="0.25">
      <c r="A723" t="s">
        <v>785</v>
      </c>
      <c r="B723" t="s">
        <v>30</v>
      </c>
      <c r="C723" t="s">
        <v>54</v>
      </c>
      <c r="D723" t="str">
        <f t="shared" si="66"/>
        <v>FL</v>
      </c>
      <c r="E723" t="str">
        <f t="shared" si="67"/>
        <v>Southeast</v>
      </c>
      <c r="F723" t="s">
        <v>59</v>
      </c>
      <c r="G723" s="1">
        <v>45119</v>
      </c>
      <c r="H723" s="1">
        <v>45125</v>
      </c>
      <c r="I723" s="1">
        <f t="shared" si="71"/>
        <v>45125</v>
      </c>
      <c r="J723" s="2">
        <v>15.1</v>
      </c>
      <c r="K723" s="2">
        <v>236.63</v>
      </c>
      <c r="L723" t="s">
        <v>62</v>
      </c>
      <c r="M723" s="2">
        <v>1795</v>
      </c>
      <c r="N723" s="2">
        <v>6</v>
      </c>
      <c r="O723" s="2">
        <f t="shared" si="68"/>
        <v>299.16666666666669</v>
      </c>
      <c r="P723" s="2">
        <f t="shared" si="69"/>
        <v>1.2642803814675514</v>
      </c>
      <c r="Q723" s="3">
        <f t="shared" si="70"/>
        <v>0.13182729805013926</v>
      </c>
    </row>
    <row r="724" spans="1:17" hidden="1" x14ac:dyDescent="0.25">
      <c r="A724" t="s">
        <v>786</v>
      </c>
      <c r="B724" t="s">
        <v>56</v>
      </c>
      <c r="C724" t="s">
        <v>52</v>
      </c>
      <c r="D724" t="str">
        <f t="shared" si="66"/>
        <v>AZ</v>
      </c>
      <c r="E724" t="str">
        <f t="shared" si="67"/>
        <v>Southwest</v>
      </c>
      <c r="F724" t="s">
        <v>32</v>
      </c>
      <c r="G724" s="1">
        <v>44981</v>
      </c>
      <c r="H724" s="1">
        <v>44986</v>
      </c>
      <c r="I724" s="1">
        <f t="shared" si="71"/>
        <v>44986</v>
      </c>
      <c r="J724" s="2">
        <v>32</v>
      </c>
      <c r="K724" s="2">
        <v>340.57</v>
      </c>
      <c r="L724" t="s">
        <v>15</v>
      </c>
      <c r="M724" s="2">
        <v>2208</v>
      </c>
      <c r="N724" s="2">
        <v>5</v>
      </c>
      <c r="O724" s="2">
        <f t="shared" si="68"/>
        <v>441.6</v>
      </c>
      <c r="P724" s="2">
        <f t="shared" si="69"/>
        <v>1.2966497342690197</v>
      </c>
      <c r="Q724" s="3">
        <f t="shared" si="70"/>
        <v>0.15424365942028986</v>
      </c>
    </row>
    <row r="725" spans="1:17" hidden="1" x14ac:dyDescent="0.25">
      <c r="A725" t="s">
        <v>787</v>
      </c>
      <c r="B725" t="s">
        <v>39</v>
      </c>
      <c r="C725" t="s">
        <v>46</v>
      </c>
      <c r="D725" t="str">
        <f t="shared" si="66"/>
        <v>MA</v>
      </c>
      <c r="E725" t="str">
        <f t="shared" si="67"/>
        <v>Northeast</v>
      </c>
      <c r="F725" t="s">
        <v>59</v>
      </c>
      <c r="G725" s="1">
        <v>45230</v>
      </c>
      <c r="H725" s="1">
        <v>45232</v>
      </c>
      <c r="I725" s="1">
        <f t="shared" si="71"/>
        <v>45232</v>
      </c>
      <c r="J725" s="2">
        <v>14.5</v>
      </c>
      <c r="K725" s="2">
        <v>86.35</v>
      </c>
      <c r="L725" t="s">
        <v>15</v>
      </c>
      <c r="M725" s="2">
        <v>585</v>
      </c>
      <c r="N725" s="2">
        <v>2</v>
      </c>
      <c r="O725" s="2">
        <f t="shared" si="68"/>
        <v>292.5</v>
      </c>
      <c r="P725" s="2">
        <f t="shared" si="69"/>
        <v>3.3873769542559353</v>
      </c>
      <c r="Q725" s="3">
        <f t="shared" si="70"/>
        <v>0.1476068376068376</v>
      </c>
    </row>
    <row r="726" spans="1:17" hidden="1" x14ac:dyDescent="0.25">
      <c r="A726" t="s">
        <v>788</v>
      </c>
      <c r="B726" t="s">
        <v>56</v>
      </c>
      <c r="C726" t="s">
        <v>52</v>
      </c>
      <c r="D726" t="str">
        <f t="shared" si="66"/>
        <v>AZ</v>
      </c>
      <c r="E726" t="str">
        <f t="shared" si="67"/>
        <v>Southwest</v>
      </c>
      <c r="F726" t="s">
        <v>37</v>
      </c>
      <c r="G726" s="1">
        <v>45278</v>
      </c>
      <c r="H726" s="1">
        <v>45287</v>
      </c>
      <c r="I726" s="1">
        <f t="shared" si="71"/>
        <v>45287</v>
      </c>
      <c r="J726" s="2">
        <v>9.1999999999999993</v>
      </c>
      <c r="K726" s="2">
        <v>141.68</v>
      </c>
      <c r="L726" t="s">
        <v>47</v>
      </c>
      <c r="M726" s="2">
        <v>974</v>
      </c>
      <c r="N726" s="2">
        <v>3</v>
      </c>
      <c r="O726" s="2">
        <f t="shared" si="68"/>
        <v>324.66666666666669</v>
      </c>
      <c r="P726" s="2">
        <f t="shared" si="69"/>
        <v>2.2915490306794655</v>
      </c>
      <c r="Q726" s="3">
        <f t="shared" si="70"/>
        <v>0.14546201232032854</v>
      </c>
    </row>
    <row r="727" spans="1:17" hidden="1" x14ac:dyDescent="0.25">
      <c r="A727" t="s">
        <v>789</v>
      </c>
      <c r="B727" t="s">
        <v>20</v>
      </c>
      <c r="C727" t="s">
        <v>17</v>
      </c>
      <c r="D727" t="str">
        <f t="shared" si="66"/>
        <v>GA</v>
      </c>
      <c r="E727" t="str">
        <f t="shared" si="67"/>
        <v>Southeast</v>
      </c>
      <c r="F727" t="s">
        <v>32</v>
      </c>
      <c r="G727" s="1">
        <v>45106</v>
      </c>
      <c r="H727" s="1">
        <v>45111</v>
      </c>
      <c r="I727" s="1">
        <f t="shared" si="71"/>
        <v>45111</v>
      </c>
      <c r="J727" s="2">
        <v>32.200000000000003</v>
      </c>
      <c r="K727" s="2">
        <v>247.76</v>
      </c>
      <c r="L727" t="s">
        <v>15</v>
      </c>
      <c r="M727" s="2">
        <v>1610</v>
      </c>
      <c r="N727" s="2">
        <v>5</v>
      </c>
      <c r="O727" s="2">
        <f t="shared" si="68"/>
        <v>322</v>
      </c>
      <c r="P727" s="2">
        <f t="shared" si="69"/>
        <v>1.2996448175653859</v>
      </c>
      <c r="Q727" s="3">
        <f t="shared" si="70"/>
        <v>0.15388819875776397</v>
      </c>
    </row>
    <row r="728" spans="1:17" x14ac:dyDescent="0.25">
      <c r="A728" t="s">
        <v>790</v>
      </c>
      <c r="B728" t="s">
        <v>39</v>
      </c>
      <c r="C728" t="s">
        <v>81</v>
      </c>
      <c r="D728" t="str">
        <f t="shared" si="66"/>
        <v>CO</v>
      </c>
      <c r="E728" t="str">
        <f t="shared" si="67"/>
        <v>West</v>
      </c>
      <c r="F728" t="s">
        <v>32</v>
      </c>
      <c r="G728" s="1">
        <v>45226</v>
      </c>
      <c r="H728" s="1">
        <v>45230</v>
      </c>
      <c r="I728" s="1">
        <f t="shared" si="71"/>
        <v>45230</v>
      </c>
      <c r="J728" s="2">
        <v>27.1</v>
      </c>
      <c r="K728" s="2">
        <v>165.65</v>
      </c>
      <c r="L728" t="s">
        <v>15</v>
      </c>
      <c r="M728" s="2">
        <v>1030</v>
      </c>
      <c r="N728" s="2">
        <v>4</v>
      </c>
      <c r="O728" s="2">
        <f t="shared" si="68"/>
        <v>257.5</v>
      </c>
      <c r="P728" s="2">
        <f t="shared" si="69"/>
        <v>1.5544823422879566</v>
      </c>
      <c r="Q728" s="3">
        <f t="shared" si="70"/>
        <v>0.16082524271844661</v>
      </c>
    </row>
    <row r="729" spans="1:17" hidden="1" x14ac:dyDescent="0.25">
      <c r="A729" t="s">
        <v>791</v>
      </c>
      <c r="B729" t="s">
        <v>39</v>
      </c>
      <c r="C729" t="s">
        <v>46</v>
      </c>
      <c r="D729" t="str">
        <f t="shared" si="66"/>
        <v>MA</v>
      </c>
      <c r="E729" t="str">
        <f t="shared" si="67"/>
        <v>Northeast</v>
      </c>
      <c r="F729" t="s">
        <v>42</v>
      </c>
      <c r="G729" s="1">
        <v>45048</v>
      </c>
      <c r="H729" s="1">
        <v>45057</v>
      </c>
      <c r="I729" s="1">
        <f t="shared" si="71"/>
        <v>45057</v>
      </c>
      <c r="J729" s="2">
        <v>22.8</v>
      </c>
      <c r="K729" s="2">
        <v>342.44</v>
      </c>
      <c r="L729" t="s">
        <v>15</v>
      </c>
      <c r="M729" s="2">
        <v>2380</v>
      </c>
      <c r="N729" s="2">
        <v>9</v>
      </c>
      <c r="O729" s="2">
        <f t="shared" si="68"/>
        <v>264.44444444444446</v>
      </c>
      <c r="P729" s="2">
        <f t="shared" si="69"/>
        <v>0.77223584991369132</v>
      </c>
      <c r="Q729" s="3">
        <f t="shared" si="70"/>
        <v>0.14388235294117646</v>
      </c>
    </row>
    <row r="730" spans="1:17" hidden="1" x14ac:dyDescent="0.25">
      <c r="A730" t="s">
        <v>792</v>
      </c>
      <c r="B730" t="s">
        <v>39</v>
      </c>
      <c r="C730" t="s">
        <v>17</v>
      </c>
      <c r="D730" t="str">
        <f t="shared" si="66"/>
        <v>GA</v>
      </c>
      <c r="E730" t="str">
        <f t="shared" si="67"/>
        <v>Southeast</v>
      </c>
      <c r="F730" t="s">
        <v>32</v>
      </c>
      <c r="G730" s="1">
        <v>44995</v>
      </c>
      <c r="H730" s="1">
        <v>44997</v>
      </c>
      <c r="I730" s="1">
        <f t="shared" si="71"/>
        <v>44997</v>
      </c>
      <c r="J730" s="2">
        <v>10.199999999999999</v>
      </c>
      <c r="K730" s="2">
        <v>111.08</v>
      </c>
      <c r="L730" t="s">
        <v>15</v>
      </c>
      <c r="M730" s="2">
        <v>800</v>
      </c>
      <c r="N730" s="2">
        <v>2</v>
      </c>
      <c r="O730" s="2">
        <f t="shared" si="68"/>
        <v>400</v>
      </c>
      <c r="P730" s="2">
        <f t="shared" si="69"/>
        <v>3.6010082823190492</v>
      </c>
      <c r="Q730" s="3">
        <f t="shared" si="70"/>
        <v>0.13885</v>
      </c>
    </row>
    <row r="731" spans="1:17" hidden="1" x14ac:dyDescent="0.25">
      <c r="A731" t="s">
        <v>793</v>
      </c>
      <c r="B731" t="s">
        <v>51</v>
      </c>
      <c r="C731" t="s">
        <v>54</v>
      </c>
      <c r="D731" t="str">
        <f t="shared" si="66"/>
        <v>FL</v>
      </c>
      <c r="E731" t="str">
        <f t="shared" si="67"/>
        <v>Southeast</v>
      </c>
      <c r="F731" t="s">
        <v>37</v>
      </c>
      <c r="G731" s="1">
        <v>45148</v>
      </c>
      <c r="H731" s="1">
        <v>45152</v>
      </c>
      <c r="I731" s="1">
        <f t="shared" si="71"/>
        <v>45152</v>
      </c>
      <c r="J731" s="2">
        <v>30.8</v>
      </c>
      <c r="K731" s="2">
        <v>255.81</v>
      </c>
      <c r="L731" t="s">
        <v>15</v>
      </c>
      <c r="M731" s="2">
        <v>1692</v>
      </c>
      <c r="N731" s="2">
        <v>4</v>
      </c>
      <c r="O731" s="2">
        <f t="shared" si="68"/>
        <v>423</v>
      </c>
      <c r="P731" s="2">
        <f t="shared" si="69"/>
        <v>1.6535710097337868</v>
      </c>
      <c r="Q731" s="3">
        <f t="shared" si="70"/>
        <v>0.15118794326241136</v>
      </c>
    </row>
    <row r="732" spans="1:17" hidden="1" x14ac:dyDescent="0.25">
      <c r="A732" t="s">
        <v>794</v>
      </c>
      <c r="B732" t="s">
        <v>23</v>
      </c>
      <c r="C732" t="s">
        <v>54</v>
      </c>
      <c r="D732" t="str">
        <f t="shared" si="66"/>
        <v>FL</v>
      </c>
      <c r="E732" t="str">
        <f t="shared" si="67"/>
        <v>Southeast</v>
      </c>
      <c r="F732" t="s">
        <v>59</v>
      </c>
      <c r="G732" s="1">
        <v>45019</v>
      </c>
      <c r="H732" s="1">
        <v>45021</v>
      </c>
      <c r="I732" s="1">
        <f t="shared" si="71"/>
        <v>45021</v>
      </c>
      <c r="J732" s="2">
        <v>11.9</v>
      </c>
      <c r="K732" s="2">
        <v>139.28</v>
      </c>
      <c r="L732" t="s">
        <v>15</v>
      </c>
      <c r="M732" s="2">
        <v>1032</v>
      </c>
      <c r="N732" s="2">
        <v>2</v>
      </c>
      <c r="O732" s="2">
        <f t="shared" si="68"/>
        <v>516</v>
      </c>
      <c r="P732" s="2">
        <f t="shared" si="69"/>
        <v>3.704767375071798</v>
      </c>
      <c r="Q732" s="3">
        <f t="shared" si="70"/>
        <v>0.13496124031007753</v>
      </c>
    </row>
    <row r="733" spans="1:17" x14ac:dyDescent="0.25">
      <c r="A733" t="s">
        <v>795</v>
      </c>
      <c r="B733" t="s">
        <v>30</v>
      </c>
      <c r="C733" t="s">
        <v>70</v>
      </c>
      <c r="D733" t="str">
        <f t="shared" si="66"/>
        <v>CA</v>
      </c>
      <c r="E733" t="str">
        <f t="shared" si="67"/>
        <v>West</v>
      </c>
      <c r="F733" t="s">
        <v>59</v>
      </c>
      <c r="G733" s="1">
        <v>44951</v>
      </c>
      <c r="H733" s="1">
        <v>44953</v>
      </c>
      <c r="I733" s="1">
        <f t="shared" si="71"/>
        <v>44953</v>
      </c>
      <c r="J733" s="2">
        <v>16.8</v>
      </c>
      <c r="K733" s="2">
        <v>124.3</v>
      </c>
      <c r="L733" t="s">
        <v>15</v>
      </c>
      <c r="M733" s="2">
        <v>1003</v>
      </c>
      <c r="N733" s="2">
        <v>2</v>
      </c>
      <c r="O733" s="2">
        <f t="shared" si="68"/>
        <v>501.5</v>
      </c>
      <c r="P733" s="2">
        <f t="shared" si="69"/>
        <v>4.0345937248592119</v>
      </c>
      <c r="Q733" s="3">
        <f t="shared" si="70"/>
        <v>0.12392821535393818</v>
      </c>
    </row>
    <row r="734" spans="1:17" hidden="1" x14ac:dyDescent="0.25">
      <c r="A734" t="s">
        <v>796</v>
      </c>
      <c r="B734" t="s">
        <v>27</v>
      </c>
      <c r="C734" t="s">
        <v>52</v>
      </c>
      <c r="D734" t="str">
        <f t="shared" si="66"/>
        <v>AZ</v>
      </c>
      <c r="E734" t="str">
        <f t="shared" si="67"/>
        <v>Southwest</v>
      </c>
      <c r="F734" t="s">
        <v>14</v>
      </c>
      <c r="G734" s="1">
        <v>45212</v>
      </c>
      <c r="H734" s="1">
        <v>45214</v>
      </c>
      <c r="I734" s="1">
        <f t="shared" si="71"/>
        <v>45214</v>
      </c>
      <c r="J734" s="2">
        <v>7.2</v>
      </c>
      <c r="K734" s="2">
        <v>59.98</v>
      </c>
      <c r="L734" t="s">
        <v>15</v>
      </c>
      <c r="M734" s="2">
        <v>367</v>
      </c>
      <c r="N734" s="2">
        <v>2</v>
      </c>
      <c r="O734" s="2">
        <f t="shared" si="68"/>
        <v>183.5</v>
      </c>
      <c r="P734" s="2">
        <f t="shared" si="69"/>
        <v>3.0593531177059021</v>
      </c>
      <c r="Q734" s="3">
        <f t="shared" si="70"/>
        <v>0.16343324250681199</v>
      </c>
    </row>
    <row r="735" spans="1:17" hidden="1" x14ac:dyDescent="0.25">
      <c r="A735" t="s">
        <v>797</v>
      </c>
      <c r="B735" t="s">
        <v>49</v>
      </c>
      <c r="C735" t="s">
        <v>54</v>
      </c>
      <c r="D735" t="str">
        <f t="shared" si="66"/>
        <v>FL</v>
      </c>
      <c r="E735" t="str">
        <f t="shared" si="67"/>
        <v>Southeast</v>
      </c>
      <c r="F735" t="s">
        <v>42</v>
      </c>
      <c r="G735" s="1">
        <v>45290</v>
      </c>
      <c r="H735" s="1">
        <v>45297</v>
      </c>
      <c r="I735" s="1">
        <f t="shared" si="71"/>
        <v>45297</v>
      </c>
      <c r="J735" s="2">
        <v>11.6</v>
      </c>
      <c r="K735" s="2">
        <v>264.5</v>
      </c>
      <c r="L735" t="s">
        <v>15</v>
      </c>
      <c r="M735" s="2">
        <v>1614</v>
      </c>
      <c r="N735" s="2">
        <v>7</v>
      </c>
      <c r="O735" s="2">
        <f t="shared" si="68"/>
        <v>230.57142857142858</v>
      </c>
      <c r="P735" s="2">
        <f t="shared" si="69"/>
        <v>0.87172562786929519</v>
      </c>
      <c r="Q735" s="3">
        <f t="shared" si="70"/>
        <v>0.16387856257744735</v>
      </c>
    </row>
    <row r="736" spans="1:17" x14ac:dyDescent="0.25">
      <c r="A736" t="s">
        <v>798</v>
      </c>
      <c r="B736" t="s">
        <v>20</v>
      </c>
      <c r="C736" t="s">
        <v>36</v>
      </c>
      <c r="D736" t="str">
        <f t="shared" si="66"/>
        <v>OR</v>
      </c>
      <c r="E736" t="str">
        <f t="shared" si="67"/>
        <v>West</v>
      </c>
      <c r="F736" t="s">
        <v>42</v>
      </c>
      <c r="G736" s="1">
        <v>45052</v>
      </c>
      <c r="H736" s="1">
        <v>45057</v>
      </c>
      <c r="I736" s="1">
        <f t="shared" si="71"/>
        <v>45057</v>
      </c>
      <c r="J736" s="2">
        <v>7.8</v>
      </c>
      <c r="K736" s="2">
        <v>53.18</v>
      </c>
      <c r="L736" t="s">
        <v>15</v>
      </c>
      <c r="M736" s="2">
        <v>402</v>
      </c>
      <c r="N736" s="2">
        <v>5</v>
      </c>
      <c r="O736" s="2">
        <f t="shared" si="68"/>
        <v>80.400000000000006</v>
      </c>
      <c r="P736" s="2">
        <f t="shared" si="69"/>
        <v>1.5118465588567132</v>
      </c>
      <c r="Q736" s="3">
        <f t="shared" si="70"/>
        <v>0.13228855721393035</v>
      </c>
    </row>
    <row r="737" spans="1:17" hidden="1" x14ac:dyDescent="0.25">
      <c r="A737" t="s">
        <v>799</v>
      </c>
      <c r="B737" t="s">
        <v>23</v>
      </c>
      <c r="C737" t="s">
        <v>52</v>
      </c>
      <c r="D737" t="str">
        <f t="shared" si="66"/>
        <v>AZ</v>
      </c>
      <c r="E737" t="str">
        <f t="shared" si="67"/>
        <v>Southwest</v>
      </c>
      <c r="F737" t="s">
        <v>42</v>
      </c>
      <c r="G737" s="1">
        <v>45160</v>
      </c>
      <c r="H737" s="1">
        <v>45171</v>
      </c>
      <c r="I737" s="1">
        <f t="shared" si="71"/>
        <v>45171</v>
      </c>
      <c r="J737" s="2">
        <v>43.8</v>
      </c>
      <c r="K737" s="2">
        <v>138.22999999999999</v>
      </c>
      <c r="L737" t="s">
        <v>47</v>
      </c>
      <c r="M737" s="2">
        <v>691</v>
      </c>
      <c r="N737" s="2">
        <v>3</v>
      </c>
      <c r="O737" s="2">
        <f t="shared" si="68"/>
        <v>230.33333333333334</v>
      </c>
      <c r="P737" s="2">
        <f t="shared" si="69"/>
        <v>1.6663049506860548</v>
      </c>
      <c r="Q737" s="3">
        <f t="shared" si="70"/>
        <v>0.20004341534008682</v>
      </c>
    </row>
    <row r="738" spans="1:17" hidden="1" x14ac:dyDescent="0.25">
      <c r="A738" t="s">
        <v>800</v>
      </c>
      <c r="B738" t="s">
        <v>56</v>
      </c>
      <c r="C738" t="s">
        <v>54</v>
      </c>
      <c r="D738" t="str">
        <f t="shared" si="66"/>
        <v>FL</v>
      </c>
      <c r="E738" t="str">
        <f t="shared" si="67"/>
        <v>Southeast</v>
      </c>
      <c r="F738" t="s">
        <v>59</v>
      </c>
      <c r="G738" s="1">
        <v>45127</v>
      </c>
      <c r="H738" s="1">
        <v>45129</v>
      </c>
      <c r="I738" s="1">
        <f t="shared" si="71"/>
        <v>45129</v>
      </c>
      <c r="J738" s="2">
        <v>10.1</v>
      </c>
      <c r="K738" s="2">
        <v>61.2</v>
      </c>
      <c r="L738" t="s">
        <v>15</v>
      </c>
      <c r="M738" s="2">
        <v>469</v>
      </c>
      <c r="N738" s="2">
        <v>2</v>
      </c>
      <c r="O738" s="2">
        <f t="shared" si="68"/>
        <v>234.5</v>
      </c>
      <c r="P738" s="2">
        <f t="shared" si="69"/>
        <v>3.8316993464052285</v>
      </c>
      <c r="Q738" s="3">
        <f t="shared" si="70"/>
        <v>0.13049040511727081</v>
      </c>
    </row>
    <row r="739" spans="1:17" hidden="1" x14ac:dyDescent="0.25">
      <c r="A739" t="s">
        <v>801</v>
      </c>
      <c r="B739" t="s">
        <v>12</v>
      </c>
      <c r="C739" t="s">
        <v>40</v>
      </c>
      <c r="D739" t="str">
        <f t="shared" si="66"/>
        <v>MI</v>
      </c>
      <c r="E739" t="str">
        <f t="shared" si="67"/>
        <v>Midwest</v>
      </c>
      <c r="F739" t="s">
        <v>59</v>
      </c>
      <c r="G739" s="1">
        <v>45160</v>
      </c>
      <c r="H739" s="1">
        <v>45168</v>
      </c>
      <c r="I739" s="1">
        <f t="shared" si="71"/>
        <v>45168</v>
      </c>
      <c r="J739" s="2">
        <v>24.7</v>
      </c>
      <c r="K739" s="2">
        <v>280.23</v>
      </c>
      <c r="L739" t="s">
        <v>15</v>
      </c>
      <c r="M739" s="2">
        <v>2030</v>
      </c>
      <c r="N739" s="2">
        <v>8</v>
      </c>
      <c r="O739" s="2">
        <f t="shared" si="68"/>
        <v>253.75</v>
      </c>
      <c r="P739" s="2">
        <f t="shared" si="69"/>
        <v>0.90550619134282551</v>
      </c>
      <c r="Q739" s="3">
        <f t="shared" si="70"/>
        <v>0.13804433497536947</v>
      </c>
    </row>
    <row r="740" spans="1:17" hidden="1" x14ac:dyDescent="0.25">
      <c r="A740" t="s">
        <v>802</v>
      </c>
      <c r="B740" t="s">
        <v>56</v>
      </c>
      <c r="C740" t="s">
        <v>57</v>
      </c>
      <c r="D740" t="str">
        <f t="shared" si="66"/>
        <v>MN</v>
      </c>
      <c r="E740" t="str">
        <f t="shared" si="67"/>
        <v>Midwest</v>
      </c>
      <c r="F740" t="s">
        <v>32</v>
      </c>
      <c r="G740" s="1">
        <v>45206</v>
      </c>
      <c r="H740" s="1">
        <v>45209</v>
      </c>
      <c r="I740" s="1">
        <f t="shared" si="71"/>
        <v>45209</v>
      </c>
      <c r="J740" s="2">
        <v>26.5</v>
      </c>
      <c r="K740" s="2">
        <v>155.19999999999999</v>
      </c>
      <c r="L740" t="s">
        <v>15</v>
      </c>
      <c r="M740" s="2">
        <v>810</v>
      </c>
      <c r="N740" s="2">
        <v>3</v>
      </c>
      <c r="O740" s="2">
        <f t="shared" si="68"/>
        <v>270</v>
      </c>
      <c r="P740" s="2">
        <f t="shared" si="69"/>
        <v>1.7396907216494846</v>
      </c>
      <c r="Q740" s="3">
        <f t="shared" si="70"/>
        <v>0.19160493827160494</v>
      </c>
    </row>
    <row r="741" spans="1:17" x14ac:dyDescent="0.25">
      <c r="A741" t="s">
        <v>803</v>
      </c>
      <c r="B741" t="s">
        <v>20</v>
      </c>
      <c r="C741" t="s">
        <v>13</v>
      </c>
      <c r="D741" t="str">
        <f t="shared" si="66"/>
        <v>CA</v>
      </c>
      <c r="E741" t="str">
        <f t="shared" si="67"/>
        <v>West</v>
      </c>
      <c r="F741" t="s">
        <v>42</v>
      </c>
      <c r="G741" s="1">
        <v>45266</v>
      </c>
      <c r="H741" s="1">
        <v>45269</v>
      </c>
      <c r="I741" s="1">
        <f t="shared" si="71"/>
        <v>45269</v>
      </c>
      <c r="J741" s="2">
        <v>6.2</v>
      </c>
      <c r="K741" s="2">
        <v>111.44</v>
      </c>
      <c r="L741" t="s">
        <v>15</v>
      </c>
      <c r="M741" s="2">
        <v>735</v>
      </c>
      <c r="N741" s="2">
        <v>3</v>
      </c>
      <c r="O741" s="2">
        <f t="shared" si="68"/>
        <v>245</v>
      </c>
      <c r="P741" s="2">
        <f t="shared" si="69"/>
        <v>2.1984924623115578</v>
      </c>
      <c r="Q741" s="3">
        <f t="shared" si="70"/>
        <v>0.15161904761904763</v>
      </c>
    </row>
    <row r="742" spans="1:17" hidden="1" x14ac:dyDescent="0.25">
      <c r="A742" t="s">
        <v>804</v>
      </c>
      <c r="B742" t="s">
        <v>56</v>
      </c>
      <c r="C742" t="s">
        <v>57</v>
      </c>
      <c r="D742" t="str">
        <f t="shared" si="66"/>
        <v>MN</v>
      </c>
      <c r="E742" t="str">
        <f t="shared" si="67"/>
        <v>Midwest</v>
      </c>
      <c r="F742" t="s">
        <v>18</v>
      </c>
      <c r="G742" s="1">
        <v>45029</v>
      </c>
      <c r="H742" s="1">
        <v>45031</v>
      </c>
      <c r="I742" s="1">
        <f t="shared" si="71"/>
        <v>45031</v>
      </c>
      <c r="J742" s="2">
        <v>10</v>
      </c>
      <c r="K742" s="2">
        <v>45.28</v>
      </c>
      <c r="L742" t="s">
        <v>15</v>
      </c>
      <c r="M742" s="2">
        <v>236</v>
      </c>
      <c r="N742" s="2">
        <v>2</v>
      </c>
      <c r="O742" s="2">
        <f t="shared" si="68"/>
        <v>118</v>
      </c>
      <c r="P742" s="2">
        <f t="shared" si="69"/>
        <v>2.6060070671378091</v>
      </c>
      <c r="Q742" s="3">
        <f t="shared" si="70"/>
        <v>0.19186440677966102</v>
      </c>
    </row>
    <row r="743" spans="1:17" hidden="1" x14ac:dyDescent="0.25">
      <c r="A743" t="s">
        <v>805</v>
      </c>
      <c r="B743" t="s">
        <v>49</v>
      </c>
      <c r="C743" t="s">
        <v>52</v>
      </c>
      <c r="D743" t="str">
        <f t="shared" si="66"/>
        <v>AZ</v>
      </c>
      <c r="E743" t="str">
        <f t="shared" si="67"/>
        <v>Southwest</v>
      </c>
      <c r="F743" t="s">
        <v>18</v>
      </c>
      <c r="G743" s="1">
        <v>45028</v>
      </c>
      <c r="H743" s="1">
        <v>45033</v>
      </c>
      <c r="I743" s="1">
        <f t="shared" si="71"/>
        <v>45033</v>
      </c>
      <c r="J743" s="2">
        <v>9.5</v>
      </c>
      <c r="K743" s="2">
        <v>194.71</v>
      </c>
      <c r="L743" t="s">
        <v>15</v>
      </c>
      <c r="M743" s="2">
        <v>1346</v>
      </c>
      <c r="N743" s="2">
        <v>5</v>
      </c>
      <c r="O743" s="2">
        <f t="shared" si="68"/>
        <v>269.2</v>
      </c>
      <c r="P743" s="2">
        <f t="shared" si="69"/>
        <v>1.3825689486929278</v>
      </c>
      <c r="Q743" s="3">
        <f t="shared" si="70"/>
        <v>0.14465824665676077</v>
      </c>
    </row>
    <row r="744" spans="1:17" x14ac:dyDescent="0.25">
      <c r="A744" t="s">
        <v>806</v>
      </c>
      <c r="B744" t="s">
        <v>39</v>
      </c>
      <c r="C744" t="s">
        <v>81</v>
      </c>
      <c r="D744" t="str">
        <f t="shared" si="66"/>
        <v>CO</v>
      </c>
      <c r="E744" t="str">
        <f t="shared" si="67"/>
        <v>West</v>
      </c>
      <c r="F744" t="s">
        <v>14</v>
      </c>
      <c r="G744" s="1">
        <v>45043</v>
      </c>
      <c r="I744" s="1">
        <f t="shared" si="71"/>
        <v>45046</v>
      </c>
      <c r="J744" s="2">
        <v>12.1</v>
      </c>
      <c r="K744" s="2">
        <v>140.94</v>
      </c>
      <c r="L744" t="s">
        <v>15</v>
      </c>
      <c r="M744" s="2">
        <v>1030</v>
      </c>
      <c r="N744" s="2">
        <v>3</v>
      </c>
      <c r="O744" s="2">
        <f t="shared" si="68"/>
        <v>343.33333333333331</v>
      </c>
      <c r="P744" s="2">
        <f t="shared" si="69"/>
        <v>2.436024785960929</v>
      </c>
      <c r="Q744" s="3">
        <f t="shared" si="70"/>
        <v>0.13683495145631067</v>
      </c>
    </row>
    <row r="745" spans="1:17" hidden="1" x14ac:dyDescent="0.25">
      <c r="A745" t="s">
        <v>807</v>
      </c>
      <c r="B745" t="s">
        <v>49</v>
      </c>
      <c r="C745" t="s">
        <v>44</v>
      </c>
      <c r="D745" t="str">
        <f t="shared" si="66"/>
        <v>IL</v>
      </c>
      <c r="E745" t="str">
        <f t="shared" si="67"/>
        <v>Midwest</v>
      </c>
      <c r="F745" t="s">
        <v>59</v>
      </c>
      <c r="G745" s="1">
        <v>45162</v>
      </c>
      <c r="H745" s="1">
        <v>45166</v>
      </c>
      <c r="I745" s="1">
        <f t="shared" si="71"/>
        <v>45166</v>
      </c>
      <c r="J745" s="2">
        <v>71</v>
      </c>
      <c r="K745" s="2">
        <v>148.26</v>
      </c>
      <c r="L745" t="s">
        <v>15</v>
      </c>
      <c r="M745" s="2">
        <v>706</v>
      </c>
      <c r="N745" s="2">
        <v>4</v>
      </c>
      <c r="O745" s="2">
        <f t="shared" si="68"/>
        <v>176.5</v>
      </c>
      <c r="P745" s="2">
        <f t="shared" si="69"/>
        <v>1.1904761904761905</v>
      </c>
      <c r="Q745" s="3">
        <f t="shared" si="70"/>
        <v>0.21</v>
      </c>
    </row>
    <row r="746" spans="1:17" hidden="1" x14ac:dyDescent="0.25">
      <c r="A746" t="s">
        <v>808</v>
      </c>
      <c r="B746" t="s">
        <v>23</v>
      </c>
      <c r="C746" t="s">
        <v>54</v>
      </c>
      <c r="D746" t="str">
        <f t="shared" si="66"/>
        <v>FL</v>
      </c>
      <c r="E746" t="str">
        <f t="shared" si="67"/>
        <v>Southeast</v>
      </c>
      <c r="F746" t="s">
        <v>18</v>
      </c>
      <c r="G746" s="1">
        <v>45156</v>
      </c>
      <c r="H746" s="1">
        <v>45164</v>
      </c>
      <c r="I746" s="1">
        <f t="shared" si="71"/>
        <v>45164</v>
      </c>
      <c r="J746" s="2">
        <v>35.299999999999997</v>
      </c>
      <c r="K746" s="2">
        <v>212.84</v>
      </c>
      <c r="L746" t="s">
        <v>15</v>
      </c>
      <c r="M746" s="2">
        <v>1056</v>
      </c>
      <c r="N746" s="2">
        <v>8</v>
      </c>
      <c r="O746" s="2">
        <f t="shared" si="68"/>
        <v>132</v>
      </c>
      <c r="P746" s="2">
        <f t="shared" si="69"/>
        <v>0.62018417590678443</v>
      </c>
      <c r="Q746" s="3">
        <f t="shared" si="70"/>
        <v>0.20155303030303032</v>
      </c>
    </row>
    <row r="747" spans="1:17" hidden="1" x14ac:dyDescent="0.25">
      <c r="A747" t="s">
        <v>809</v>
      </c>
      <c r="B747" t="s">
        <v>56</v>
      </c>
      <c r="C747" t="s">
        <v>54</v>
      </c>
      <c r="D747" t="str">
        <f t="shared" si="66"/>
        <v>FL</v>
      </c>
      <c r="E747" t="str">
        <f t="shared" si="67"/>
        <v>Southeast</v>
      </c>
      <c r="F747" t="s">
        <v>18</v>
      </c>
      <c r="G747" s="1">
        <v>45114</v>
      </c>
      <c r="H747" s="1">
        <v>45119</v>
      </c>
      <c r="I747" s="1">
        <f t="shared" si="71"/>
        <v>45119</v>
      </c>
      <c r="J747" s="2">
        <v>18.100000000000001</v>
      </c>
      <c r="K747" s="2">
        <v>229.06</v>
      </c>
      <c r="L747" t="s">
        <v>15</v>
      </c>
      <c r="M747" s="2">
        <v>1660</v>
      </c>
      <c r="N747" s="2">
        <v>5</v>
      </c>
      <c r="O747" s="2">
        <f t="shared" si="68"/>
        <v>332</v>
      </c>
      <c r="P747" s="2">
        <f t="shared" si="69"/>
        <v>1.4494019034314154</v>
      </c>
      <c r="Q747" s="3">
        <f t="shared" si="70"/>
        <v>0.13798795180722892</v>
      </c>
    </row>
    <row r="748" spans="1:17" x14ac:dyDescent="0.25">
      <c r="A748" t="s">
        <v>810</v>
      </c>
      <c r="B748" t="s">
        <v>39</v>
      </c>
      <c r="C748" t="s">
        <v>70</v>
      </c>
      <c r="D748" t="str">
        <f t="shared" si="66"/>
        <v>CA</v>
      </c>
      <c r="E748" t="str">
        <f t="shared" si="67"/>
        <v>West</v>
      </c>
      <c r="F748" t="s">
        <v>14</v>
      </c>
      <c r="G748" s="1">
        <v>45234</v>
      </c>
      <c r="H748" s="1">
        <v>45240</v>
      </c>
      <c r="I748" s="1">
        <f t="shared" si="71"/>
        <v>45240</v>
      </c>
      <c r="J748" s="2">
        <v>10.3</v>
      </c>
      <c r="K748" s="2">
        <v>332.84</v>
      </c>
      <c r="L748" t="s">
        <v>15</v>
      </c>
      <c r="M748" s="2">
        <v>2174</v>
      </c>
      <c r="N748" s="2">
        <v>6</v>
      </c>
      <c r="O748" s="2">
        <f t="shared" si="68"/>
        <v>362.33333333333331</v>
      </c>
      <c r="P748" s="2">
        <f t="shared" si="69"/>
        <v>1.0886111444938509</v>
      </c>
      <c r="Q748" s="3">
        <f t="shared" si="70"/>
        <v>0.15310027598896042</v>
      </c>
    </row>
    <row r="749" spans="1:17" hidden="1" x14ac:dyDescent="0.25">
      <c r="A749" t="s">
        <v>811</v>
      </c>
      <c r="B749" t="s">
        <v>20</v>
      </c>
      <c r="C749" t="s">
        <v>44</v>
      </c>
      <c r="D749" t="str">
        <f t="shared" si="66"/>
        <v>IL</v>
      </c>
      <c r="E749" t="str">
        <f t="shared" si="67"/>
        <v>Midwest</v>
      </c>
      <c r="F749" t="s">
        <v>37</v>
      </c>
      <c r="G749" s="1">
        <v>45035</v>
      </c>
      <c r="H749" s="1">
        <v>45039</v>
      </c>
      <c r="I749" s="1">
        <f t="shared" si="71"/>
        <v>45039</v>
      </c>
      <c r="J749" s="2">
        <v>72.900000000000006</v>
      </c>
      <c r="K749" s="2">
        <v>236.99</v>
      </c>
      <c r="L749" t="s">
        <v>15</v>
      </c>
      <c r="M749" s="2">
        <v>1270</v>
      </c>
      <c r="N749" s="2">
        <v>4</v>
      </c>
      <c r="O749" s="2">
        <f t="shared" si="68"/>
        <v>317.5</v>
      </c>
      <c r="P749" s="2">
        <f t="shared" si="69"/>
        <v>1.3397189754841976</v>
      </c>
      <c r="Q749" s="3">
        <f t="shared" si="70"/>
        <v>0.18660629921259844</v>
      </c>
    </row>
    <row r="750" spans="1:17" x14ac:dyDescent="0.25">
      <c r="A750" t="s">
        <v>812</v>
      </c>
      <c r="B750" t="s">
        <v>56</v>
      </c>
      <c r="C750" t="s">
        <v>36</v>
      </c>
      <c r="D750" t="str">
        <f t="shared" si="66"/>
        <v>OR</v>
      </c>
      <c r="E750" t="str">
        <f t="shared" si="67"/>
        <v>West</v>
      </c>
      <c r="F750" t="s">
        <v>59</v>
      </c>
      <c r="G750" s="1">
        <v>44946</v>
      </c>
      <c r="H750" s="1">
        <v>44951</v>
      </c>
      <c r="I750" s="1">
        <f t="shared" si="71"/>
        <v>44951</v>
      </c>
      <c r="J750" s="2">
        <v>18.7</v>
      </c>
      <c r="K750" s="2">
        <v>312.02</v>
      </c>
      <c r="L750" t="s">
        <v>15</v>
      </c>
      <c r="M750" s="2">
        <v>2308</v>
      </c>
      <c r="N750" s="2">
        <v>5</v>
      </c>
      <c r="O750" s="2">
        <f t="shared" si="68"/>
        <v>461.6</v>
      </c>
      <c r="P750" s="2">
        <f t="shared" si="69"/>
        <v>1.4793923466444461</v>
      </c>
      <c r="Q750" s="3">
        <f t="shared" si="70"/>
        <v>0.13519064124783362</v>
      </c>
    </row>
    <row r="751" spans="1:17" hidden="1" x14ac:dyDescent="0.25">
      <c r="A751" t="s">
        <v>813</v>
      </c>
      <c r="B751" t="s">
        <v>23</v>
      </c>
      <c r="C751" t="s">
        <v>21</v>
      </c>
      <c r="D751" t="str">
        <f t="shared" si="66"/>
        <v>TX</v>
      </c>
      <c r="E751" t="str">
        <f t="shared" si="67"/>
        <v>Southwest</v>
      </c>
      <c r="F751" t="s">
        <v>42</v>
      </c>
      <c r="G751" s="1">
        <v>44940</v>
      </c>
      <c r="H751" s="1">
        <v>44942</v>
      </c>
      <c r="I751" s="1">
        <f t="shared" si="71"/>
        <v>44942</v>
      </c>
      <c r="J751" s="2">
        <v>39.6</v>
      </c>
      <c r="K751" s="2">
        <v>90.47</v>
      </c>
      <c r="L751" t="s">
        <v>15</v>
      </c>
      <c r="M751" s="2">
        <v>307</v>
      </c>
      <c r="N751" s="2">
        <v>2</v>
      </c>
      <c r="O751" s="2">
        <f t="shared" si="68"/>
        <v>153.5</v>
      </c>
      <c r="P751" s="2">
        <f t="shared" si="69"/>
        <v>1.6966950370288494</v>
      </c>
      <c r="Q751" s="3">
        <f t="shared" si="70"/>
        <v>0.29469055374592834</v>
      </c>
    </row>
    <row r="752" spans="1:17" hidden="1" x14ac:dyDescent="0.25">
      <c r="A752" t="s">
        <v>814</v>
      </c>
      <c r="B752" t="s">
        <v>12</v>
      </c>
      <c r="C752" t="s">
        <v>52</v>
      </c>
      <c r="D752" t="str">
        <f t="shared" si="66"/>
        <v>AZ</v>
      </c>
      <c r="E752" t="str">
        <f t="shared" si="67"/>
        <v>Southwest</v>
      </c>
      <c r="F752" t="s">
        <v>42</v>
      </c>
      <c r="G752" s="1">
        <v>45063</v>
      </c>
      <c r="H752" s="1">
        <v>45067</v>
      </c>
      <c r="I752" s="1">
        <f t="shared" si="71"/>
        <v>45067</v>
      </c>
      <c r="J752" s="2">
        <v>10.8</v>
      </c>
      <c r="K752" s="2">
        <v>125.78</v>
      </c>
      <c r="L752" t="s">
        <v>15</v>
      </c>
      <c r="M752" s="2">
        <v>912</v>
      </c>
      <c r="N752" s="2">
        <v>4</v>
      </c>
      <c r="O752" s="2">
        <f t="shared" si="68"/>
        <v>228</v>
      </c>
      <c r="P752" s="2">
        <f t="shared" si="69"/>
        <v>1.8126888217522659</v>
      </c>
      <c r="Q752" s="3">
        <f t="shared" si="70"/>
        <v>0.13791666666666666</v>
      </c>
    </row>
    <row r="753" spans="1:17" hidden="1" x14ac:dyDescent="0.25">
      <c r="A753" t="s">
        <v>815</v>
      </c>
      <c r="B753" t="s">
        <v>20</v>
      </c>
      <c r="C753" t="s">
        <v>28</v>
      </c>
      <c r="D753" t="str">
        <f t="shared" si="66"/>
        <v>TX</v>
      </c>
      <c r="E753" t="str">
        <f t="shared" si="67"/>
        <v>Southwest</v>
      </c>
      <c r="F753" t="s">
        <v>32</v>
      </c>
      <c r="G753" s="1">
        <v>44942</v>
      </c>
      <c r="H753" s="1">
        <v>44947</v>
      </c>
      <c r="I753" s="1">
        <f t="shared" si="71"/>
        <v>44947</v>
      </c>
      <c r="J753" s="2">
        <v>48.5</v>
      </c>
      <c r="K753" s="2">
        <v>261.64</v>
      </c>
      <c r="L753" t="s">
        <v>15</v>
      </c>
      <c r="M753" s="2">
        <v>1435</v>
      </c>
      <c r="N753" s="2">
        <v>5</v>
      </c>
      <c r="O753" s="2">
        <f t="shared" si="68"/>
        <v>287</v>
      </c>
      <c r="P753" s="2">
        <f t="shared" si="69"/>
        <v>1.0969270753707385</v>
      </c>
      <c r="Q753" s="3">
        <f t="shared" si="70"/>
        <v>0.18232752613240416</v>
      </c>
    </row>
    <row r="754" spans="1:17" hidden="1" x14ac:dyDescent="0.25">
      <c r="A754" t="s">
        <v>816</v>
      </c>
      <c r="B754" t="s">
        <v>12</v>
      </c>
      <c r="C754" t="s">
        <v>44</v>
      </c>
      <c r="D754" t="str">
        <f t="shared" si="66"/>
        <v>IL</v>
      </c>
      <c r="E754" t="str">
        <f t="shared" si="67"/>
        <v>Midwest</v>
      </c>
      <c r="F754" t="s">
        <v>18</v>
      </c>
      <c r="G754" s="1">
        <v>45162</v>
      </c>
      <c r="H754" s="1">
        <v>45167</v>
      </c>
      <c r="I754" s="1">
        <f t="shared" si="71"/>
        <v>45167</v>
      </c>
      <c r="J754" s="2">
        <v>57.5</v>
      </c>
      <c r="K754" s="2">
        <v>257.60000000000002</v>
      </c>
      <c r="L754" t="s">
        <v>47</v>
      </c>
      <c r="M754" s="2">
        <v>1260</v>
      </c>
      <c r="N754" s="2">
        <v>3</v>
      </c>
      <c r="O754" s="2">
        <f t="shared" si="68"/>
        <v>420</v>
      </c>
      <c r="P754" s="2">
        <f t="shared" si="69"/>
        <v>1.6304347826086956</v>
      </c>
      <c r="Q754" s="3">
        <f t="shared" si="70"/>
        <v>0.20444444444444446</v>
      </c>
    </row>
    <row r="755" spans="1:17" hidden="1" x14ac:dyDescent="0.25">
      <c r="A755" t="s">
        <v>817</v>
      </c>
      <c r="B755" t="s">
        <v>56</v>
      </c>
      <c r="C755" t="s">
        <v>31</v>
      </c>
      <c r="D755" t="str">
        <f t="shared" ref="D755:D815" si="72">IF(C755="Atlanta","GA",
IF(C755="Boston","MA",
IF(C755="Chicago","IL",
IF(C755="Dallas","TX",
IF(C755="Denver","CO",
IF(C755="Detroit","MI",
IF(C755="Houston","TX",
IF(C755="Los Angeles","CA",
IF(C755="Miami","FL",
IF(C755="Minneapolis","MN",
IF(C755="New York","NY",
IF(C755="Phoenix","AZ",
IF(C755="Portland","OR",
IF(C755="San Francisco","CA",
IF(C755="Seattle","WA","Unknown")))))))))))))))</f>
        <v>NY</v>
      </c>
      <c r="E755" t="str">
        <f t="shared" ref="E755:E815" si="73">IF(OR(D755="NY",D755="NJ",D755="PA",D755="MA",D755="CT",D755="RI",D755="VT",D755="NH",D755="ME"),"Northeast",
IF(OR(D755="FL",D755="GA",D755="AL",D755="MS",D755="SC",D755="NC",D755="TN",D755="KY"),"Southeast",
IF(OR(D755="IL",D755="IN",D755="OH",D755="MI",D755="WI",D755="MN",D755="IA",D755="MO",D755="KS",D755="NE",D755="ND",D755="SD"),"Midwest",
IF(OR(D755="TX",D755="OK",D755="NM",D755="AZ"),"Southwest",
IF(OR(D755="CA",D755="OR",D755="WA",D755="NV",D755="CO",D755="UT",D755="ID",D755="MT",D755="WY",D755="AK",D755="HI"),"West","Other")))))</f>
        <v>Northeast</v>
      </c>
      <c r="F755" t="s">
        <v>59</v>
      </c>
      <c r="G755" s="1">
        <v>45113</v>
      </c>
      <c r="H755" s="1">
        <v>45117</v>
      </c>
      <c r="I755" s="1">
        <f t="shared" si="71"/>
        <v>45117</v>
      </c>
      <c r="J755" s="2">
        <v>13.6</v>
      </c>
      <c r="K755" s="2">
        <v>204.17</v>
      </c>
      <c r="L755" t="s">
        <v>15</v>
      </c>
      <c r="M755" s="2">
        <v>1646</v>
      </c>
      <c r="N755" s="2">
        <v>4</v>
      </c>
      <c r="O755" s="2">
        <f t="shared" ref="O755:O815" si="74">M755/N755</f>
        <v>411.5</v>
      </c>
      <c r="P755" s="2">
        <f t="shared" ref="P755:P815" si="75">O755/K755</f>
        <v>2.0154772983298233</v>
      </c>
      <c r="Q755" s="3">
        <f t="shared" ref="Q755:Q815" si="76">K755/M755</f>
        <v>0.12404009720534628</v>
      </c>
    </row>
    <row r="756" spans="1:17" hidden="1" x14ac:dyDescent="0.25">
      <c r="A756" t="s">
        <v>818</v>
      </c>
      <c r="B756" t="s">
        <v>35</v>
      </c>
      <c r="C756" t="s">
        <v>46</v>
      </c>
      <c r="D756" t="str">
        <f t="shared" si="72"/>
        <v>MA</v>
      </c>
      <c r="E756" t="str">
        <f t="shared" si="73"/>
        <v>Northeast</v>
      </c>
      <c r="F756" t="s">
        <v>14</v>
      </c>
      <c r="G756" s="1">
        <v>45031</v>
      </c>
      <c r="H756" s="1">
        <v>45037</v>
      </c>
      <c r="I756" s="1">
        <f t="shared" si="71"/>
        <v>45037</v>
      </c>
      <c r="J756" s="2">
        <v>7.7</v>
      </c>
      <c r="K756" s="2">
        <v>284.58999999999997</v>
      </c>
      <c r="L756" t="s">
        <v>15</v>
      </c>
      <c r="M756" s="2">
        <v>2012</v>
      </c>
      <c r="N756" s="2">
        <v>6</v>
      </c>
      <c r="O756" s="2">
        <f t="shared" si="74"/>
        <v>335.33333333333331</v>
      </c>
      <c r="P756" s="2">
        <f t="shared" si="75"/>
        <v>1.1783032901132624</v>
      </c>
      <c r="Q756" s="3">
        <f t="shared" si="76"/>
        <v>0.14144632206759442</v>
      </c>
    </row>
    <row r="757" spans="1:17" hidden="1" x14ac:dyDescent="0.25">
      <c r="A757" t="s">
        <v>819</v>
      </c>
      <c r="B757" t="s">
        <v>35</v>
      </c>
      <c r="C757" t="s">
        <v>40</v>
      </c>
      <c r="D757" t="str">
        <f t="shared" si="72"/>
        <v>MI</v>
      </c>
      <c r="E757" t="str">
        <f t="shared" si="73"/>
        <v>Midwest</v>
      </c>
      <c r="F757" t="s">
        <v>32</v>
      </c>
      <c r="G757" s="1">
        <v>45154</v>
      </c>
      <c r="H757" s="1">
        <v>45156</v>
      </c>
      <c r="I757" s="1">
        <f t="shared" si="71"/>
        <v>45156</v>
      </c>
      <c r="J757" s="2">
        <v>41.8</v>
      </c>
      <c r="K757" s="2">
        <v>84.62</v>
      </c>
      <c r="L757" t="s">
        <v>15</v>
      </c>
      <c r="M757" s="2">
        <v>283</v>
      </c>
      <c r="N757" s="2">
        <v>2</v>
      </c>
      <c r="O757" s="2">
        <f t="shared" si="74"/>
        <v>141.5</v>
      </c>
      <c r="P757" s="2">
        <f t="shared" si="75"/>
        <v>1.6721815173717796</v>
      </c>
      <c r="Q757" s="3">
        <f t="shared" si="76"/>
        <v>0.29901060070671381</v>
      </c>
    </row>
    <row r="758" spans="1:17" x14ac:dyDescent="0.25">
      <c r="A758" t="s">
        <v>820</v>
      </c>
      <c r="B758" t="s">
        <v>20</v>
      </c>
      <c r="C758" t="s">
        <v>13</v>
      </c>
      <c r="D758" t="str">
        <f t="shared" si="72"/>
        <v>CA</v>
      </c>
      <c r="E758" t="str">
        <f t="shared" si="73"/>
        <v>West</v>
      </c>
      <c r="F758" t="s">
        <v>59</v>
      </c>
      <c r="G758" s="1">
        <v>45078</v>
      </c>
      <c r="H758" s="1">
        <v>45081</v>
      </c>
      <c r="I758" s="1">
        <f t="shared" si="71"/>
        <v>45081</v>
      </c>
      <c r="J758" s="2">
        <v>43.9</v>
      </c>
      <c r="K758" s="2">
        <v>222.74</v>
      </c>
      <c r="L758" t="s">
        <v>15</v>
      </c>
      <c r="M758" s="2">
        <v>1342</v>
      </c>
      <c r="N758" s="2">
        <v>3</v>
      </c>
      <c r="O758" s="2">
        <f t="shared" si="74"/>
        <v>447.33333333333331</v>
      </c>
      <c r="P758" s="2">
        <f t="shared" si="75"/>
        <v>2.0083206129717754</v>
      </c>
      <c r="Q758" s="3">
        <f t="shared" si="76"/>
        <v>0.16597615499254845</v>
      </c>
    </row>
    <row r="759" spans="1:17" hidden="1" x14ac:dyDescent="0.25">
      <c r="A759" t="s">
        <v>821</v>
      </c>
      <c r="B759" t="s">
        <v>49</v>
      </c>
      <c r="C759" t="s">
        <v>52</v>
      </c>
      <c r="D759" t="str">
        <f t="shared" si="72"/>
        <v>AZ</v>
      </c>
      <c r="E759" t="str">
        <f t="shared" si="73"/>
        <v>Southwest</v>
      </c>
      <c r="F759" t="s">
        <v>14</v>
      </c>
      <c r="G759" s="1">
        <v>45136</v>
      </c>
      <c r="H759" s="1">
        <v>45142</v>
      </c>
      <c r="I759" s="1">
        <f t="shared" si="71"/>
        <v>45142</v>
      </c>
      <c r="J759" s="2">
        <v>30</v>
      </c>
      <c r="K759" s="2">
        <v>266.62</v>
      </c>
      <c r="L759" t="s">
        <v>15</v>
      </c>
      <c r="M759" s="2">
        <v>2030</v>
      </c>
      <c r="N759" s="2">
        <v>6</v>
      </c>
      <c r="O759" s="2">
        <f t="shared" si="74"/>
        <v>338.33333333333331</v>
      </c>
      <c r="P759" s="2">
        <f t="shared" si="75"/>
        <v>1.2689720701122695</v>
      </c>
      <c r="Q759" s="3">
        <f t="shared" si="76"/>
        <v>0.1313399014778325</v>
      </c>
    </row>
    <row r="760" spans="1:17" hidden="1" x14ac:dyDescent="0.25">
      <c r="A760" t="s">
        <v>822</v>
      </c>
      <c r="B760" t="s">
        <v>49</v>
      </c>
      <c r="C760" t="s">
        <v>31</v>
      </c>
      <c r="D760" t="str">
        <f t="shared" si="72"/>
        <v>NY</v>
      </c>
      <c r="E760" t="str">
        <f t="shared" si="73"/>
        <v>Northeast</v>
      </c>
      <c r="F760" t="s">
        <v>18</v>
      </c>
      <c r="G760" s="1">
        <v>45027</v>
      </c>
      <c r="H760" s="1">
        <v>45043</v>
      </c>
      <c r="I760" s="1">
        <f t="shared" si="71"/>
        <v>45043</v>
      </c>
      <c r="J760" s="2">
        <v>73.599999999999994</v>
      </c>
      <c r="K760" s="2">
        <v>437.29</v>
      </c>
      <c r="L760" t="s">
        <v>47</v>
      </c>
      <c r="M760" s="2">
        <v>2241</v>
      </c>
      <c r="N760" s="2">
        <v>6</v>
      </c>
      <c r="O760" s="2">
        <f t="shared" si="74"/>
        <v>373.5</v>
      </c>
      <c r="P760" s="2">
        <f t="shared" si="75"/>
        <v>0.85412426536165931</v>
      </c>
      <c r="Q760" s="3">
        <f t="shared" si="76"/>
        <v>0.19513163766175814</v>
      </c>
    </row>
    <row r="761" spans="1:17" hidden="1" x14ac:dyDescent="0.25">
      <c r="A761" t="s">
        <v>823</v>
      </c>
      <c r="B761" t="s">
        <v>12</v>
      </c>
      <c r="C761" t="s">
        <v>54</v>
      </c>
      <c r="D761" t="str">
        <f t="shared" si="72"/>
        <v>FL</v>
      </c>
      <c r="E761" t="str">
        <f t="shared" si="73"/>
        <v>Southeast</v>
      </c>
      <c r="F761" t="s">
        <v>42</v>
      </c>
      <c r="G761" s="1">
        <v>45232</v>
      </c>
      <c r="H761" s="1">
        <v>45237</v>
      </c>
      <c r="I761" s="1">
        <f t="shared" si="71"/>
        <v>45237</v>
      </c>
      <c r="J761" s="2">
        <v>23.2</v>
      </c>
      <c r="K761" s="2">
        <v>51.9</v>
      </c>
      <c r="L761" t="s">
        <v>15</v>
      </c>
      <c r="M761" s="2">
        <v>147</v>
      </c>
      <c r="N761" s="2">
        <v>5</v>
      </c>
      <c r="O761" s="2">
        <f t="shared" si="74"/>
        <v>29.4</v>
      </c>
      <c r="P761" s="2">
        <f t="shared" si="75"/>
        <v>0.5664739884393063</v>
      </c>
      <c r="Q761" s="3">
        <f t="shared" si="76"/>
        <v>0.35306122448979593</v>
      </c>
    </row>
    <row r="762" spans="1:17" hidden="1" x14ac:dyDescent="0.25">
      <c r="A762" t="s">
        <v>824</v>
      </c>
      <c r="B762" t="s">
        <v>27</v>
      </c>
      <c r="C762" t="s">
        <v>44</v>
      </c>
      <c r="D762" t="str">
        <f t="shared" si="72"/>
        <v>IL</v>
      </c>
      <c r="E762" t="str">
        <f t="shared" si="73"/>
        <v>Midwest</v>
      </c>
      <c r="F762" t="s">
        <v>37</v>
      </c>
      <c r="G762" s="1">
        <v>45178</v>
      </c>
      <c r="H762" s="1">
        <v>45182</v>
      </c>
      <c r="I762" s="1">
        <f t="shared" si="71"/>
        <v>45182</v>
      </c>
      <c r="J762" s="2">
        <v>23.2</v>
      </c>
      <c r="K762" s="2">
        <v>191.94</v>
      </c>
      <c r="L762" t="s">
        <v>15</v>
      </c>
      <c r="M762" s="2">
        <v>1277</v>
      </c>
      <c r="N762" s="2">
        <v>4</v>
      </c>
      <c r="O762" s="2">
        <f t="shared" si="74"/>
        <v>319.25</v>
      </c>
      <c r="P762" s="2">
        <f t="shared" si="75"/>
        <v>1.6632801917265811</v>
      </c>
      <c r="Q762" s="3">
        <f t="shared" si="76"/>
        <v>0.1503054032889585</v>
      </c>
    </row>
    <row r="763" spans="1:17" hidden="1" x14ac:dyDescent="0.25">
      <c r="A763" t="s">
        <v>825</v>
      </c>
      <c r="B763" t="s">
        <v>30</v>
      </c>
      <c r="C763" t="s">
        <v>46</v>
      </c>
      <c r="D763" t="str">
        <f t="shared" si="72"/>
        <v>MA</v>
      </c>
      <c r="E763" t="str">
        <f t="shared" si="73"/>
        <v>Northeast</v>
      </c>
      <c r="F763" t="s">
        <v>14</v>
      </c>
      <c r="G763" s="1">
        <v>45200</v>
      </c>
      <c r="H763" s="1">
        <v>45212</v>
      </c>
      <c r="I763" s="1">
        <f t="shared" si="71"/>
        <v>45212</v>
      </c>
      <c r="J763" s="2">
        <v>38</v>
      </c>
      <c r="K763" s="2">
        <v>108.83</v>
      </c>
      <c r="L763" t="s">
        <v>47</v>
      </c>
      <c r="M763" s="2">
        <v>527</v>
      </c>
      <c r="N763" s="2">
        <v>2</v>
      </c>
      <c r="O763" s="2">
        <f t="shared" si="74"/>
        <v>263.5</v>
      </c>
      <c r="P763" s="2">
        <f t="shared" si="75"/>
        <v>2.4212073876688414</v>
      </c>
      <c r="Q763" s="3">
        <f t="shared" si="76"/>
        <v>0.20650853889943074</v>
      </c>
    </row>
    <row r="764" spans="1:17" x14ac:dyDescent="0.25">
      <c r="A764" t="s">
        <v>826</v>
      </c>
      <c r="B764" t="s">
        <v>23</v>
      </c>
      <c r="C764" t="s">
        <v>36</v>
      </c>
      <c r="D764" t="str">
        <f t="shared" si="72"/>
        <v>OR</v>
      </c>
      <c r="E764" t="str">
        <f t="shared" si="73"/>
        <v>West</v>
      </c>
      <c r="F764" t="s">
        <v>25</v>
      </c>
      <c r="G764" s="1">
        <v>45195</v>
      </c>
      <c r="H764" s="1">
        <v>45199</v>
      </c>
      <c r="I764" s="1">
        <f t="shared" si="71"/>
        <v>45199</v>
      </c>
      <c r="J764" s="2">
        <v>12.8</v>
      </c>
      <c r="K764" s="2">
        <v>147.18</v>
      </c>
      <c r="L764" t="s">
        <v>15</v>
      </c>
      <c r="M764" s="2">
        <v>1012</v>
      </c>
      <c r="N764" s="2">
        <v>4</v>
      </c>
      <c r="O764" s="2">
        <f t="shared" si="74"/>
        <v>253</v>
      </c>
      <c r="P764" s="2">
        <f t="shared" si="75"/>
        <v>1.7189835575485799</v>
      </c>
      <c r="Q764" s="3">
        <f t="shared" si="76"/>
        <v>0.14543478260869566</v>
      </c>
    </row>
    <row r="765" spans="1:17" x14ac:dyDescent="0.25">
      <c r="A765" t="s">
        <v>827</v>
      </c>
      <c r="B765" t="s">
        <v>30</v>
      </c>
      <c r="C765" t="s">
        <v>36</v>
      </c>
      <c r="D765" t="str">
        <f t="shared" si="72"/>
        <v>OR</v>
      </c>
      <c r="E765" t="str">
        <f t="shared" si="73"/>
        <v>West</v>
      </c>
      <c r="F765" t="s">
        <v>59</v>
      </c>
      <c r="G765" s="1">
        <v>44981</v>
      </c>
      <c r="H765" s="1">
        <v>44984</v>
      </c>
      <c r="I765" s="1">
        <f t="shared" si="71"/>
        <v>44984</v>
      </c>
      <c r="J765" s="2">
        <v>103.4</v>
      </c>
      <c r="K765" s="2">
        <v>226.95</v>
      </c>
      <c r="L765" t="s">
        <v>15</v>
      </c>
      <c r="M765" s="2">
        <v>779</v>
      </c>
      <c r="N765" s="2">
        <v>3</v>
      </c>
      <c r="O765" s="2">
        <f t="shared" si="74"/>
        <v>259.66666666666669</v>
      </c>
      <c r="P765" s="2">
        <f t="shared" si="75"/>
        <v>1.144158037746934</v>
      </c>
      <c r="Q765" s="3">
        <f t="shared" si="76"/>
        <v>0.29133504492939666</v>
      </c>
    </row>
    <row r="766" spans="1:17" hidden="1" x14ac:dyDescent="0.25">
      <c r="A766" t="s">
        <v>828</v>
      </c>
      <c r="B766" t="s">
        <v>30</v>
      </c>
      <c r="C766" t="s">
        <v>44</v>
      </c>
      <c r="D766" t="str">
        <f t="shared" si="72"/>
        <v>IL</v>
      </c>
      <c r="E766" t="str">
        <f t="shared" si="73"/>
        <v>Midwest</v>
      </c>
      <c r="F766" t="s">
        <v>37</v>
      </c>
      <c r="G766" s="1">
        <v>45211</v>
      </c>
      <c r="H766" s="1">
        <v>45220</v>
      </c>
      <c r="I766" s="1">
        <f t="shared" si="71"/>
        <v>45220</v>
      </c>
      <c r="J766" s="2">
        <v>44.1</v>
      </c>
      <c r="K766" s="2">
        <v>319.83999999999997</v>
      </c>
      <c r="L766" t="s">
        <v>15</v>
      </c>
      <c r="M766" s="2">
        <v>2372</v>
      </c>
      <c r="N766" s="2">
        <v>9</v>
      </c>
      <c r="O766" s="2">
        <f t="shared" si="74"/>
        <v>263.55555555555554</v>
      </c>
      <c r="P766" s="2">
        <f t="shared" si="75"/>
        <v>0.82402312267244737</v>
      </c>
      <c r="Q766" s="3">
        <f t="shared" si="76"/>
        <v>0.1348397976391231</v>
      </c>
    </row>
    <row r="767" spans="1:17" hidden="1" x14ac:dyDescent="0.25">
      <c r="A767" t="s">
        <v>829</v>
      </c>
      <c r="B767" t="s">
        <v>27</v>
      </c>
      <c r="C767" t="s">
        <v>28</v>
      </c>
      <c r="D767" t="str">
        <f t="shared" si="72"/>
        <v>TX</v>
      </c>
      <c r="E767" t="str">
        <f t="shared" si="73"/>
        <v>Southwest</v>
      </c>
      <c r="F767" t="s">
        <v>42</v>
      </c>
      <c r="G767" s="1">
        <v>45282</v>
      </c>
      <c r="H767" s="1">
        <v>45286</v>
      </c>
      <c r="I767" s="1">
        <f t="shared" si="71"/>
        <v>45286</v>
      </c>
      <c r="J767" s="2">
        <v>22.3</v>
      </c>
      <c r="K767" s="2">
        <v>223.83</v>
      </c>
      <c r="L767" t="s">
        <v>15</v>
      </c>
      <c r="M767" s="2">
        <v>1234</v>
      </c>
      <c r="N767" s="2">
        <v>4</v>
      </c>
      <c r="O767" s="2">
        <f t="shared" si="74"/>
        <v>308.5</v>
      </c>
      <c r="P767" s="2">
        <f t="shared" si="75"/>
        <v>1.3782781575302685</v>
      </c>
      <c r="Q767" s="3">
        <f t="shared" si="76"/>
        <v>0.18138573743922204</v>
      </c>
    </row>
    <row r="768" spans="1:17" hidden="1" x14ac:dyDescent="0.25">
      <c r="A768" t="s">
        <v>830</v>
      </c>
      <c r="B768" t="s">
        <v>51</v>
      </c>
      <c r="C768" t="s">
        <v>21</v>
      </c>
      <c r="D768" t="str">
        <f t="shared" si="72"/>
        <v>TX</v>
      </c>
      <c r="E768" t="str">
        <f t="shared" si="73"/>
        <v>Southwest</v>
      </c>
      <c r="F768" t="s">
        <v>25</v>
      </c>
      <c r="G768" s="1">
        <v>45263</v>
      </c>
      <c r="H768" s="1">
        <v>45267</v>
      </c>
      <c r="I768" s="1">
        <f t="shared" si="71"/>
        <v>45267</v>
      </c>
      <c r="J768" s="2">
        <v>17.3</v>
      </c>
      <c r="K768" s="2">
        <v>218.41</v>
      </c>
      <c r="L768" t="s">
        <v>15</v>
      </c>
      <c r="M768" s="2">
        <v>1246</v>
      </c>
      <c r="N768" s="2">
        <v>4</v>
      </c>
      <c r="O768" s="2">
        <f t="shared" si="74"/>
        <v>311.5</v>
      </c>
      <c r="P768" s="2">
        <f t="shared" si="75"/>
        <v>1.4262167483173847</v>
      </c>
      <c r="Q768" s="3">
        <f t="shared" si="76"/>
        <v>0.17528892455858747</v>
      </c>
    </row>
    <row r="769" spans="1:17" hidden="1" x14ac:dyDescent="0.25">
      <c r="A769" t="s">
        <v>831</v>
      </c>
      <c r="B769" t="s">
        <v>23</v>
      </c>
      <c r="C769" t="s">
        <v>28</v>
      </c>
      <c r="D769" t="str">
        <f t="shared" si="72"/>
        <v>TX</v>
      </c>
      <c r="E769" t="str">
        <f t="shared" si="73"/>
        <v>Southwest</v>
      </c>
      <c r="F769" t="s">
        <v>42</v>
      </c>
      <c r="G769" s="1">
        <v>45154</v>
      </c>
      <c r="H769" s="1">
        <v>45157</v>
      </c>
      <c r="I769" s="1">
        <f t="shared" si="71"/>
        <v>45157</v>
      </c>
      <c r="J769" s="2">
        <v>19.3</v>
      </c>
      <c r="K769" s="2">
        <v>147.72999999999999</v>
      </c>
      <c r="L769" t="s">
        <v>15</v>
      </c>
      <c r="M769" s="2">
        <v>1068</v>
      </c>
      <c r="N769" s="2">
        <v>3</v>
      </c>
      <c r="O769" s="2">
        <f t="shared" si="74"/>
        <v>356</v>
      </c>
      <c r="P769" s="2">
        <f t="shared" si="75"/>
        <v>2.4098016652000274</v>
      </c>
      <c r="Q769" s="3">
        <f t="shared" si="76"/>
        <v>0.13832397003745317</v>
      </c>
    </row>
    <row r="770" spans="1:17" x14ac:dyDescent="0.25">
      <c r="A770" t="s">
        <v>833</v>
      </c>
      <c r="B770" t="s">
        <v>30</v>
      </c>
      <c r="C770" t="s">
        <v>81</v>
      </c>
      <c r="D770" t="str">
        <f t="shared" si="72"/>
        <v>CO</v>
      </c>
      <c r="E770" t="str">
        <f t="shared" si="73"/>
        <v>West</v>
      </c>
      <c r="F770" t="s">
        <v>42</v>
      </c>
      <c r="G770" s="1">
        <v>44958</v>
      </c>
      <c r="H770" s="1">
        <v>44962</v>
      </c>
      <c r="I770" s="1">
        <f t="shared" ref="I770:I833" si="77">IF(H770="", G770 + N770, H770)</f>
        <v>44962</v>
      </c>
      <c r="J770" s="2">
        <v>34</v>
      </c>
      <c r="K770" s="2">
        <v>193.6</v>
      </c>
      <c r="L770" t="s">
        <v>60</v>
      </c>
      <c r="M770" s="2">
        <v>1192</v>
      </c>
      <c r="N770" s="2">
        <v>4</v>
      </c>
      <c r="O770" s="2">
        <f t="shared" si="74"/>
        <v>298</v>
      </c>
      <c r="P770" s="2">
        <f t="shared" si="75"/>
        <v>1.5392561983471076</v>
      </c>
      <c r="Q770" s="3">
        <f t="shared" si="76"/>
        <v>0.16241610738255033</v>
      </c>
    </row>
    <row r="771" spans="1:17" hidden="1" x14ac:dyDescent="0.25">
      <c r="A771" t="s">
        <v>834</v>
      </c>
      <c r="B771" t="s">
        <v>56</v>
      </c>
      <c r="C771" t="s">
        <v>28</v>
      </c>
      <c r="D771" t="str">
        <f t="shared" si="72"/>
        <v>TX</v>
      </c>
      <c r="E771" t="str">
        <f t="shared" si="73"/>
        <v>Southwest</v>
      </c>
      <c r="F771" t="s">
        <v>18</v>
      </c>
      <c r="G771" s="1">
        <v>45036</v>
      </c>
      <c r="H771" s="1">
        <v>45040</v>
      </c>
      <c r="I771" s="1">
        <f t="shared" si="77"/>
        <v>45040</v>
      </c>
      <c r="J771" s="2">
        <v>18.600000000000001</v>
      </c>
      <c r="K771" s="2">
        <v>144.94999999999999</v>
      </c>
      <c r="L771" t="s">
        <v>67</v>
      </c>
      <c r="M771" s="2">
        <v>923</v>
      </c>
      <c r="N771" s="2">
        <v>4</v>
      </c>
      <c r="O771" s="2">
        <f t="shared" si="74"/>
        <v>230.75</v>
      </c>
      <c r="P771" s="2">
        <f t="shared" si="75"/>
        <v>1.5919282511210764</v>
      </c>
      <c r="Q771" s="3">
        <f t="shared" si="76"/>
        <v>0.15704225352112675</v>
      </c>
    </row>
    <row r="772" spans="1:17" hidden="1" x14ac:dyDescent="0.25">
      <c r="A772" t="s">
        <v>835</v>
      </c>
      <c r="B772" t="s">
        <v>30</v>
      </c>
      <c r="C772" t="s">
        <v>21</v>
      </c>
      <c r="D772" t="str">
        <f t="shared" si="72"/>
        <v>TX</v>
      </c>
      <c r="E772" t="str">
        <f t="shared" si="73"/>
        <v>Southwest</v>
      </c>
      <c r="F772" t="s">
        <v>18</v>
      </c>
      <c r="G772" s="1">
        <v>44975</v>
      </c>
      <c r="H772" s="1">
        <v>44978</v>
      </c>
      <c r="I772" s="1">
        <f t="shared" si="77"/>
        <v>44978</v>
      </c>
      <c r="J772" s="2">
        <v>16.899999999999999</v>
      </c>
      <c r="K772" s="2">
        <v>208.26</v>
      </c>
      <c r="L772" t="s">
        <v>15</v>
      </c>
      <c r="M772" s="2">
        <v>1434</v>
      </c>
      <c r="N772" s="2">
        <v>3</v>
      </c>
      <c r="O772" s="2">
        <f t="shared" si="74"/>
        <v>478</v>
      </c>
      <c r="P772" s="2">
        <f t="shared" si="75"/>
        <v>2.2952079131854415</v>
      </c>
      <c r="Q772" s="3">
        <f t="shared" si="76"/>
        <v>0.14523012552301254</v>
      </c>
    </row>
    <row r="773" spans="1:17" hidden="1" x14ac:dyDescent="0.25">
      <c r="A773" t="s">
        <v>836</v>
      </c>
      <c r="B773" t="s">
        <v>23</v>
      </c>
      <c r="C773" t="s">
        <v>52</v>
      </c>
      <c r="D773" t="str">
        <f t="shared" si="72"/>
        <v>AZ</v>
      </c>
      <c r="E773" t="str">
        <f t="shared" si="73"/>
        <v>Southwest</v>
      </c>
      <c r="F773" t="s">
        <v>42</v>
      </c>
      <c r="G773" s="1">
        <v>45255</v>
      </c>
      <c r="H773" s="1">
        <v>45262</v>
      </c>
      <c r="I773" s="1">
        <f t="shared" si="77"/>
        <v>45262</v>
      </c>
      <c r="J773" s="2">
        <v>36.9</v>
      </c>
      <c r="K773" s="2">
        <v>307.39999999999998</v>
      </c>
      <c r="L773" t="s">
        <v>15</v>
      </c>
      <c r="M773" s="2">
        <v>1682</v>
      </c>
      <c r="N773" s="2">
        <v>7</v>
      </c>
      <c r="O773" s="2">
        <f t="shared" si="74"/>
        <v>240.28571428571428</v>
      </c>
      <c r="P773" s="2">
        <f t="shared" si="75"/>
        <v>0.78167115902964968</v>
      </c>
      <c r="Q773" s="3">
        <f t="shared" si="76"/>
        <v>0.18275862068965515</v>
      </c>
    </row>
    <row r="774" spans="1:17" hidden="1" x14ac:dyDescent="0.25">
      <c r="A774" t="s">
        <v>837</v>
      </c>
      <c r="B774" t="s">
        <v>20</v>
      </c>
      <c r="C774" t="s">
        <v>28</v>
      </c>
      <c r="D774" t="str">
        <f t="shared" si="72"/>
        <v>TX</v>
      </c>
      <c r="E774" t="str">
        <f t="shared" si="73"/>
        <v>Southwest</v>
      </c>
      <c r="F774" t="s">
        <v>25</v>
      </c>
      <c r="G774" s="1">
        <v>45042</v>
      </c>
      <c r="H774" s="1">
        <v>45046</v>
      </c>
      <c r="I774" s="1">
        <f t="shared" si="77"/>
        <v>45046</v>
      </c>
      <c r="J774" s="2">
        <v>26.3</v>
      </c>
      <c r="K774" s="2">
        <v>200.48</v>
      </c>
      <c r="L774" t="s">
        <v>15</v>
      </c>
      <c r="M774" s="2">
        <v>1435</v>
      </c>
      <c r="N774" s="2">
        <v>4</v>
      </c>
      <c r="O774" s="2">
        <f t="shared" si="74"/>
        <v>358.75</v>
      </c>
      <c r="P774" s="2">
        <f t="shared" si="75"/>
        <v>1.7894553072625698</v>
      </c>
      <c r="Q774" s="3">
        <f t="shared" si="76"/>
        <v>0.13970731707317072</v>
      </c>
    </row>
    <row r="775" spans="1:17" x14ac:dyDescent="0.25">
      <c r="A775" t="s">
        <v>838</v>
      </c>
      <c r="B775" t="s">
        <v>20</v>
      </c>
      <c r="C775" t="s">
        <v>81</v>
      </c>
      <c r="D775" t="str">
        <f t="shared" si="72"/>
        <v>CO</v>
      </c>
      <c r="E775" t="str">
        <f t="shared" si="73"/>
        <v>West</v>
      </c>
      <c r="F775" t="s">
        <v>32</v>
      </c>
      <c r="G775" s="1">
        <v>45019</v>
      </c>
      <c r="H775" s="1">
        <v>45024</v>
      </c>
      <c r="I775" s="1">
        <f t="shared" si="77"/>
        <v>45024</v>
      </c>
      <c r="J775" s="2">
        <v>12.5</v>
      </c>
      <c r="K775" s="2">
        <v>326.12</v>
      </c>
      <c r="L775" t="s">
        <v>15</v>
      </c>
      <c r="M775" s="2">
        <v>2386</v>
      </c>
      <c r="N775" s="2">
        <v>5</v>
      </c>
      <c r="O775" s="2">
        <f t="shared" si="74"/>
        <v>477.2</v>
      </c>
      <c r="P775" s="2">
        <f t="shared" si="75"/>
        <v>1.4632650558076781</v>
      </c>
      <c r="Q775" s="3">
        <f t="shared" si="76"/>
        <v>0.13668063704945516</v>
      </c>
    </row>
    <row r="776" spans="1:17" x14ac:dyDescent="0.25">
      <c r="A776" t="s">
        <v>839</v>
      </c>
      <c r="B776" t="s">
        <v>51</v>
      </c>
      <c r="C776" t="s">
        <v>70</v>
      </c>
      <c r="D776" t="str">
        <f t="shared" si="72"/>
        <v>CA</v>
      </c>
      <c r="E776" t="str">
        <f t="shared" si="73"/>
        <v>West</v>
      </c>
      <c r="F776" t="s">
        <v>32</v>
      </c>
      <c r="G776" s="1">
        <v>45167</v>
      </c>
      <c r="H776" s="1">
        <v>45171</v>
      </c>
      <c r="I776" s="1">
        <f t="shared" si="77"/>
        <v>45171</v>
      </c>
      <c r="J776" s="2">
        <v>6.8</v>
      </c>
      <c r="K776" s="2">
        <v>155.94999999999999</v>
      </c>
      <c r="L776" t="s">
        <v>15</v>
      </c>
      <c r="M776" s="2">
        <v>1007</v>
      </c>
      <c r="N776" s="2">
        <v>4</v>
      </c>
      <c r="O776" s="2">
        <f t="shared" si="74"/>
        <v>251.75</v>
      </c>
      <c r="P776" s="2">
        <f t="shared" si="75"/>
        <v>1.6142994549535108</v>
      </c>
      <c r="Q776" s="3">
        <f t="shared" si="76"/>
        <v>0.15486593843098312</v>
      </c>
    </row>
    <row r="777" spans="1:17" hidden="1" x14ac:dyDescent="0.25">
      <c r="A777" t="s">
        <v>840</v>
      </c>
      <c r="B777" t="s">
        <v>12</v>
      </c>
      <c r="C777" t="s">
        <v>31</v>
      </c>
      <c r="D777" t="str">
        <f t="shared" si="72"/>
        <v>NY</v>
      </c>
      <c r="E777" t="str">
        <f t="shared" si="73"/>
        <v>Northeast</v>
      </c>
      <c r="F777" t="s">
        <v>14</v>
      </c>
      <c r="G777" s="1">
        <v>45105</v>
      </c>
      <c r="H777" s="1">
        <v>45109</v>
      </c>
      <c r="I777" s="1">
        <f t="shared" si="77"/>
        <v>45109</v>
      </c>
      <c r="J777" s="2">
        <v>15.4</v>
      </c>
      <c r="K777" s="2">
        <v>238.58</v>
      </c>
      <c r="L777" t="s">
        <v>15</v>
      </c>
      <c r="M777" s="2">
        <v>1636</v>
      </c>
      <c r="N777" s="2">
        <v>4</v>
      </c>
      <c r="O777" s="2">
        <f t="shared" si="74"/>
        <v>409</v>
      </c>
      <c r="P777" s="2">
        <f t="shared" si="75"/>
        <v>1.7143096655209991</v>
      </c>
      <c r="Q777" s="3">
        <f t="shared" si="76"/>
        <v>0.14583129584352078</v>
      </c>
    </row>
    <row r="778" spans="1:17" hidden="1" x14ac:dyDescent="0.25">
      <c r="A778" t="s">
        <v>841</v>
      </c>
      <c r="B778" t="s">
        <v>30</v>
      </c>
      <c r="C778" t="s">
        <v>46</v>
      </c>
      <c r="D778" t="str">
        <f t="shared" si="72"/>
        <v>MA</v>
      </c>
      <c r="E778" t="str">
        <f t="shared" si="73"/>
        <v>Northeast</v>
      </c>
      <c r="F778" t="s">
        <v>42</v>
      </c>
      <c r="G778" s="1">
        <v>45201</v>
      </c>
      <c r="H778" s="1">
        <v>45216</v>
      </c>
      <c r="I778" s="1">
        <f t="shared" si="77"/>
        <v>45216</v>
      </c>
      <c r="J778" s="2">
        <v>46.9</v>
      </c>
      <c r="K778" s="2">
        <v>180.87</v>
      </c>
      <c r="L778" t="s">
        <v>47</v>
      </c>
      <c r="M778" s="2">
        <v>993</v>
      </c>
      <c r="N778" s="2">
        <v>3</v>
      </c>
      <c r="O778" s="2">
        <f t="shared" si="74"/>
        <v>331</v>
      </c>
      <c r="P778" s="2">
        <f t="shared" si="75"/>
        <v>1.8300436777796207</v>
      </c>
      <c r="Q778" s="3">
        <f t="shared" si="76"/>
        <v>0.18214501510574019</v>
      </c>
    </row>
    <row r="779" spans="1:17" hidden="1" x14ac:dyDescent="0.25">
      <c r="A779" t="s">
        <v>842</v>
      </c>
      <c r="B779" t="s">
        <v>12</v>
      </c>
      <c r="C779" t="s">
        <v>40</v>
      </c>
      <c r="D779" t="str">
        <f t="shared" si="72"/>
        <v>MI</v>
      </c>
      <c r="E779" t="str">
        <f t="shared" si="73"/>
        <v>Midwest</v>
      </c>
      <c r="F779" t="s">
        <v>42</v>
      </c>
      <c r="G779" s="1">
        <v>45049</v>
      </c>
      <c r="H779" s="1">
        <v>45053</v>
      </c>
      <c r="I779" s="1">
        <f t="shared" si="77"/>
        <v>45053</v>
      </c>
      <c r="J779" s="2">
        <v>19.2</v>
      </c>
      <c r="K779" s="2">
        <v>132.01</v>
      </c>
      <c r="L779" t="s">
        <v>15</v>
      </c>
      <c r="M779" s="2">
        <v>810</v>
      </c>
      <c r="N779" s="2">
        <v>4</v>
      </c>
      <c r="O779" s="2">
        <f t="shared" si="74"/>
        <v>202.5</v>
      </c>
      <c r="P779" s="2">
        <f t="shared" si="75"/>
        <v>1.533974698886448</v>
      </c>
      <c r="Q779" s="3">
        <f t="shared" si="76"/>
        <v>0.16297530864197529</v>
      </c>
    </row>
    <row r="780" spans="1:17" hidden="1" x14ac:dyDescent="0.25">
      <c r="A780" t="s">
        <v>844</v>
      </c>
      <c r="B780" t="s">
        <v>20</v>
      </c>
      <c r="C780" t="s">
        <v>44</v>
      </c>
      <c r="D780" t="str">
        <f t="shared" si="72"/>
        <v>IL</v>
      </c>
      <c r="E780" t="str">
        <f t="shared" si="73"/>
        <v>Midwest</v>
      </c>
      <c r="F780" t="s">
        <v>37</v>
      </c>
      <c r="G780" s="1">
        <v>45159</v>
      </c>
      <c r="H780" s="1">
        <v>45163</v>
      </c>
      <c r="I780" s="1">
        <f t="shared" si="77"/>
        <v>45163</v>
      </c>
      <c r="J780" s="2">
        <v>12.4</v>
      </c>
      <c r="K780" s="2">
        <v>228.09</v>
      </c>
      <c r="L780" t="s">
        <v>15</v>
      </c>
      <c r="M780" s="2">
        <v>1640</v>
      </c>
      <c r="N780" s="2">
        <v>4</v>
      </c>
      <c r="O780" s="2">
        <f t="shared" si="74"/>
        <v>410</v>
      </c>
      <c r="P780" s="2">
        <f t="shared" si="75"/>
        <v>1.7975360603270638</v>
      </c>
      <c r="Q780" s="3">
        <f t="shared" si="76"/>
        <v>0.13907926829268294</v>
      </c>
    </row>
    <row r="781" spans="1:17" x14ac:dyDescent="0.25">
      <c r="A781" t="s">
        <v>845</v>
      </c>
      <c r="B781" t="s">
        <v>39</v>
      </c>
      <c r="C781" t="s">
        <v>24</v>
      </c>
      <c r="D781" t="str">
        <f t="shared" si="72"/>
        <v>WA</v>
      </c>
      <c r="E781" t="str">
        <f t="shared" si="73"/>
        <v>West</v>
      </c>
      <c r="F781" t="s">
        <v>18</v>
      </c>
      <c r="G781" s="1">
        <v>45097</v>
      </c>
      <c r="H781" s="1">
        <v>45101</v>
      </c>
      <c r="I781" s="1">
        <f t="shared" si="77"/>
        <v>45101</v>
      </c>
      <c r="J781" s="2">
        <v>9.6999999999999993</v>
      </c>
      <c r="K781" s="2">
        <v>233.83</v>
      </c>
      <c r="L781" t="s">
        <v>15</v>
      </c>
      <c r="M781" s="2">
        <v>1517</v>
      </c>
      <c r="N781" s="2">
        <v>4</v>
      </c>
      <c r="O781" s="2">
        <f t="shared" si="74"/>
        <v>379.25</v>
      </c>
      <c r="P781" s="2">
        <f t="shared" si="75"/>
        <v>1.6219048026343925</v>
      </c>
      <c r="Q781" s="3">
        <f t="shared" si="76"/>
        <v>0.15413974950560316</v>
      </c>
    </row>
    <row r="782" spans="1:17" hidden="1" x14ac:dyDescent="0.25">
      <c r="A782" t="s">
        <v>846</v>
      </c>
      <c r="B782" t="s">
        <v>39</v>
      </c>
      <c r="C782" t="s">
        <v>57</v>
      </c>
      <c r="D782" t="str">
        <f t="shared" si="72"/>
        <v>MN</v>
      </c>
      <c r="E782" t="str">
        <f t="shared" si="73"/>
        <v>Midwest</v>
      </c>
      <c r="F782" t="s">
        <v>37</v>
      </c>
      <c r="G782" s="1">
        <v>45056</v>
      </c>
      <c r="H782" s="1">
        <v>45062</v>
      </c>
      <c r="I782" s="1">
        <f t="shared" si="77"/>
        <v>45062</v>
      </c>
      <c r="J782" s="2">
        <v>12.3</v>
      </c>
      <c r="K782" s="2">
        <v>306.2</v>
      </c>
      <c r="L782" t="s">
        <v>15</v>
      </c>
      <c r="M782" s="2">
        <v>2458</v>
      </c>
      <c r="N782" s="2">
        <v>6</v>
      </c>
      <c r="O782" s="2">
        <f t="shared" si="74"/>
        <v>409.66666666666669</v>
      </c>
      <c r="P782" s="2">
        <f t="shared" si="75"/>
        <v>1.337905508382321</v>
      </c>
      <c r="Q782" s="3">
        <f t="shared" si="76"/>
        <v>0.12457282343368592</v>
      </c>
    </row>
    <row r="783" spans="1:17" hidden="1" x14ac:dyDescent="0.25">
      <c r="A783" t="s">
        <v>847</v>
      </c>
      <c r="B783" t="s">
        <v>35</v>
      </c>
      <c r="C783" t="s">
        <v>40</v>
      </c>
      <c r="D783" t="str">
        <f t="shared" si="72"/>
        <v>MI</v>
      </c>
      <c r="E783" t="str">
        <f t="shared" si="73"/>
        <v>Midwest</v>
      </c>
      <c r="F783" t="s">
        <v>25</v>
      </c>
      <c r="G783" s="1">
        <v>44946</v>
      </c>
      <c r="I783" s="1">
        <f t="shared" si="77"/>
        <v>44949</v>
      </c>
      <c r="J783" s="2">
        <v>70</v>
      </c>
      <c r="K783" s="2">
        <v>123.86</v>
      </c>
      <c r="L783" t="s">
        <v>15</v>
      </c>
      <c r="M783" s="2">
        <v>283</v>
      </c>
      <c r="N783" s="2">
        <v>3</v>
      </c>
      <c r="O783" s="2">
        <f t="shared" si="74"/>
        <v>94.333333333333329</v>
      </c>
      <c r="P783" s="2">
        <f t="shared" si="75"/>
        <v>0.76161257333548626</v>
      </c>
      <c r="Q783" s="3">
        <f t="shared" si="76"/>
        <v>0.4376678445229682</v>
      </c>
    </row>
    <row r="784" spans="1:17" hidden="1" x14ac:dyDescent="0.25">
      <c r="A784" t="s">
        <v>848</v>
      </c>
      <c r="B784" t="s">
        <v>39</v>
      </c>
      <c r="C784" t="s">
        <v>54</v>
      </c>
      <c r="D784" t="str">
        <f t="shared" si="72"/>
        <v>FL</v>
      </c>
      <c r="E784" t="str">
        <f t="shared" si="73"/>
        <v>Southeast</v>
      </c>
      <c r="F784" t="s">
        <v>14</v>
      </c>
      <c r="G784" s="1">
        <v>45089</v>
      </c>
      <c r="H784" s="1">
        <v>45094</v>
      </c>
      <c r="I784" s="1">
        <f t="shared" si="77"/>
        <v>45094</v>
      </c>
      <c r="J784" s="2">
        <v>9.9</v>
      </c>
      <c r="K784" s="2">
        <v>282.29000000000002</v>
      </c>
      <c r="L784" t="s">
        <v>15</v>
      </c>
      <c r="M784" s="2">
        <v>2114</v>
      </c>
      <c r="N784" s="2">
        <v>5</v>
      </c>
      <c r="O784" s="2">
        <f t="shared" si="74"/>
        <v>422.8</v>
      </c>
      <c r="P784" s="2">
        <f t="shared" si="75"/>
        <v>1.4977505402245916</v>
      </c>
      <c r="Q784" s="3">
        <f t="shared" si="76"/>
        <v>0.13353358561967835</v>
      </c>
    </row>
    <row r="785" spans="1:17" hidden="1" x14ac:dyDescent="0.25">
      <c r="A785" t="s">
        <v>849</v>
      </c>
      <c r="B785" t="s">
        <v>27</v>
      </c>
      <c r="C785" t="s">
        <v>46</v>
      </c>
      <c r="D785" t="str">
        <f t="shared" si="72"/>
        <v>MA</v>
      </c>
      <c r="E785" t="str">
        <f t="shared" si="73"/>
        <v>Northeast</v>
      </c>
      <c r="F785" t="s">
        <v>37</v>
      </c>
      <c r="G785" s="1">
        <v>45078</v>
      </c>
      <c r="H785" s="1">
        <v>45084</v>
      </c>
      <c r="I785" s="1">
        <f t="shared" si="77"/>
        <v>45084</v>
      </c>
      <c r="J785" s="2">
        <v>24.8</v>
      </c>
      <c r="K785" s="2">
        <v>213.13</v>
      </c>
      <c r="L785" t="s">
        <v>15</v>
      </c>
      <c r="M785" s="2">
        <v>1683</v>
      </c>
      <c r="N785" s="2">
        <v>6</v>
      </c>
      <c r="O785" s="2">
        <f t="shared" si="74"/>
        <v>280.5</v>
      </c>
      <c r="P785" s="2">
        <f t="shared" si="75"/>
        <v>1.31609815605499</v>
      </c>
      <c r="Q785" s="3">
        <f t="shared" si="76"/>
        <v>0.1266369578134284</v>
      </c>
    </row>
    <row r="786" spans="1:17" hidden="1" x14ac:dyDescent="0.25">
      <c r="A786" t="s">
        <v>850</v>
      </c>
      <c r="B786" t="s">
        <v>56</v>
      </c>
      <c r="C786" t="s">
        <v>28</v>
      </c>
      <c r="D786" t="str">
        <f t="shared" si="72"/>
        <v>TX</v>
      </c>
      <c r="E786" t="str">
        <f t="shared" si="73"/>
        <v>Southwest</v>
      </c>
      <c r="F786" t="s">
        <v>59</v>
      </c>
      <c r="G786" s="1">
        <v>45226</v>
      </c>
      <c r="H786" s="1">
        <v>45228</v>
      </c>
      <c r="I786" s="1">
        <f t="shared" si="77"/>
        <v>45228</v>
      </c>
      <c r="J786" s="2">
        <v>4.5999999999999996</v>
      </c>
      <c r="K786" s="2">
        <v>44.35</v>
      </c>
      <c r="L786" t="s">
        <v>15</v>
      </c>
      <c r="M786" s="2">
        <v>345</v>
      </c>
      <c r="N786" s="2">
        <v>2</v>
      </c>
      <c r="O786" s="2">
        <f t="shared" si="74"/>
        <v>172.5</v>
      </c>
      <c r="P786" s="2">
        <f t="shared" si="75"/>
        <v>3.8895152198421643</v>
      </c>
      <c r="Q786" s="3">
        <f t="shared" si="76"/>
        <v>0.12855072463768116</v>
      </c>
    </row>
    <row r="787" spans="1:17" hidden="1" x14ac:dyDescent="0.25">
      <c r="A787" t="s">
        <v>851</v>
      </c>
      <c r="B787" t="s">
        <v>12</v>
      </c>
      <c r="C787" t="s">
        <v>40</v>
      </c>
      <c r="D787" t="str">
        <f t="shared" si="72"/>
        <v>MI</v>
      </c>
      <c r="E787" t="str">
        <f t="shared" si="73"/>
        <v>Midwest</v>
      </c>
      <c r="F787" t="s">
        <v>25</v>
      </c>
      <c r="G787" s="1">
        <v>45016</v>
      </c>
      <c r="H787" s="1">
        <v>45022</v>
      </c>
      <c r="I787" s="1">
        <f t="shared" si="77"/>
        <v>45022</v>
      </c>
      <c r="J787" s="2">
        <v>4.8</v>
      </c>
      <c r="K787" s="2">
        <v>287.60000000000002</v>
      </c>
      <c r="L787" t="s">
        <v>15</v>
      </c>
      <c r="M787" s="2">
        <v>2470</v>
      </c>
      <c r="N787" s="2">
        <v>6</v>
      </c>
      <c r="O787" s="2">
        <f t="shared" si="74"/>
        <v>411.66666666666669</v>
      </c>
      <c r="P787" s="2">
        <f t="shared" si="75"/>
        <v>1.4313861845155307</v>
      </c>
      <c r="Q787" s="3">
        <f t="shared" si="76"/>
        <v>0.11643724696356277</v>
      </c>
    </row>
    <row r="788" spans="1:17" hidden="1" x14ac:dyDescent="0.25">
      <c r="A788" t="s">
        <v>853</v>
      </c>
      <c r="B788" t="s">
        <v>39</v>
      </c>
      <c r="C788" t="s">
        <v>44</v>
      </c>
      <c r="D788" t="str">
        <f t="shared" si="72"/>
        <v>IL</v>
      </c>
      <c r="E788" t="str">
        <f t="shared" si="73"/>
        <v>Midwest</v>
      </c>
      <c r="F788" t="s">
        <v>14</v>
      </c>
      <c r="G788" s="1">
        <v>44965</v>
      </c>
      <c r="H788" s="1">
        <v>44972</v>
      </c>
      <c r="I788" s="1">
        <f t="shared" si="77"/>
        <v>44972</v>
      </c>
      <c r="J788" s="2">
        <v>40.1</v>
      </c>
      <c r="K788" s="2">
        <v>104.23</v>
      </c>
      <c r="L788" t="s">
        <v>47</v>
      </c>
      <c r="M788" s="2">
        <v>428</v>
      </c>
      <c r="N788" s="2">
        <v>2</v>
      </c>
      <c r="O788" s="2">
        <f t="shared" si="74"/>
        <v>214</v>
      </c>
      <c r="P788" s="2">
        <f t="shared" si="75"/>
        <v>2.0531516837762638</v>
      </c>
      <c r="Q788" s="3">
        <f t="shared" si="76"/>
        <v>0.24352803738317758</v>
      </c>
    </row>
    <row r="789" spans="1:17" hidden="1" x14ac:dyDescent="0.25">
      <c r="A789" t="s">
        <v>854</v>
      </c>
      <c r="B789" t="s">
        <v>12</v>
      </c>
      <c r="C789" t="s">
        <v>44</v>
      </c>
      <c r="D789" t="str">
        <f t="shared" si="72"/>
        <v>IL</v>
      </c>
      <c r="E789" t="str">
        <f t="shared" si="73"/>
        <v>Midwest</v>
      </c>
      <c r="F789" t="s">
        <v>37</v>
      </c>
      <c r="G789" s="1">
        <v>44979</v>
      </c>
      <c r="H789" s="1">
        <v>44985</v>
      </c>
      <c r="I789" s="1">
        <f t="shared" si="77"/>
        <v>44985</v>
      </c>
      <c r="J789" s="2">
        <v>38.4</v>
      </c>
      <c r="K789" s="2">
        <v>276.83</v>
      </c>
      <c r="L789" t="s">
        <v>15</v>
      </c>
      <c r="M789" s="2">
        <v>1780</v>
      </c>
      <c r="N789" s="2">
        <v>6</v>
      </c>
      <c r="O789" s="2">
        <f t="shared" si="74"/>
        <v>296.66666666666669</v>
      </c>
      <c r="P789" s="2">
        <f t="shared" si="75"/>
        <v>1.0716564919505354</v>
      </c>
      <c r="Q789" s="3">
        <f t="shared" si="76"/>
        <v>0.15552247191011234</v>
      </c>
    </row>
    <row r="790" spans="1:17" x14ac:dyDescent="0.25">
      <c r="A790" t="s">
        <v>855</v>
      </c>
      <c r="B790" t="s">
        <v>27</v>
      </c>
      <c r="C790" t="s">
        <v>24</v>
      </c>
      <c r="D790" t="str">
        <f t="shared" si="72"/>
        <v>WA</v>
      </c>
      <c r="E790" t="str">
        <f t="shared" si="73"/>
        <v>West</v>
      </c>
      <c r="F790" t="s">
        <v>59</v>
      </c>
      <c r="G790" s="1">
        <v>45149</v>
      </c>
      <c r="H790" s="1">
        <v>45154</v>
      </c>
      <c r="I790" s="1">
        <f t="shared" si="77"/>
        <v>45154</v>
      </c>
      <c r="J790" s="2">
        <v>30.3</v>
      </c>
      <c r="K790" s="2">
        <v>247.69</v>
      </c>
      <c r="L790" t="s">
        <v>15</v>
      </c>
      <c r="M790" s="2">
        <v>2049</v>
      </c>
      <c r="N790" s="2">
        <v>5</v>
      </c>
      <c r="O790" s="2">
        <f t="shared" si="74"/>
        <v>409.8</v>
      </c>
      <c r="P790" s="2">
        <f t="shared" si="75"/>
        <v>1.6544874641689209</v>
      </c>
      <c r="Q790" s="3">
        <f t="shared" si="76"/>
        <v>0.12088335773548071</v>
      </c>
    </row>
    <row r="791" spans="1:17" hidden="1" x14ac:dyDescent="0.25">
      <c r="A791" t="s">
        <v>856</v>
      </c>
      <c r="B791" t="s">
        <v>49</v>
      </c>
      <c r="C791" t="s">
        <v>52</v>
      </c>
      <c r="D791" t="str">
        <f t="shared" si="72"/>
        <v>AZ</v>
      </c>
      <c r="E791" t="str">
        <f t="shared" si="73"/>
        <v>Southwest</v>
      </c>
      <c r="F791" t="s">
        <v>32</v>
      </c>
      <c r="G791" s="1">
        <v>45285</v>
      </c>
      <c r="H791" s="1">
        <v>45294</v>
      </c>
      <c r="I791" s="1">
        <f t="shared" si="77"/>
        <v>45294</v>
      </c>
      <c r="J791" s="2">
        <v>14.1</v>
      </c>
      <c r="K791" s="2">
        <v>430.99</v>
      </c>
      <c r="L791" t="s">
        <v>15</v>
      </c>
      <c r="M791" s="2">
        <v>2363</v>
      </c>
      <c r="N791" s="2">
        <v>9</v>
      </c>
      <c r="O791" s="2">
        <f t="shared" si="74"/>
        <v>262.55555555555554</v>
      </c>
      <c r="P791" s="2">
        <f t="shared" si="75"/>
        <v>0.6091917574782606</v>
      </c>
      <c r="Q791" s="3">
        <f t="shared" si="76"/>
        <v>0.18239102835378757</v>
      </c>
    </row>
    <row r="792" spans="1:17" hidden="1" x14ac:dyDescent="0.25">
      <c r="A792" t="s">
        <v>857</v>
      </c>
      <c r="B792" t="s">
        <v>49</v>
      </c>
      <c r="C792" t="s">
        <v>44</v>
      </c>
      <c r="D792" t="str">
        <f t="shared" si="72"/>
        <v>IL</v>
      </c>
      <c r="E792" t="str">
        <f t="shared" si="73"/>
        <v>Midwest</v>
      </c>
      <c r="F792" t="s">
        <v>25</v>
      </c>
      <c r="G792" s="1">
        <v>45256</v>
      </c>
      <c r="H792" s="1">
        <v>45263</v>
      </c>
      <c r="I792" s="1">
        <f t="shared" si="77"/>
        <v>45263</v>
      </c>
      <c r="J792" s="2">
        <v>6.2</v>
      </c>
      <c r="K792" s="2">
        <v>314.26</v>
      </c>
      <c r="L792" t="s">
        <v>15</v>
      </c>
      <c r="M792" s="2">
        <v>2315</v>
      </c>
      <c r="N792" s="2">
        <v>7</v>
      </c>
      <c r="O792" s="2">
        <f t="shared" si="74"/>
        <v>330.71428571428572</v>
      </c>
      <c r="P792" s="2">
        <f t="shared" si="75"/>
        <v>1.0523588293587658</v>
      </c>
      <c r="Q792" s="3">
        <f t="shared" si="76"/>
        <v>0.13574946004319655</v>
      </c>
    </row>
    <row r="793" spans="1:17" hidden="1" x14ac:dyDescent="0.25">
      <c r="A793" t="s">
        <v>858</v>
      </c>
      <c r="B793" t="s">
        <v>12</v>
      </c>
      <c r="C793" t="s">
        <v>40</v>
      </c>
      <c r="D793" t="str">
        <f t="shared" si="72"/>
        <v>MI</v>
      </c>
      <c r="E793" t="str">
        <f t="shared" si="73"/>
        <v>Midwest</v>
      </c>
      <c r="F793" t="s">
        <v>37</v>
      </c>
      <c r="G793" s="1">
        <v>45016</v>
      </c>
      <c r="H793" s="1">
        <v>45019</v>
      </c>
      <c r="I793" s="1">
        <f t="shared" si="77"/>
        <v>45019</v>
      </c>
      <c r="J793" s="2">
        <v>51.8</v>
      </c>
      <c r="K793" s="2">
        <v>231.8</v>
      </c>
      <c r="L793" t="s">
        <v>15</v>
      </c>
      <c r="M793" s="2">
        <v>1415</v>
      </c>
      <c r="N793" s="2">
        <v>3</v>
      </c>
      <c r="O793" s="2">
        <f t="shared" si="74"/>
        <v>471.66666666666669</v>
      </c>
      <c r="P793" s="2">
        <f t="shared" si="75"/>
        <v>2.0348001150417026</v>
      </c>
      <c r="Q793" s="3">
        <f t="shared" si="76"/>
        <v>0.16381625441696113</v>
      </c>
    </row>
    <row r="794" spans="1:17" hidden="1" x14ac:dyDescent="0.25">
      <c r="A794" t="s">
        <v>859</v>
      </c>
      <c r="B794" t="s">
        <v>12</v>
      </c>
      <c r="C794" t="s">
        <v>44</v>
      </c>
      <c r="D794" t="str">
        <f t="shared" si="72"/>
        <v>IL</v>
      </c>
      <c r="E794" t="str">
        <f t="shared" si="73"/>
        <v>Midwest</v>
      </c>
      <c r="F794" t="s">
        <v>59</v>
      </c>
      <c r="G794" s="1">
        <v>45177</v>
      </c>
      <c r="H794" s="1">
        <v>45180</v>
      </c>
      <c r="I794" s="1">
        <f t="shared" si="77"/>
        <v>45180</v>
      </c>
      <c r="J794" s="2">
        <v>24.6</v>
      </c>
      <c r="K794" s="2">
        <v>87.65</v>
      </c>
      <c r="L794" t="s">
        <v>62</v>
      </c>
      <c r="M794" s="2">
        <v>454</v>
      </c>
      <c r="N794" s="2">
        <v>3</v>
      </c>
      <c r="O794" s="2">
        <f t="shared" si="74"/>
        <v>151.33333333333334</v>
      </c>
      <c r="P794" s="2">
        <f t="shared" si="75"/>
        <v>1.7265639855485835</v>
      </c>
      <c r="Q794" s="3">
        <f t="shared" si="76"/>
        <v>0.19306167400881058</v>
      </c>
    </row>
    <row r="795" spans="1:17" x14ac:dyDescent="0.25">
      <c r="A795" t="s">
        <v>860</v>
      </c>
      <c r="B795" t="s">
        <v>12</v>
      </c>
      <c r="C795" t="s">
        <v>36</v>
      </c>
      <c r="D795" t="str">
        <f t="shared" si="72"/>
        <v>OR</v>
      </c>
      <c r="E795" t="str">
        <f t="shared" si="73"/>
        <v>West</v>
      </c>
      <c r="F795" t="s">
        <v>42</v>
      </c>
      <c r="G795" s="1">
        <v>45232</v>
      </c>
      <c r="H795" s="1">
        <v>45234</v>
      </c>
      <c r="I795" s="1">
        <f t="shared" si="77"/>
        <v>45234</v>
      </c>
      <c r="J795" s="2">
        <v>18.399999999999999</v>
      </c>
      <c r="K795" s="2">
        <v>151.66999999999999</v>
      </c>
      <c r="L795" t="s">
        <v>15</v>
      </c>
      <c r="M795" s="2">
        <v>862</v>
      </c>
      <c r="N795" s="2">
        <v>2</v>
      </c>
      <c r="O795" s="2">
        <f t="shared" si="74"/>
        <v>431</v>
      </c>
      <c r="P795" s="2">
        <f t="shared" si="75"/>
        <v>2.8416957869057824</v>
      </c>
      <c r="Q795" s="3">
        <f t="shared" si="76"/>
        <v>0.17595127610208816</v>
      </c>
    </row>
    <row r="796" spans="1:17" hidden="1" x14ac:dyDescent="0.25">
      <c r="A796" t="s">
        <v>861</v>
      </c>
      <c r="B796" t="s">
        <v>56</v>
      </c>
      <c r="C796" t="s">
        <v>46</v>
      </c>
      <c r="D796" t="str">
        <f t="shared" si="72"/>
        <v>MA</v>
      </c>
      <c r="E796" t="str">
        <f t="shared" si="73"/>
        <v>Northeast</v>
      </c>
      <c r="F796" t="s">
        <v>25</v>
      </c>
      <c r="G796" s="1">
        <v>45256</v>
      </c>
      <c r="H796" s="1">
        <v>45262</v>
      </c>
      <c r="I796" s="1">
        <f t="shared" si="77"/>
        <v>45262</v>
      </c>
      <c r="J796" s="2">
        <v>14.5</v>
      </c>
      <c r="K796" s="2">
        <v>301.8</v>
      </c>
      <c r="L796" t="s">
        <v>15</v>
      </c>
      <c r="M796" s="2">
        <v>1889</v>
      </c>
      <c r="N796" s="2">
        <v>6</v>
      </c>
      <c r="O796" s="2">
        <f t="shared" si="74"/>
        <v>314.83333333333331</v>
      </c>
      <c r="P796" s="2">
        <f t="shared" si="75"/>
        <v>1.0431853324497458</v>
      </c>
      <c r="Q796" s="3">
        <f t="shared" si="76"/>
        <v>0.15976707252514558</v>
      </c>
    </row>
    <row r="797" spans="1:17" x14ac:dyDescent="0.25">
      <c r="A797" t="s">
        <v>862</v>
      </c>
      <c r="B797" t="s">
        <v>51</v>
      </c>
      <c r="C797" t="s">
        <v>70</v>
      </c>
      <c r="D797" t="str">
        <f t="shared" si="72"/>
        <v>CA</v>
      </c>
      <c r="E797" t="str">
        <f t="shared" si="73"/>
        <v>West</v>
      </c>
      <c r="F797" t="s">
        <v>42</v>
      </c>
      <c r="G797" s="1">
        <v>45157</v>
      </c>
      <c r="H797" s="1">
        <v>45160</v>
      </c>
      <c r="I797" s="1">
        <f t="shared" si="77"/>
        <v>45160</v>
      </c>
      <c r="J797" s="2">
        <v>14.7</v>
      </c>
      <c r="K797" s="2">
        <v>124.34</v>
      </c>
      <c r="L797" t="s">
        <v>15</v>
      </c>
      <c r="M797" s="2">
        <v>909</v>
      </c>
      <c r="N797" s="2">
        <v>3</v>
      </c>
      <c r="O797" s="2">
        <f t="shared" si="74"/>
        <v>303</v>
      </c>
      <c r="P797" s="2">
        <f t="shared" si="75"/>
        <v>2.4368666559433811</v>
      </c>
      <c r="Q797" s="3">
        <f t="shared" si="76"/>
        <v>0.13678767876787679</v>
      </c>
    </row>
    <row r="798" spans="1:17" x14ac:dyDescent="0.25">
      <c r="A798" t="s">
        <v>863</v>
      </c>
      <c r="B798" t="s">
        <v>35</v>
      </c>
      <c r="C798" t="s">
        <v>36</v>
      </c>
      <c r="D798" t="str">
        <f t="shared" si="72"/>
        <v>OR</v>
      </c>
      <c r="E798" t="str">
        <f t="shared" si="73"/>
        <v>West</v>
      </c>
      <c r="F798" t="s">
        <v>42</v>
      </c>
      <c r="G798" s="1">
        <v>45194</v>
      </c>
      <c r="H798" s="1">
        <v>45196</v>
      </c>
      <c r="I798" s="1">
        <f t="shared" si="77"/>
        <v>45196</v>
      </c>
      <c r="J798" s="2">
        <v>46.3</v>
      </c>
      <c r="K798" s="2">
        <v>140.84</v>
      </c>
      <c r="L798" t="s">
        <v>15</v>
      </c>
      <c r="M798" s="2">
        <v>675</v>
      </c>
      <c r="N798" s="2">
        <v>2</v>
      </c>
      <c r="O798" s="2">
        <f t="shared" si="74"/>
        <v>337.5</v>
      </c>
      <c r="P798" s="2">
        <f t="shared" si="75"/>
        <v>2.3963362681056517</v>
      </c>
      <c r="Q798" s="3">
        <f t="shared" si="76"/>
        <v>0.20865185185185187</v>
      </c>
    </row>
    <row r="799" spans="1:17" hidden="1" x14ac:dyDescent="0.25">
      <c r="A799" t="s">
        <v>864</v>
      </c>
      <c r="B799" t="s">
        <v>23</v>
      </c>
      <c r="C799" t="s">
        <v>31</v>
      </c>
      <c r="D799" t="str">
        <f t="shared" si="72"/>
        <v>NY</v>
      </c>
      <c r="E799" t="str">
        <f t="shared" si="73"/>
        <v>Northeast</v>
      </c>
      <c r="F799" t="s">
        <v>42</v>
      </c>
      <c r="G799" s="1">
        <v>45254</v>
      </c>
      <c r="H799" s="1">
        <v>45258</v>
      </c>
      <c r="I799" s="1">
        <f t="shared" si="77"/>
        <v>45258</v>
      </c>
      <c r="J799" s="2">
        <v>17</v>
      </c>
      <c r="K799" s="2">
        <v>113.42</v>
      </c>
      <c r="L799" t="s">
        <v>60</v>
      </c>
      <c r="M799" s="2">
        <v>677</v>
      </c>
      <c r="N799" s="2">
        <v>4</v>
      </c>
      <c r="O799" s="2">
        <f t="shared" si="74"/>
        <v>169.25</v>
      </c>
      <c r="P799" s="2">
        <f t="shared" si="75"/>
        <v>1.4922412272967731</v>
      </c>
      <c r="Q799" s="3">
        <f t="shared" si="76"/>
        <v>0.16753323485967503</v>
      </c>
    </row>
    <row r="800" spans="1:17" hidden="1" x14ac:dyDescent="0.25">
      <c r="A800" t="s">
        <v>865</v>
      </c>
      <c r="B800" t="s">
        <v>30</v>
      </c>
      <c r="C800" t="s">
        <v>52</v>
      </c>
      <c r="D800" t="str">
        <f t="shared" si="72"/>
        <v>AZ</v>
      </c>
      <c r="E800" t="str">
        <f t="shared" si="73"/>
        <v>Southwest</v>
      </c>
      <c r="F800" t="s">
        <v>59</v>
      </c>
      <c r="G800" s="1">
        <v>45237</v>
      </c>
      <c r="H800" s="1">
        <v>45242</v>
      </c>
      <c r="I800" s="1">
        <f t="shared" si="77"/>
        <v>45242</v>
      </c>
      <c r="J800" s="2">
        <v>36.1</v>
      </c>
      <c r="K800" s="2">
        <v>234.42</v>
      </c>
      <c r="L800" t="s">
        <v>15</v>
      </c>
      <c r="M800" s="2">
        <v>1315</v>
      </c>
      <c r="N800" s="2">
        <v>5</v>
      </c>
      <c r="O800" s="2">
        <f t="shared" si="74"/>
        <v>263</v>
      </c>
      <c r="P800" s="2">
        <f t="shared" si="75"/>
        <v>1.1219179250917157</v>
      </c>
      <c r="Q800" s="3">
        <f t="shared" si="76"/>
        <v>0.17826615969581749</v>
      </c>
    </row>
    <row r="801" spans="1:17" x14ac:dyDescent="0.25">
      <c r="A801" t="s">
        <v>866</v>
      </c>
      <c r="B801" t="s">
        <v>35</v>
      </c>
      <c r="C801" t="s">
        <v>24</v>
      </c>
      <c r="D801" t="str">
        <f t="shared" si="72"/>
        <v>WA</v>
      </c>
      <c r="E801" t="str">
        <f t="shared" si="73"/>
        <v>West</v>
      </c>
      <c r="F801" t="s">
        <v>42</v>
      </c>
      <c r="G801" s="1">
        <v>45190</v>
      </c>
      <c r="H801" s="1">
        <v>45192</v>
      </c>
      <c r="I801" s="1">
        <f t="shared" si="77"/>
        <v>45192</v>
      </c>
      <c r="J801" s="2">
        <v>57.5</v>
      </c>
      <c r="K801" s="2">
        <v>82.81</v>
      </c>
      <c r="L801" t="s">
        <v>15</v>
      </c>
      <c r="M801" s="2">
        <v>105</v>
      </c>
      <c r="N801" s="2">
        <v>2</v>
      </c>
      <c r="O801" s="2">
        <f t="shared" si="74"/>
        <v>52.5</v>
      </c>
      <c r="P801" s="2">
        <f t="shared" si="75"/>
        <v>0.63398140321217245</v>
      </c>
      <c r="Q801" s="3">
        <f t="shared" si="76"/>
        <v>0.78866666666666674</v>
      </c>
    </row>
    <row r="802" spans="1:17" hidden="1" x14ac:dyDescent="0.25">
      <c r="A802" t="s">
        <v>867</v>
      </c>
      <c r="B802" t="s">
        <v>20</v>
      </c>
      <c r="C802" t="s">
        <v>31</v>
      </c>
      <c r="D802" t="str">
        <f t="shared" si="72"/>
        <v>NY</v>
      </c>
      <c r="E802" t="str">
        <f t="shared" si="73"/>
        <v>Northeast</v>
      </c>
      <c r="F802" t="s">
        <v>59</v>
      </c>
      <c r="G802" s="1">
        <v>45243</v>
      </c>
      <c r="H802" s="1">
        <v>45248</v>
      </c>
      <c r="I802" s="1">
        <f t="shared" si="77"/>
        <v>45248</v>
      </c>
      <c r="J802" s="2">
        <v>25.2</v>
      </c>
      <c r="K802" s="2">
        <v>283.73</v>
      </c>
      <c r="L802" t="s">
        <v>15</v>
      </c>
      <c r="M802" s="2">
        <v>1791</v>
      </c>
      <c r="N802" s="2">
        <v>5</v>
      </c>
      <c r="O802" s="2">
        <f t="shared" si="74"/>
        <v>358.2</v>
      </c>
      <c r="P802" s="2">
        <f t="shared" si="75"/>
        <v>1.262467839142847</v>
      </c>
      <c r="Q802" s="3">
        <f t="shared" si="76"/>
        <v>0.15841987716359576</v>
      </c>
    </row>
    <row r="803" spans="1:17" hidden="1" x14ac:dyDescent="0.25">
      <c r="A803" t="s">
        <v>868</v>
      </c>
      <c r="B803" t="s">
        <v>39</v>
      </c>
      <c r="C803" t="s">
        <v>21</v>
      </c>
      <c r="D803" t="str">
        <f t="shared" si="72"/>
        <v>TX</v>
      </c>
      <c r="E803" t="str">
        <f t="shared" si="73"/>
        <v>Southwest</v>
      </c>
      <c r="F803" t="s">
        <v>59</v>
      </c>
      <c r="G803" s="1">
        <v>45131</v>
      </c>
      <c r="H803" s="1">
        <v>45136</v>
      </c>
      <c r="I803" s="1">
        <f t="shared" si="77"/>
        <v>45136</v>
      </c>
      <c r="J803" s="2">
        <v>97.3</v>
      </c>
      <c r="K803" s="2">
        <v>286.39</v>
      </c>
      <c r="L803" t="s">
        <v>15</v>
      </c>
      <c r="M803" s="2">
        <v>1778</v>
      </c>
      <c r="N803" s="2">
        <v>5</v>
      </c>
      <c r="O803" s="2">
        <f t="shared" si="74"/>
        <v>355.6</v>
      </c>
      <c r="P803" s="2">
        <f t="shared" si="75"/>
        <v>1.2416634659031391</v>
      </c>
      <c r="Q803" s="3">
        <f t="shared" si="76"/>
        <v>0.16107424071991</v>
      </c>
    </row>
    <row r="804" spans="1:17" hidden="1" x14ac:dyDescent="0.25">
      <c r="A804" t="s">
        <v>869</v>
      </c>
      <c r="B804" t="s">
        <v>30</v>
      </c>
      <c r="C804" t="s">
        <v>54</v>
      </c>
      <c r="D804" t="str">
        <f t="shared" si="72"/>
        <v>FL</v>
      </c>
      <c r="E804" t="str">
        <f t="shared" si="73"/>
        <v>Southeast</v>
      </c>
      <c r="F804" t="s">
        <v>59</v>
      </c>
      <c r="G804" s="1">
        <v>44997</v>
      </c>
      <c r="H804" s="1">
        <v>44999</v>
      </c>
      <c r="I804" s="1">
        <f t="shared" si="77"/>
        <v>44999</v>
      </c>
      <c r="J804" s="2">
        <v>7.3</v>
      </c>
      <c r="K804" s="2">
        <v>35.270000000000003</v>
      </c>
      <c r="L804" t="s">
        <v>15</v>
      </c>
      <c r="M804" s="2">
        <v>209</v>
      </c>
      <c r="N804" s="2">
        <v>2</v>
      </c>
      <c r="O804" s="2">
        <f t="shared" si="74"/>
        <v>104.5</v>
      </c>
      <c r="P804" s="2">
        <f t="shared" si="75"/>
        <v>2.9628579529345052</v>
      </c>
      <c r="Q804" s="3">
        <f t="shared" si="76"/>
        <v>0.16875598086124402</v>
      </c>
    </row>
    <row r="805" spans="1:17" hidden="1" x14ac:dyDescent="0.25">
      <c r="A805" t="s">
        <v>870</v>
      </c>
      <c r="B805" t="s">
        <v>51</v>
      </c>
      <c r="C805" t="s">
        <v>28</v>
      </c>
      <c r="D805" t="str">
        <f t="shared" si="72"/>
        <v>TX</v>
      </c>
      <c r="E805" t="str">
        <f t="shared" si="73"/>
        <v>Southwest</v>
      </c>
      <c r="F805" t="s">
        <v>25</v>
      </c>
      <c r="G805" s="1">
        <v>45077</v>
      </c>
      <c r="H805" s="1">
        <v>45081</v>
      </c>
      <c r="I805" s="1">
        <f t="shared" si="77"/>
        <v>45081</v>
      </c>
      <c r="J805" s="2">
        <v>21.4</v>
      </c>
      <c r="K805" s="2">
        <v>73.84</v>
      </c>
      <c r="L805" t="s">
        <v>15</v>
      </c>
      <c r="M805" s="2">
        <v>350</v>
      </c>
      <c r="N805" s="2">
        <v>4</v>
      </c>
      <c r="O805" s="2">
        <f t="shared" si="74"/>
        <v>87.5</v>
      </c>
      <c r="P805" s="2">
        <f t="shared" si="75"/>
        <v>1.1849945828819068</v>
      </c>
      <c r="Q805" s="3">
        <f t="shared" si="76"/>
        <v>0.21097142857142859</v>
      </c>
    </row>
    <row r="806" spans="1:17" hidden="1" x14ac:dyDescent="0.25">
      <c r="A806" t="s">
        <v>871</v>
      </c>
      <c r="B806" t="s">
        <v>56</v>
      </c>
      <c r="C806" t="s">
        <v>57</v>
      </c>
      <c r="D806" t="str">
        <f t="shared" si="72"/>
        <v>MN</v>
      </c>
      <c r="E806" t="str">
        <f t="shared" si="73"/>
        <v>Midwest</v>
      </c>
      <c r="F806" t="s">
        <v>18</v>
      </c>
      <c r="G806" s="1">
        <v>44944</v>
      </c>
      <c r="H806" s="1">
        <v>44950</v>
      </c>
      <c r="I806" s="1">
        <f t="shared" si="77"/>
        <v>44950</v>
      </c>
      <c r="J806" s="2">
        <v>50.2</v>
      </c>
      <c r="K806" s="2">
        <v>326.57</v>
      </c>
      <c r="L806" t="s">
        <v>15</v>
      </c>
      <c r="M806" s="2">
        <v>1802</v>
      </c>
      <c r="N806" s="2">
        <v>6</v>
      </c>
      <c r="O806" s="2">
        <f t="shared" si="74"/>
        <v>300.33333333333331</v>
      </c>
      <c r="P806" s="2">
        <f t="shared" si="75"/>
        <v>0.91965989935797321</v>
      </c>
      <c r="Q806" s="3">
        <f t="shared" si="76"/>
        <v>0.18122641509433962</v>
      </c>
    </row>
    <row r="807" spans="1:17" hidden="1" x14ac:dyDescent="0.25">
      <c r="A807" t="s">
        <v>872</v>
      </c>
      <c r="B807" t="s">
        <v>30</v>
      </c>
      <c r="C807" t="s">
        <v>57</v>
      </c>
      <c r="D807" t="str">
        <f t="shared" si="72"/>
        <v>MN</v>
      </c>
      <c r="E807" t="str">
        <f t="shared" si="73"/>
        <v>Midwest</v>
      </c>
      <c r="F807" t="s">
        <v>59</v>
      </c>
      <c r="G807" s="1">
        <v>45218</v>
      </c>
      <c r="H807" s="1">
        <v>45221</v>
      </c>
      <c r="I807" s="1">
        <f t="shared" si="77"/>
        <v>45221</v>
      </c>
      <c r="J807" s="2">
        <v>5.8</v>
      </c>
      <c r="K807" s="2">
        <v>120.42</v>
      </c>
      <c r="L807" t="s">
        <v>15</v>
      </c>
      <c r="M807" s="2">
        <v>1093</v>
      </c>
      <c r="N807" s="2">
        <v>3</v>
      </c>
      <c r="O807" s="2">
        <f t="shared" si="74"/>
        <v>364.33333333333331</v>
      </c>
      <c r="P807" s="2">
        <f t="shared" si="75"/>
        <v>3.0255217848640865</v>
      </c>
      <c r="Q807" s="3">
        <f t="shared" si="76"/>
        <v>0.11017383348581884</v>
      </c>
    </row>
    <row r="808" spans="1:17" hidden="1" x14ac:dyDescent="0.25">
      <c r="A808" t="s">
        <v>873</v>
      </c>
      <c r="B808" t="s">
        <v>51</v>
      </c>
      <c r="C808" t="s">
        <v>17</v>
      </c>
      <c r="D808" t="str">
        <f t="shared" si="72"/>
        <v>GA</v>
      </c>
      <c r="E808" t="str">
        <f t="shared" si="73"/>
        <v>Southeast</v>
      </c>
      <c r="F808" t="s">
        <v>32</v>
      </c>
      <c r="G808" s="1">
        <v>45243</v>
      </c>
      <c r="H808" s="1">
        <v>45249</v>
      </c>
      <c r="I808" s="1">
        <f t="shared" si="77"/>
        <v>45249</v>
      </c>
      <c r="J808" s="2">
        <v>9.6999999999999993</v>
      </c>
      <c r="K808" s="2">
        <v>162.41999999999999</v>
      </c>
      <c r="L808" t="s">
        <v>15</v>
      </c>
      <c r="M808" s="2">
        <v>870</v>
      </c>
      <c r="N808" s="2">
        <v>6</v>
      </c>
      <c r="O808" s="2">
        <f t="shared" si="74"/>
        <v>145</v>
      </c>
      <c r="P808" s="2">
        <f t="shared" si="75"/>
        <v>0.89274719862085961</v>
      </c>
      <c r="Q808" s="3">
        <f t="shared" si="76"/>
        <v>0.18668965517241379</v>
      </c>
    </row>
    <row r="809" spans="1:17" x14ac:dyDescent="0.25">
      <c r="A809" t="s">
        <v>874</v>
      </c>
      <c r="B809" t="s">
        <v>20</v>
      </c>
      <c r="C809" t="s">
        <v>70</v>
      </c>
      <c r="D809" t="str">
        <f t="shared" si="72"/>
        <v>CA</v>
      </c>
      <c r="E809" t="str">
        <f t="shared" si="73"/>
        <v>West</v>
      </c>
      <c r="F809" t="s">
        <v>32</v>
      </c>
      <c r="G809" s="1">
        <v>45179</v>
      </c>
      <c r="H809" s="1">
        <v>45183</v>
      </c>
      <c r="I809" s="1">
        <f t="shared" si="77"/>
        <v>45183</v>
      </c>
      <c r="J809" s="2">
        <v>39.1</v>
      </c>
      <c r="K809" s="2">
        <v>277.98</v>
      </c>
      <c r="L809" t="s">
        <v>15</v>
      </c>
      <c r="M809" s="2">
        <v>1645</v>
      </c>
      <c r="N809" s="2">
        <v>4</v>
      </c>
      <c r="O809" s="2">
        <f t="shared" si="74"/>
        <v>411.25</v>
      </c>
      <c r="P809" s="2">
        <f t="shared" si="75"/>
        <v>1.4794229800705085</v>
      </c>
      <c r="Q809" s="3">
        <f t="shared" si="76"/>
        <v>0.16898480243161096</v>
      </c>
    </row>
    <row r="810" spans="1:17" hidden="1" x14ac:dyDescent="0.25">
      <c r="A810" t="s">
        <v>875</v>
      </c>
      <c r="B810" t="s">
        <v>51</v>
      </c>
      <c r="C810" t="s">
        <v>40</v>
      </c>
      <c r="D810" t="str">
        <f t="shared" si="72"/>
        <v>MI</v>
      </c>
      <c r="E810" t="str">
        <f t="shared" si="73"/>
        <v>Midwest</v>
      </c>
      <c r="F810" t="s">
        <v>18</v>
      </c>
      <c r="G810" s="1">
        <v>45162</v>
      </c>
      <c r="H810" s="1">
        <v>45164</v>
      </c>
      <c r="I810" s="1">
        <f t="shared" si="77"/>
        <v>45164</v>
      </c>
      <c r="J810" s="2">
        <v>27.7</v>
      </c>
      <c r="K810" s="2">
        <v>51.34</v>
      </c>
      <c r="L810" t="s">
        <v>15</v>
      </c>
      <c r="M810" s="2">
        <v>121</v>
      </c>
      <c r="N810" s="2">
        <v>2</v>
      </c>
      <c r="O810" s="2">
        <f t="shared" si="74"/>
        <v>60.5</v>
      </c>
      <c r="P810" s="2">
        <f t="shared" si="75"/>
        <v>1.1784183872224385</v>
      </c>
      <c r="Q810" s="3">
        <f t="shared" si="76"/>
        <v>0.42429752066115706</v>
      </c>
    </row>
    <row r="811" spans="1:17" hidden="1" x14ac:dyDescent="0.25">
      <c r="A811" t="s">
        <v>876</v>
      </c>
      <c r="B811" t="s">
        <v>39</v>
      </c>
      <c r="C811" t="s">
        <v>17</v>
      </c>
      <c r="D811" t="str">
        <f t="shared" si="72"/>
        <v>GA</v>
      </c>
      <c r="E811" t="str">
        <f t="shared" si="73"/>
        <v>Southeast</v>
      </c>
      <c r="F811" t="s">
        <v>59</v>
      </c>
      <c r="G811" s="1">
        <v>44942</v>
      </c>
      <c r="H811" s="1">
        <v>44944</v>
      </c>
      <c r="I811" s="1">
        <f t="shared" si="77"/>
        <v>44944</v>
      </c>
      <c r="J811" s="2">
        <v>38.4</v>
      </c>
      <c r="K811" s="2">
        <v>125.03</v>
      </c>
      <c r="L811" t="s">
        <v>15</v>
      </c>
      <c r="M811" s="2">
        <v>800</v>
      </c>
      <c r="N811" s="2">
        <v>2</v>
      </c>
      <c r="O811" s="2">
        <f t="shared" si="74"/>
        <v>400</v>
      </c>
      <c r="P811" s="2">
        <f t="shared" si="75"/>
        <v>3.1992321842757736</v>
      </c>
      <c r="Q811" s="3">
        <f t="shared" si="76"/>
        <v>0.1562875</v>
      </c>
    </row>
    <row r="812" spans="1:17" hidden="1" x14ac:dyDescent="0.25">
      <c r="A812" t="s">
        <v>877</v>
      </c>
      <c r="B812" t="s">
        <v>35</v>
      </c>
      <c r="C812" t="s">
        <v>40</v>
      </c>
      <c r="D812" t="str">
        <f t="shared" si="72"/>
        <v>MI</v>
      </c>
      <c r="E812" t="str">
        <f t="shared" si="73"/>
        <v>Midwest</v>
      </c>
      <c r="F812" t="s">
        <v>25</v>
      </c>
      <c r="G812" s="1">
        <v>44960</v>
      </c>
      <c r="H812" s="1">
        <v>44961</v>
      </c>
      <c r="I812" s="1">
        <f t="shared" si="77"/>
        <v>44961</v>
      </c>
      <c r="J812" s="2">
        <v>0</v>
      </c>
      <c r="K812" s="2">
        <v>35.85</v>
      </c>
      <c r="L812" t="s">
        <v>15</v>
      </c>
      <c r="M812" s="2">
        <v>283</v>
      </c>
      <c r="N812" s="2">
        <v>1</v>
      </c>
      <c r="O812" s="2">
        <f t="shared" si="74"/>
        <v>283</v>
      </c>
      <c r="P812" s="2">
        <f t="shared" si="75"/>
        <v>7.8940027894002789</v>
      </c>
      <c r="Q812" s="3">
        <f t="shared" si="76"/>
        <v>0.126678445229682</v>
      </c>
    </row>
    <row r="813" spans="1:17" hidden="1" x14ac:dyDescent="0.25">
      <c r="A813" t="s">
        <v>878</v>
      </c>
      <c r="B813" t="s">
        <v>39</v>
      </c>
      <c r="C813" t="s">
        <v>57</v>
      </c>
      <c r="D813" t="str">
        <f t="shared" si="72"/>
        <v>MN</v>
      </c>
      <c r="E813" t="str">
        <f t="shared" si="73"/>
        <v>Midwest</v>
      </c>
      <c r="F813" t="s">
        <v>25</v>
      </c>
      <c r="G813" s="1">
        <v>44990</v>
      </c>
      <c r="H813" s="1">
        <v>44991</v>
      </c>
      <c r="I813" s="1">
        <f t="shared" si="77"/>
        <v>44991</v>
      </c>
      <c r="J813" s="2">
        <v>12.8</v>
      </c>
      <c r="K813" s="2">
        <v>41.3</v>
      </c>
      <c r="L813" t="s">
        <v>15</v>
      </c>
      <c r="M813" s="2">
        <v>205</v>
      </c>
      <c r="N813" s="2">
        <v>1</v>
      </c>
      <c r="O813" s="2">
        <f t="shared" si="74"/>
        <v>205</v>
      </c>
      <c r="P813" s="2">
        <f t="shared" si="75"/>
        <v>4.9636803874092017</v>
      </c>
      <c r="Q813" s="3">
        <f t="shared" si="76"/>
        <v>0.20146341463414633</v>
      </c>
    </row>
    <row r="814" spans="1:17" hidden="1" x14ac:dyDescent="0.25">
      <c r="A814" t="s">
        <v>879</v>
      </c>
      <c r="B814" t="s">
        <v>35</v>
      </c>
      <c r="C814" t="s">
        <v>44</v>
      </c>
      <c r="D814" t="str">
        <f t="shared" si="72"/>
        <v>IL</v>
      </c>
      <c r="E814" t="str">
        <f t="shared" si="73"/>
        <v>Midwest</v>
      </c>
      <c r="F814" t="s">
        <v>59</v>
      </c>
      <c r="G814" s="1">
        <v>45038</v>
      </c>
      <c r="H814" s="1">
        <v>45042</v>
      </c>
      <c r="I814" s="1">
        <f t="shared" si="77"/>
        <v>45042</v>
      </c>
      <c r="J814" s="2">
        <v>42.2</v>
      </c>
      <c r="K814" s="2">
        <v>271.44</v>
      </c>
      <c r="L814" t="s">
        <v>15</v>
      </c>
      <c r="M814" s="2">
        <v>1943</v>
      </c>
      <c r="N814" s="2">
        <v>4</v>
      </c>
      <c r="O814" s="2">
        <f t="shared" si="74"/>
        <v>485.75</v>
      </c>
      <c r="P814" s="2">
        <f t="shared" si="75"/>
        <v>1.7895299145299146</v>
      </c>
      <c r="Q814" s="3">
        <f t="shared" si="76"/>
        <v>0.13970149253731343</v>
      </c>
    </row>
    <row r="815" spans="1:17" hidden="1" x14ac:dyDescent="0.25">
      <c r="A815" t="s">
        <v>880</v>
      </c>
      <c r="B815" t="s">
        <v>20</v>
      </c>
      <c r="C815" t="s">
        <v>21</v>
      </c>
      <c r="D815" t="str">
        <f t="shared" si="72"/>
        <v>TX</v>
      </c>
      <c r="E815" t="str">
        <f t="shared" si="73"/>
        <v>Southwest</v>
      </c>
      <c r="F815" t="s">
        <v>37</v>
      </c>
      <c r="G815" s="1">
        <v>45176</v>
      </c>
      <c r="H815" s="1">
        <v>45179</v>
      </c>
      <c r="I815" s="1">
        <f t="shared" si="77"/>
        <v>45179</v>
      </c>
      <c r="J815" s="2">
        <v>13.3</v>
      </c>
      <c r="K815" s="2">
        <v>179.74</v>
      </c>
      <c r="L815" t="s">
        <v>15</v>
      </c>
      <c r="M815" s="2">
        <v>1317</v>
      </c>
      <c r="N815" s="2">
        <v>3</v>
      </c>
      <c r="O815" s="2">
        <f t="shared" si="74"/>
        <v>439</v>
      </c>
      <c r="P815" s="2">
        <f t="shared" si="75"/>
        <v>2.4424168243017692</v>
      </c>
      <c r="Q815" s="3">
        <f t="shared" si="76"/>
        <v>0.13647684130599849</v>
      </c>
    </row>
    <row r="816" spans="1:17" hidden="1" x14ac:dyDescent="0.25">
      <c r="A816" t="s">
        <v>881</v>
      </c>
      <c r="B816" t="s">
        <v>12</v>
      </c>
      <c r="C816" t="s">
        <v>31</v>
      </c>
      <c r="D816" t="str">
        <f t="shared" ref="D816:D879" si="78">IF(C816="Atlanta","GA",
IF(C816="Boston","MA",
IF(C816="Chicago","IL",
IF(C816="Dallas","TX",
IF(C816="Denver","CO",
IF(C816="Detroit","MI",
IF(C816="Houston","TX",
IF(C816="Los Angeles","CA",
IF(C816="Miami","FL",
IF(C816="Minneapolis","MN",
IF(C816="New York","NY",
IF(C816="Phoenix","AZ",
IF(C816="Portland","OR",
IF(C816="San Francisco","CA",
IF(C816="Seattle","WA","Unknown")))))))))))))))</f>
        <v>NY</v>
      </c>
      <c r="E816" t="str">
        <f t="shared" ref="E816:E879" si="79">IF(OR(D816="NY",D816="NJ",D816="PA",D816="MA",D816="CT",D816="RI",D816="VT",D816="NH",D816="ME"),"Northeast",
IF(OR(D816="FL",D816="GA",D816="AL",D816="MS",D816="SC",D816="NC",D816="TN",D816="KY"),"Southeast",
IF(OR(D816="IL",D816="IN",D816="OH",D816="MI",D816="WI",D816="MN",D816="IA",D816="MO",D816="KS",D816="NE",D816="ND",D816="SD"),"Midwest",
IF(OR(D816="TX",D816="OK",D816="NM",D816="AZ"),"Southwest",
IF(OR(D816="CA",D816="OR",D816="WA",D816="NV",D816="CO",D816="UT",D816="ID",D816="MT",D816="WY",D816="AK",D816="HI"),"West","Other")))))</f>
        <v>Northeast</v>
      </c>
      <c r="F816" t="s">
        <v>18</v>
      </c>
      <c r="G816" s="1">
        <v>45117</v>
      </c>
      <c r="H816" s="1">
        <v>45118</v>
      </c>
      <c r="I816" s="1">
        <f t="shared" si="77"/>
        <v>45118</v>
      </c>
      <c r="J816" s="2">
        <v>12.4</v>
      </c>
      <c r="K816" s="2">
        <v>47.25</v>
      </c>
      <c r="L816" t="s">
        <v>15</v>
      </c>
      <c r="M816" s="2">
        <v>237</v>
      </c>
      <c r="N816" s="2">
        <v>1</v>
      </c>
      <c r="O816" s="2">
        <f t="shared" ref="O816:O879" si="80">M816/N816</f>
        <v>237</v>
      </c>
      <c r="P816" s="2">
        <f t="shared" ref="P816:P879" si="81">O816/K816</f>
        <v>5.0158730158730158</v>
      </c>
      <c r="Q816" s="3">
        <f t="shared" ref="Q816:Q879" si="82">K816/M816</f>
        <v>0.19936708860759494</v>
      </c>
    </row>
    <row r="817" spans="1:17" hidden="1" x14ac:dyDescent="0.25">
      <c r="A817" t="s">
        <v>882</v>
      </c>
      <c r="B817" t="s">
        <v>23</v>
      </c>
      <c r="C817" t="s">
        <v>40</v>
      </c>
      <c r="D817" t="str">
        <f t="shared" si="78"/>
        <v>MI</v>
      </c>
      <c r="E817" t="str">
        <f t="shared" si="79"/>
        <v>Midwest</v>
      </c>
      <c r="F817" t="s">
        <v>59</v>
      </c>
      <c r="G817" s="1">
        <v>44982</v>
      </c>
      <c r="H817" s="1">
        <v>44984</v>
      </c>
      <c r="I817" s="1">
        <f t="shared" si="77"/>
        <v>44984</v>
      </c>
      <c r="J817" s="2">
        <v>12.2</v>
      </c>
      <c r="K817" s="2">
        <v>70.06</v>
      </c>
      <c r="L817" t="s">
        <v>15</v>
      </c>
      <c r="M817" s="2">
        <v>489</v>
      </c>
      <c r="N817" s="2">
        <v>2</v>
      </c>
      <c r="O817" s="2">
        <f t="shared" si="80"/>
        <v>244.5</v>
      </c>
      <c r="P817" s="2">
        <f t="shared" si="81"/>
        <v>3.4898658292891804</v>
      </c>
      <c r="Q817" s="3">
        <f t="shared" si="82"/>
        <v>0.14327198364008181</v>
      </c>
    </row>
    <row r="818" spans="1:17" hidden="1" x14ac:dyDescent="0.25">
      <c r="A818" t="s">
        <v>883</v>
      </c>
      <c r="B818" t="s">
        <v>35</v>
      </c>
      <c r="C818" t="s">
        <v>52</v>
      </c>
      <c r="D818" t="str">
        <f t="shared" si="78"/>
        <v>AZ</v>
      </c>
      <c r="E818" t="str">
        <f t="shared" si="79"/>
        <v>Southwest</v>
      </c>
      <c r="F818" t="s">
        <v>42</v>
      </c>
      <c r="G818" s="1">
        <v>45097</v>
      </c>
      <c r="H818" s="1">
        <v>45101</v>
      </c>
      <c r="I818" s="1">
        <f t="shared" si="77"/>
        <v>45101</v>
      </c>
      <c r="J818" s="2">
        <v>28.6</v>
      </c>
      <c r="K818" s="2">
        <v>223.2</v>
      </c>
      <c r="L818" t="s">
        <v>15</v>
      </c>
      <c r="M818" s="2">
        <v>1752</v>
      </c>
      <c r="N818" s="2">
        <v>4</v>
      </c>
      <c r="O818" s="2">
        <f t="shared" si="80"/>
        <v>438</v>
      </c>
      <c r="P818" s="2">
        <f t="shared" si="81"/>
        <v>1.9623655913978495</v>
      </c>
      <c r="Q818" s="3">
        <f t="shared" si="82"/>
        <v>0.12739726027397261</v>
      </c>
    </row>
    <row r="819" spans="1:17" hidden="1" x14ac:dyDescent="0.25">
      <c r="A819" t="s">
        <v>884</v>
      </c>
      <c r="B819" t="s">
        <v>35</v>
      </c>
      <c r="C819" t="s">
        <v>54</v>
      </c>
      <c r="D819" t="str">
        <f t="shared" si="78"/>
        <v>FL</v>
      </c>
      <c r="E819" t="str">
        <f t="shared" si="79"/>
        <v>Southeast</v>
      </c>
      <c r="F819" t="s">
        <v>32</v>
      </c>
      <c r="G819" s="1">
        <v>45068</v>
      </c>
      <c r="H819" s="1">
        <v>45071</v>
      </c>
      <c r="I819" s="1">
        <f t="shared" si="77"/>
        <v>45071</v>
      </c>
      <c r="J819" s="2">
        <v>12.3</v>
      </c>
      <c r="K819" s="2">
        <v>199.26</v>
      </c>
      <c r="L819" t="s">
        <v>15</v>
      </c>
      <c r="M819" s="2">
        <v>1350</v>
      </c>
      <c r="N819" s="2">
        <v>3</v>
      </c>
      <c r="O819" s="2">
        <f t="shared" si="80"/>
        <v>450</v>
      </c>
      <c r="P819" s="2">
        <f t="shared" si="81"/>
        <v>2.2583559168925023</v>
      </c>
      <c r="Q819" s="3">
        <f t="shared" si="82"/>
        <v>0.14759999999999998</v>
      </c>
    </row>
    <row r="820" spans="1:17" x14ac:dyDescent="0.25">
      <c r="A820" t="s">
        <v>885</v>
      </c>
      <c r="B820" t="s">
        <v>56</v>
      </c>
      <c r="C820" t="s">
        <v>13</v>
      </c>
      <c r="D820" t="str">
        <f t="shared" si="78"/>
        <v>CA</v>
      </c>
      <c r="E820" t="str">
        <f t="shared" si="79"/>
        <v>West</v>
      </c>
      <c r="F820" t="s">
        <v>59</v>
      </c>
      <c r="G820" s="1">
        <v>45089</v>
      </c>
      <c r="H820" s="1">
        <v>45093</v>
      </c>
      <c r="I820" s="1">
        <f t="shared" si="77"/>
        <v>45093</v>
      </c>
      <c r="J820" s="2">
        <v>7.5</v>
      </c>
      <c r="K820" s="2">
        <v>165.29</v>
      </c>
      <c r="L820" t="s">
        <v>15</v>
      </c>
      <c r="M820" s="2">
        <v>1323</v>
      </c>
      <c r="N820" s="2">
        <v>4</v>
      </c>
      <c r="O820" s="2">
        <f t="shared" si="80"/>
        <v>330.75</v>
      </c>
      <c r="P820" s="2">
        <f t="shared" si="81"/>
        <v>2.001028495371771</v>
      </c>
      <c r="Q820" s="3">
        <f t="shared" si="82"/>
        <v>0.12493575207860921</v>
      </c>
    </row>
    <row r="821" spans="1:17" x14ac:dyDescent="0.25">
      <c r="A821" t="s">
        <v>886</v>
      </c>
      <c r="B821" t="s">
        <v>23</v>
      </c>
      <c r="C821" t="s">
        <v>13</v>
      </c>
      <c r="D821" t="str">
        <f t="shared" si="78"/>
        <v>CA</v>
      </c>
      <c r="E821" t="str">
        <f t="shared" si="79"/>
        <v>West</v>
      </c>
      <c r="F821" t="s">
        <v>25</v>
      </c>
      <c r="G821" s="1">
        <v>45157</v>
      </c>
      <c r="H821" s="1">
        <v>45163</v>
      </c>
      <c r="I821" s="1">
        <f t="shared" si="77"/>
        <v>45163</v>
      </c>
      <c r="J821" s="2">
        <v>10.4</v>
      </c>
      <c r="K821" s="2">
        <v>45.53</v>
      </c>
      <c r="L821" t="s">
        <v>15</v>
      </c>
      <c r="M821" s="2">
        <v>255</v>
      </c>
      <c r="N821" s="2">
        <v>6</v>
      </c>
      <c r="O821" s="2">
        <f t="shared" si="80"/>
        <v>42.5</v>
      </c>
      <c r="P821" s="2">
        <f t="shared" si="81"/>
        <v>0.93345047221612121</v>
      </c>
      <c r="Q821" s="3">
        <f t="shared" si="82"/>
        <v>0.17854901960784314</v>
      </c>
    </row>
    <row r="822" spans="1:17" hidden="1" x14ac:dyDescent="0.25">
      <c r="A822" t="s">
        <v>887</v>
      </c>
      <c r="B822" t="s">
        <v>20</v>
      </c>
      <c r="C822" t="s">
        <v>31</v>
      </c>
      <c r="D822" t="str">
        <f t="shared" si="78"/>
        <v>NY</v>
      </c>
      <c r="E822" t="str">
        <f t="shared" si="79"/>
        <v>Northeast</v>
      </c>
      <c r="F822" t="s">
        <v>14</v>
      </c>
      <c r="G822" s="1">
        <v>45193</v>
      </c>
      <c r="H822" s="1">
        <v>45196</v>
      </c>
      <c r="I822" s="1">
        <f t="shared" si="77"/>
        <v>45196</v>
      </c>
      <c r="J822" s="2">
        <v>33.5</v>
      </c>
      <c r="K822" s="2">
        <v>88.12</v>
      </c>
      <c r="L822" t="s">
        <v>15</v>
      </c>
      <c r="M822" s="2">
        <v>420</v>
      </c>
      <c r="N822" s="2">
        <v>3</v>
      </c>
      <c r="O822" s="2">
        <f t="shared" si="80"/>
        <v>140</v>
      </c>
      <c r="P822" s="2">
        <f t="shared" si="81"/>
        <v>1.5887426236949613</v>
      </c>
      <c r="Q822" s="3">
        <f t="shared" si="82"/>
        <v>0.20980952380952381</v>
      </c>
    </row>
    <row r="823" spans="1:17" hidden="1" x14ac:dyDescent="0.25">
      <c r="A823" t="s">
        <v>888</v>
      </c>
      <c r="B823" t="s">
        <v>35</v>
      </c>
      <c r="C823" t="s">
        <v>17</v>
      </c>
      <c r="D823" t="str">
        <f t="shared" si="78"/>
        <v>GA</v>
      </c>
      <c r="E823" t="str">
        <f t="shared" si="79"/>
        <v>Southeast</v>
      </c>
      <c r="F823" t="s">
        <v>42</v>
      </c>
      <c r="G823" s="1">
        <v>45151</v>
      </c>
      <c r="H823" s="1">
        <v>45157</v>
      </c>
      <c r="I823" s="1">
        <f t="shared" si="77"/>
        <v>45157</v>
      </c>
      <c r="J823" s="2">
        <v>16.899999999999999</v>
      </c>
      <c r="K823" s="2">
        <v>192.93</v>
      </c>
      <c r="L823" t="s">
        <v>15</v>
      </c>
      <c r="M823" s="2">
        <v>1506</v>
      </c>
      <c r="N823" s="2">
        <v>6</v>
      </c>
      <c r="O823" s="2">
        <f t="shared" si="80"/>
        <v>251</v>
      </c>
      <c r="P823" s="2">
        <f t="shared" si="81"/>
        <v>1.3009899963717411</v>
      </c>
      <c r="Q823" s="3">
        <f t="shared" si="82"/>
        <v>0.12810756972111553</v>
      </c>
    </row>
    <row r="824" spans="1:17" hidden="1" x14ac:dyDescent="0.25">
      <c r="A824" t="s">
        <v>889</v>
      </c>
      <c r="B824" t="s">
        <v>12</v>
      </c>
      <c r="C824" t="s">
        <v>52</v>
      </c>
      <c r="D824" t="str">
        <f t="shared" si="78"/>
        <v>AZ</v>
      </c>
      <c r="E824" t="str">
        <f t="shared" si="79"/>
        <v>Southwest</v>
      </c>
      <c r="F824" t="s">
        <v>42</v>
      </c>
      <c r="G824" s="1">
        <v>45238</v>
      </c>
      <c r="H824" s="1">
        <v>45243</v>
      </c>
      <c r="I824" s="1">
        <f t="shared" si="77"/>
        <v>45243</v>
      </c>
      <c r="J824" s="2">
        <v>25.9</v>
      </c>
      <c r="K824" s="2">
        <v>272</v>
      </c>
      <c r="L824" t="s">
        <v>15</v>
      </c>
      <c r="M824" s="2">
        <v>1763</v>
      </c>
      <c r="N824" s="2">
        <v>5</v>
      </c>
      <c r="O824" s="2">
        <f t="shared" si="80"/>
        <v>352.6</v>
      </c>
      <c r="P824" s="2">
        <f t="shared" si="81"/>
        <v>1.2963235294117648</v>
      </c>
      <c r="Q824" s="3">
        <f t="shared" si="82"/>
        <v>0.1542824730572887</v>
      </c>
    </row>
    <row r="825" spans="1:17" hidden="1" x14ac:dyDescent="0.25">
      <c r="A825" t="s">
        <v>890</v>
      </c>
      <c r="B825" t="s">
        <v>23</v>
      </c>
      <c r="C825" t="s">
        <v>46</v>
      </c>
      <c r="D825" t="str">
        <f t="shared" si="78"/>
        <v>MA</v>
      </c>
      <c r="E825" t="str">
        <f t="shared" si="79"/>
        <v>Northeast</v>
      </c>
      <c r="F825" t="s">
        <v>32</v>
      </c>
      <c r="G825" s="1">
        <v>45005</v>
      </c>
      <c r="H825" s="1">
        <v>45009</v>
      </c>
      <c r="I825" s="1">
        <f t="shared" si="77"/>
        <v>45009</v>
      </c>
      <c r="J825" s="2">
        <v>6.2</v>
      </c>
      <c r="K825" s="2">
        <v>217.1</v>
      </c>
      <c r="L825" t="s">
        <v>15</v>
      </c>
      <c r="M825" s="2">
        <v>1483</v>
      </c>
      <c r="N825" s="2">
        <v>4</v>
      </c>
      <c r="O825" s="2">
        <f t="shared" si="80"/>
        <v>370.75</v>
      </c>
      <c r="P825" s="2">
        <f t="shared" si="81"/>
        <v>1.7077383694150161</v>
      </c>
      <c r="Q825" s="3">
        <f t="shared" si="82"/>
        <v>0.14639244774106541</v>
      </c>
    </row>
    <row r="826" spans="1:17" hidden="1" x14ac:dyDescent="0.25">
      <c r="A826" t="s">
        <v>891</v>
      </c>
      <c r="B826" t="s">
        <v>30</v>
      </c>
      <c r="C826" t="s">
        <v>46</v>
      </c>
      <c r="D826" t="str">
        <f t="shared" si="78"/>
        <v>MA</v>
      </c>
      <c r="E826" t="str">
        <f t="shared" si="79"/>
        <v>Northeast</v>
      </c>
      <c r="F826" t="s">
        <v>32</v>
      </c>
      <c r="G826" s="1">
        <v>45010</v>
      </c>
      <c r="H826" s="1">
        <v>45015</v>
      </c>
      <c r="I826" s="1">
        <f t="shared" si="77"/>
        <v>45015</v>
      </c>
      <c r="J826" s="2">
        <v>7.3</v>
      </c>
      <c r="K826" s="2">
        <v>238.37</v>
      </c>
      <c r="L826" t="s">
        <v>15</v>
      </c>
      <c r="M826" s="2">
        <v>1921</v>
      </c>
      <c r="N826" s="2">
        <v>5</v>
      </c>
      <c r="O826" s="2">
        <f t="shared" si="80"/>
        <v>384.2</v>
      </c>
      <c r="P826" s="2">
        <f t="shared" si="81"/>
        <v>1.6117800058732221</v>
      </c>
      <c r="Q826" s="3">
        <f t="shared" si="82"/>
        <v>0.1240864133263925</v>
      </c>
    </row>
    <row r="827" spans="1:17" hidden="1" x14ac:dyDescent="0.25">
      <c r="A827" t="s">
        <v>892</v>
      </c>
      <c r="B827" t="s">
        <v>27</v>
      </c>
      <c r="C827" t="s">
        <v>17</v>
      </c>
      <c r="D827" t="str">
        <f t="shared" si="78"/>
        <v>GA</v>
      </c>
      <c r="E827" t="str">
        <f t="shared" si="79"/>
        <v>Southeast</v>
      </c>
      <c r="F827" t="s">
        <v>42</v>
      </c>
      <c r="G827" s="1">
        <v>45152</v>
      </c>
      <c r="H827" s="1">
        <v>45157</v>
      </c>
      <c r="I827" s="1">
        <f t="shared" si="77"/>
        <v>45157</v>
      </c>
      <c r="J827" s="2">
        <v>30.8</v>
      </c>
      <c r="K827" s="2">
        <v>251.75</v>
      </c>
      <c r="L827" t="s">
        <v>15</v>
      </c>
      <c r="M827" s="2">
        <v>1737</v>
      </c>
      <c r="N827" s="2">
        <v>5</v>
      </c>
      <c r="O827" s="2">
        <f t="shared" si="80"/>
        <v>347.4</v>
      </c>
      <c r="P827" s="2">
        <f t="shared" si="81"/>
        <v>1.3799404170804368</v>
      </c>
      <c r="Q827" s="3">
        <f t="shared" si="82"/>
        <v>0.14493379389752448</v>
      </c>
    </row>
    <row r="828" spans="1:17" hidden="1" x14ac:dyDescent="0.25">
      <c r="A828" t="s">
        <v>893</v>
      </c>
      <c r="B828" t="s">
        <v>23</v>
      </c>
      <c r="C828" t="s">
        <v>54</v>
      </c>
      <c r="D828" t="str">
        <f t="shared" si="78"/>
        <v>FL</v>
      </c>
      <c r="E828" t="str">
        <f t="shared" si="79"/>
        <v>Southeast</v>
      </c>
      <c r="F828" t="s">
        <v>25</v>
      </c>
      <c r="G828" s="1">
        <v>44946</v>
      </c>
      <c r="H828" s="1">
        <v>44949</v>
      </c>
      <c r="I828" s="1">
        <f t="shared" si="77"/>
        <v>44949</v>
      </c>
      <c r="J828" s="2">
        <v>3.6</v>
      </c>
      <c r="K828" s="2">
        <v>68.650000000000006</v>
      </c>
      <c r="L828" t="s">
        <v>67</v>
      </c>
      <c r="M828" s="2">
        <v>560</v>
      </c>
      <c r="N828" s="2">
        <v>3</v>
      </c>
      <c r="O828" s="2">
        <f t="shared" si="80"/>
        <v>186.66666666666666</v>
      </c>
      <c r="P828" s="2">
        <f t="shared" si="81"/>
        <v>2.7191065792668119</v>
      </c>
      <c r="Q828" s="3">
        <f t="shared" si="82"/>
        <v>0.12258928571428572</v>
      </c>
    </row>
    <row r="829" spans="1:17" hidden="1" x14ac:dyDescent="0.25">
      <c r="A829" t="s">
        <v>894</v>
      </c>
      <c r="B829" t="s">
        <v>39</v>
      </c>
      <c r="C829" t="s">
        <v>28</v>
      </c>
      <c r="D829" t="str">
        <f t="shared" si="78"/>
        <v>TX</v>
      </c>
      <c r="E829" t="str">
        <f t="shared" si="79"/>
        <v>Southwest</v>
      </c>
      <c r="F829" t="s">
        <v>25</v>
      </c>
      <c r="G829" s="1">
        <v>44934</v>
      </c>
      <c r="H829" s="1">
        <v>44937</v>
      </c>
      <c r="I829" s="1">
        <f t="shared" si="77"/>
        <v>44937</v>
      </c>
      <c r="J829" s="2">
        <v>63.5</v>
      </c>
      <c r="K829" s="2">
        <v>192.27</v>
      </c>
      <c r="L829" t="s">
        <v>15</v>
      </c>
      <c r="M829" s="2">
        <v>1118</v>
      </c>
      <c r="N829" s="2">
        <v>3</v>
      </c>
      <c r="O829" s="2">
        <f t="shared" si="80"/>
        <v>372.66666666666669</v>
      </c>
      <c r="P829" s="2">
        <f t="shared" si="81"/>
        <v>1.9382465629930132</v>
      </c>
      <c r="Q829" s="3">
        <f t="shared" si="82"/>
        <v>0.17197674418604653</v>
      </c>
    </row>
    <row r="830" spans="1:17" hidden="1" x14ac:dyDescent="0.25">
      <c r="A830" t="s">
        <v>895</v>
      </c>
      <c r="B830" t="s">
        <v>35</v>
      </c>
      <c r="C830" t="s">
        <v>40</v>
      </c>
      <c r="D830" t="str">
        <f t="shared" si="78"/>
        <v>MI</v>
      </c>
      <c r="E830" t="str">
        <f t="shared" si="79"/>
        <v>Midwest</v>
      </c>
      <c r="F830" t="s">
        <v>32</v>
      </c>
      <c r="G830" s="1">
        <v>44972</v>
      </c>
      <c r="H830" s="1">
        <v>44973</v>
      </c>
      <c r="I830" s="1">
        <f t="shared" si="77"/>
        <v>44973</v>
      </c>
      <c r="J830" s="2">
        <v>53.7</v>
      </c>
      <c r="K830" s="2">
        <v>113.89</v>
      </c>
      <c r="L830" t="s">
        <v>15</v>
      </c>
      <c r="M830" s="2">
        <v>283</v>
      </c>
      <c r="N830" s="2">
        <v>1</v>
      </c>
      <c r="O830" s="2">
        <f t="shared" si="80"/>
        <v>283</v>
      </c>
      <c r="P830" s="2">
        <f t="shared" si="81"/>
        <v>2.4848538063043288</v>
      </c>
      <c r="Q830" s="3">
        <f t="shared" si="82"/>
        <v>0.40243816254416959</v>
      </c>
    </row>
    <row r="831" spans="1:17" x14ac:dyDescent="0.25">
      <c r="A831" t="s">
        <v>896</v>
      </c>
      <c r="B831" t="s">
        <v>56</v>
      </c>
      <c r="C831" t="s">
        <v>24</v>
      </c>
      <c r="D831" t="str">
        <f t="shared" si="78"/>
        <v>WA</v>
      </c>
      <c r="E831" t="str">
        <f t="shared" si="79"/>
        <v>West</v>
      </c>
      <c r="F831" t="s">
        <v>37</v>
      </c>
      <c r="G831" s="1">
        <v>45008</v>
      </c>
      <c r="H831" s="1">
        <v>45014</v>
      </c>
      <c r="I831" s="1">
        <f t="shared" si="77"/>
        <v>45014</v>
      </c>
      <c r="J831" s="2">
        <v>10.3</v>
      </c>
      <c r="K831" s="2">
        <v>312.01</v>
      </c>
      <c r="L831" t="s">
        <v>15</v>
      </c>
      <c r="M831" s="2">
        <v>2287</v>
      </c>
      <c r="N831" s="2">
        <v>6</v>
      </c>
      <c r="O831" s="2">
        <f t="shared" si="80"/>
        <v>381.16666666666669</v>
      </c>
      <c r="P831" s="2">
        <f t="shared" si="81"/>
        <v>1.2216488787752531</v>
      </c>
      <c r="Q831" s="3">
        <f t="shared" si="82"/>
        <v>0.1364276344556187</v>
      </c>
    </row>
    <row r="832" spans="1:17" hidden="1" x14ac:dyDescent="0.25">
      <c r="A832" t="s">
        <v>897</v>
      </c>
      <c r="B832" t="s">
        <v>51</v>
      </c>
      <c r="C832" t="s">
        <v>57</v>
      </c>
      <c r="D832" t="str">
        <f t="shared" si="78"/>
        <v>MN</v>
      </c>
      <c r="E832" t="str">
        <f t="shared" si="79"/>
        <v>Midwest</v>
      </c>
      <c r="F832" t="s">
        <v>18</v>
      </c>
      <c r="G832" s="1">
        <v>45001</v>
      </c>
      <c r="H832" s="1">
        <v>45004</v>
      </c>
      <c r="I832" s="1">
        <f t="shared" si="77"/>
        <v>45004</v>
      </c>
      <c r="J832" s="2">
        <v>23.7</v>
      </c>
      <c r="K832" s="2">
        <v>105.39</v>
      </c>
      <c r="L832" t="s">
        <v>15</v>
      </c>
      <c r="M832" s="2">
        <v>475</v>
      </c>
      <c r="N832" s="2">
        <v>3</v>
      </c>
      <c r="O832" s="2">
        <f t="shared" si="80"/>
        <v>158.33333333333334</v>
      </c>
      <c r="P832" s="2">
        <f t="shared" si="81"/>
        <v>1.5023563272922795</v>
      </c>
      <c r="Q832" s="3">
        <f t="shared" si="82"/>
        <v>0.22187368421052631</v>
      </c>
    </row>
    <row r="833" spans="1:17" hidden="1" x14ac:dyDescent="0.25">
      <c r="A833" t="s">
        <v>898</v>
      </c>
      <c r="B833" t="s">
        <v>12</v>
      </c>
      <c r="C833" t="s">
        <v>17</v>
      </c>
      <c r="D833" t="str">
        <f t="shared" si="78"/>
        <v>GA</v>
      </c>
      <c r="E833" t="str">
        <f t="shared" si="79"/>
        <v>Southeast</v>
      </c>
      <c r="F833" t="s">
        <v>32</v>
      </c>
      <c r="G833" s="1">
        <v>45276</v>
      </c>
      <c r="H833" s="1">
        <v>45290</v>
      </c>
      <c r="I833" s="1">
        <f t="shared" si="77"/>
        <v>45290</v>
      </c>
      <c r="J833" s="2">
        <v>12.4</v>
      </c>
      <c r="K833" s="2">
        <v>55.37</v>
      </c>
      <c r="L833" t="s">
        <v>47</v>
      </c>
      <c r="M833" s="2">
        <v>253</v>
      </c>
      <c r="N833" s="2">
        <v>1</v>
      </c>
      <c r="O833" s="2">
        <f t="shared" si="80"/>
        <v>253</v>
      </c>
      <c r="P833" s="2">
        <f t="shared" si="81"/>
        <v>4.5692613328517249</v>
      </c>
      <c r="Q833" s="3">
        <f t="shared" si="82"/>
        <v>0.21885375494071146</v>
      </c>
    </row>
    <row r="834" spans="1:17" hidden="1" x14ac:dyDescent="0.25">
      <c r="A834" t="s">
        <v>899</v>
      </c>
      <c r="B834" t="s">
        <v>35</v>
      </c>
      <c r="C834" t="s">
        <v>17</v>
      </c>
      <c r="D834" t="str">
        <f t="shared" si="78"/>
        <v>GA</v>
      </c>
      <c r="E834" t="str">
        <f t="shared" si="79"/>
        <v>Southeast</v>
      </c>
      <c r="F834" t="s">
        <v>14</v>
      </c>
      <c r="G834" s="1">
        <v>45214</v>
      </c>
      <c r="H834" s="1">
        <v>45218</v>
      </c>
      <c r="I834" s="1">
        <f t="shared" ref="I834:I897" si="83">IF(H834="", G834 + N834, H834)</f>
        <v>45218</v>
      </c>
      <c r="J834" s="2">
        <v>21.5</v>
      </c>
      <c r="K834" s="2">
        <v>163.13</v>
      </c>
      <c r="L834" t="s">
        <v>15</v>
      </c>
      <c r="M834" s="2">
        <v>976</v>
      </c>
      <c r="N834" s="2">
        <v>4</v>
      </c>
      <c r="O834" s="2">
        <f t="shared" si="80"/>
        <v>244</v>
      </c>
      <c r="P834" s="2">
        <f t="shared" si="81"/>
        <v>1.495739594188684</v>
      </c>
      <c r="Q834" s="3">
        <f t="shared" si="82"/>
        <v>0.16714139344262294</v>
      </c>
    </row>
    <row r="835" spans="1:17" x14ac:dyDescent="0.25">
      <c r="A835" t="s">
        <v>900</v>
      </c>
      <c r="B835" t="s">
        <v>39</v>
      </c>
      <c r="C835" t="s">
        <v>81</v>
      </c>
      <c r="D835" t="str">
        <f t="shared" si="78"/>
        <v>CO</v>
      </c>
      <c r="E835" t="str">
        <f t="shared" si="79"/>
        <v>West</v>
      </c>
      <c r="F835" t="s">
        <v>32</v>
      </c>
      <c r="G835" s="1">
        <v>45208</v>
      </c>
      <c r="H835" s="1">
        <v>45211</v>
      </c>
      <c r="I835" s="1">
        <f t="shared" si="83"/>
        <v>45211</v>
      </c>
      <c r="J835" s="2">
        <v>13.7</v>
      </c>
      <c r="K835" s="2">
        <v>151.52000000000001</v>
      </c>
      <c r="L835" t="s">
        <v>15</v>
      </c>
      <c r="M835" s="2">
        <v>1030</v>
      </c>
      <c r="N835" s="2">
        <v>3</v>
      </c>
      <c r="O835" s="2">
        <f t="shared" si="80"/>
        <v>343.33333333333331</v>
      </c>
      <c r="P835" s="2">
        <f t="shared" si="81"/>
        <v>2.2659274903203093</v>
      </c>
      <c r="Q835" s="3">
        <f t="shared" si="82"/>
        <v>0.14710679611650487</v>
      </c>
    </row>
    <row r="836" spans="1:17" hidden="1" x14ac:dyDescent="0.25">
      <c r="A836" t="s">
        <v>901</v>
      </c>
      <c r="B836" t="s">
        <v>23</v>
      </c>
      <c r="C836" t="s">
        <v>44</v>
      </c>
      <c r="D836" t="str">
        <f t="shared" si="78"/>
        <v>IL</v>
      </c>
      <c r="E836" t="str">
        <f t="shared" si="79"/>
        <v>Midwest</v>
      </c>
      <c r="F836" t="s">
        <v>59</v>
      </c>
      <c r="G836" s="1">
        <v>44973</v>
      </c>
      <c r="H836" s="1">
        <v>44977</v>
      </c>
      <c r="I836" s="1">
        <f t="shared" si="83"/>
        <v>44977</v>
      </c>
      <c r="J836" s="2">
        <v>11.5</v>
      </c>
      <c r="K836" s="2">
        <v>215.48</v>
      </c>
      <c r="L836" t="s">
        <v>15</v>
      </c>
      <c r="M836" s="2">
        <v>1702</v>
      </c>
      <c r="N836" s="2">
        <v>4</v>
      </c>
      <c r="O836" s="2">
        <f t="shared" si="80"/>
        <v>425.5</v>
      </c>
      <c r="P836" s="2">
        <f t="shared" si="81"/>
        <v>1.9746612214590682</v>
      </c>
      <c r="Q836" s="3">
        <f t="shared" si="82"/>
        <v>0.12660399529964747</v>
      </c>
    </row>
    <row r="837" spans="1:17" x14ac:dyDescent="0.25">
      <c r="A837" t="s">
        <v>902</v>
      </c>
      <c r="B837" t="s">
        <v>56</v>
      </c>
      <c r="C837" t="s">
        <v>70</v>
      </c>
      <c r="D837" t="str">
        <f t="shared" si="78"/>
        <v>CA</v>
      </c>
      <c r="E837" t="str">
        <f t="shared" si="79"/>
        <v>West</v>
      </c>
      <c r="F837" t="s">
        <v>32</v>
      </c>
      <c r="G837" s="1">
        <v>45284</v>
      </c>
      <c r="H837" s="1">
        <v>45288</v>
      </c>
      <c r="I837" s="1">
        <f t="shared" si="83"/>
        <v>45288</v>
      </c>
      <c r="J837" s="2">
        <v>7.2</v>
      </c>
      <c r="K837" s="2">
        <v>340.75</v>
      </c>
      <c r="L837" t="s">
        <v>67</v>
      </c>
      <c r="M837" s="2">
        <v>2010</v>
      </c>
      <c r="N837" s="2">
        <v>4</v>
      </c>
      <c r="O837" s="2">
        <f t="shared" si="80"/>
        <v>502.5</v>
      </c>
      <c r="P837" s="2">
        <f t="shared" si="81"/>
        <v>1.4746881878209832</v>
      </c>
      <c r="Q837" s="3">
        <f t="shared" si="82"/>
        <v>0.1695273631840796</v>
      </c>
    </row>
    <row r="838" spans="1:17" x14ac:dyDescent="0.25">
      <c r="A838" t="s">
        <v>903</v>
      </c>
      <c r="B838" t="s">
        <v>39</v>
      </c>
      <c r="C838" t="s">
        <v>24</v>
      </c>
      <c r="D838" t="str">
        <f t="shared" si="78"/>
        <v>WA</v>
      </c>
      <c r="E838" t="str">
        <f t="shared" si="79"/>
        <v>West</v>
      </c>
      <c r="F838" t="s">
        <v>37</v>
      </c>
      <c r="G838" s="1">
        <v>44984</v>
      </c>
      <c r="H838" s="1">
        <v>44990</v>
      </c>
      <c r="I838" s="1">
        <f t="shared" si="83"/>
        <v>44990</v>
      </c>
      <c r="J838" s="2">
        <v>12.9</v>
      </c>
      <c r="K838" s="2">
        <v>311.31</v>
      </c>
      <c r="L838" t="s">
        <v>15</v>
      </c>
      <c r="M838" s="2">
        <v>2323</v>
      </c>
      <c r="N838" s="2">
        <v>6</v>
      </c>
      <c r="O838" s="2">
        <f t="shared" si="80"/>
        <v>387.16666666666669</v>
      </c>
      <c r="P838" s="2">
        <f t="shared" si="81"/>
        <v>1.2436692257449702</v>
      </c>
      <c r="Q838" s="3">
        <f t="shared" si="82"/>
        <v>0.13401205337925096</v>
      </c>
    </row>
    <row r="839" spans="1:17" hidden="1" x14ac:dyDescent="0.25">
      <c r="A839" t="s">
        <v>904</v>
      </c>
      <c r="B839" t="s">
        <v>51</v>
      </c>
      <c r="C839" t="s">
        <v>40</v>
      </c>
      <c r="D839" t="str">
        <f t="shared" si="78"/>
        <v>MI</v>
      </c>
      <c r="E839" t="str">
        <f t="shared" si="79"/>
        <v>Midwest</v>
      </c>
      <c r="F839" t="s">
        <v>37</v>
      </c>
      <c r="G839" s="1">
        <v>44993</v>
      </c>
      <c r="H839" s="1">
        <v>44998</v>
      </c>
      <c r="I839" s="1">
        <f t="shared" si="83"/>
        <v>44998</v>
      </c>
      <c r="J839" s="2">
        <v>16.3</v>
      </c>
      <c r="K839" s="2">
        <v>299.25</v>
      </c>
      <c r="L839" t="s">
        <v>15</v>
      </c>
      <c r="M839" s="2">
        <v>2263</v>
      </c>
      <c r="N839" s="2">
        <v>5</v>
      </c>
      <c r="O839" s="2">
        <f t="shared" si="80"/>
        <v>452.6</v>
      </c>
      <c r="P839" s="2">
        <f t="shared" si="81"/>
        <v>1.5124477861319967</v>
      </c>
      <c r="Q839" s="3">
        <f t="shared" si="82"/>
        <v>0.13223596995139195</v>
      </c>
    </row>
    <row r="840" spans="1:17" hidden="1" x14ac:dyDescent="0.25">
      <c r="A840" t="s">
        <v>905</v>
      </c>
      <c r="B840" t="s">
        <v>49</v>
      </c>
      <c r="C840" t="s">
        <v>57</v>
      </c>
      <c r="D840" t="str">
        <f t="shared" si="78"/>
        <v>MN</v>
      </c>
      <c r="E840" t="str">
        <f t="shared" si="79"/>
        <v>Midwest</v>
      </c>
      <c r="F840" t="s">
        <v>32</v>
      </c>
      <c r="G840" s="1">
        <v>45244</v>
      </c>
      <c r="H840" s="1">
        <v>45247</v>
      </c>
      <c r="I840" s="1">
        <f t="shared" si="83"/>
        <v>45247</v>
      </c>
      <c r="J840" s="2">
        <v>8.3000000000000007</v>
      </c>
      <c r="K840" s="2">
        <v>166.12</v>
      </c>
      <c r="L840" t="s">
        <v>15</v>
      </c>
      <c r="M840" s="2">
        <v>1054</v>
      </c>
      <c r="N840" s="2">
        <v>3</v>
      </c>
      <c r="O840" s="2">
        <f t="shared" si="80"/>
        <v>351.33333333333331</v>
      </c>
      <c r="P840" s="2">
        <f t="shared" si="81"/>
        <v>2.1149369933381488</v>
      </c>
      <c r="Q840" s="3">
        <f t="shared" si="82"/>
        <v>0.1576091081593928</v>
      </c>
    </row>
    <row r="841" spans="1:17" hidden="1" x14ac:dyDescent="0.25">
      <c r="A841" t="s">
        <v>906</v>
      </c>
      <c r="B841" t="s">
        <v>27</v>
      </c>
      <c r="C841" t="s">
        <v>52</v>
      </c>
      <c r="D841" t="str">
        <f t="shared" si="78"/>
        <v>AZ</v>
      </c>
      <c r="E841" t="str">
        <f t="shared" si="79"/>
        <v>Southwest</v>
      </c>
      <c r="F841" t="s">
        <v>32</v>
      </c>
      <c r="G841" s="1">
        <v>45224</v>
      </c>
      <c r="H841" s="1">
        <v>45228</v>
      </c>
      <c r="I841" s="1">
        <f t="shared" si="83"/>
        <v>45228</v>
      </c>
      <c r="J841" s="2">
        <v>11.6</v>
      </c>
      <c r="K841" s="2">
        <v>147.12</v>
      </c>
      <c r="L841" t="s">
        <v>15</v>
      </c>
      <c r="M841" s="2">
        <v>905</v>
      </c>
      <c r="N841" s="2">
        <v>4</v>
      </c>
      <c r="O841" s="2">
        <f t="shared" si="80"/>
        <v>226.25</v>
      </c>
      <c r="P841" s="2">
        <f t="shared" si="81"/>
        <v>1.5378602501359433</v>
      </c>
      <c r="Q841" s="3">
        <f t="shared" si="82"/>
        <v>0.16256353591160222</v>
      </c>
    </row>
    <row r="842" spans="1:17" hidden="1" x14ac:dyDescent="0.25">
      <c r="A842" t="s">
        <v>907</v>
      </c>
      <c r="B842" t="s">
        <v>56</v>
      </c>
      <c r="C842" t="s">
        <v>17</v>
      </c>
      <c r="D842" t="str">
        <f t="shared" si="78"/>
        <v>GA</v>
      </c>
      <c r="E842" t="str">
        <f t="shared" si="79"/>
        <v>Southeast</v>
      </c>
      <c r="F842" t="s">
        <v>59</v>
      </c>
      <c r="G842" s="1">
        <v>45142</v>
      </c>
      <c r="H842" s="1">
        <v>45147</v>
      </c>
      <c r="I842" s="1">
        <f t="shared" si="83"/>
        <v>45147</v>
      </c>
      <c r="J842" s="2">
        <v>9.1</v>
      </c>
      <c r="K842" s="2">
        <v>144.68</v>
      </c>
      <c r="L842" t="s">
        <v>15</v>
      </c>
      <c r="M842" s="2">
        <v>1069</v>
      </c>
      <c r="N842" s="2">
        <v>5</v>
      </c>
      <c r="O842" s="2">
        <f t="shared" si="80"/>
        <v>213.8</v>
      </c>
      <c r="P842" s="2">
        <f t="shared" si="81"/>
        <v>1.4777439867293336</v>
      </c>
      <c r="Q842" s="3">
        <f t="shared" si="82"/>
        <v>0.13534144059869038</v>
      </c>
    </row>
    <row r="843" spans="1:17" hidden="1" x14ac:dyDescent="0.25">
      <c r="A843" t="s">
        <v>908</v>
      </c>
      <c r="B843" t="s">
        <v>23</v>
      </c>
      <c r="C843" t="s">
        <v>28</v>
      </c>
      <c r="D843" t="str">
        <f t="shared" si="78"/>
        <v>TX</v>
      </c>
      <c r="E843" t="str">
        <f t="shared" si="79"/>
        <v>Southwest</v>
      </c>
      <c r="F843" t="s">
        <v>14</v>
      </c>
      <c r="G843" s="1">
        <v>44968</v>
      </c>
      <c r="H843" s="1">
        <v>44974</v>
      </c>
      <c r="I843" s="1">
        <f t="shared" si="83"/>
        <v>44974</v>
      </c>
      <c r="J843" s="2">
        <v>26.8</v>
      </c>
      <c r="K843" s="2">
        <v>317.7</v>
      </c>
      <c r="L843" t="s">
        <v>15</v>
      </c>
      <c r="M843" s="2">
        <v>2274</v>
      </c>
      <c r="N843" s="2">
        <v>6</v>
      </c>
      <c r="O843" s="2">
        <f t="shared" si="80"/>
        <v>379</v>
      </c>
      <c r="P843" s="2">
        <f t="shared" si="81"/>
        <v>1.1929493232609381</v>
      </c>
      <c r="Q843" s="3">
        <f t="shared" si="82"/>
        <v>0.13970976253298154</v>
      </c>
    </row>
    <row r="844" spans="1:17" hidden="1" x14ac:dyDescent="0.25">
      <c r="A844" t="s">
        <v>909</v>
      </c>
      <c r="B844" t="s">
        <v>27</v>
      </c>
      <c r="C844" t="s">
        <v>17</v>
      </c>
      <c r="D844" t="str">
        <f t="shared" si="78"/>
        <v>GA</v>
      </c>
      <c r="E844" t="str">
        <f t="shared" si="79"/>
        <v>Southeast</v>
      </c>
      <c r="F844" t="s">
        <v>14</v>
      </c>
      <c r="G844" s="1">
        <v>45233</v>
      </c>
      <c r="H844" s="1">
        <v>45235</v>
      </c>
      <c r="I844" s="1">
        <f t="shared" si="83"/>
        <v>45235</v>
      </c>
      <c r="J844" s="2">
        <v>14.9</v>
      </c>
      <c r="K844" s="2">
        <v>50</v>
      </c>
      <c r="L844" t="s">
        <v>15</v>
      </c>
      <c r="M844" s="2">
        <v>161</v>
      </c>
      <c r="N844" s="2">
        <v>2</v>
      </c>
      <c r="O844" s="2">
        <f t="shared" si="80"/>
        <v>80.5</v>
      </c>
      <c r="P844" s="2">
        <f t="shared" si="81"/>
        <v>1.61</v>
      </c>
      <c r="Q844" s="3">
        <f t="shared" si="82"/>
        <v>0.3105590062111801</v>
      </c>
    </row>
    <row r="845" spans="1:17" hidden="1" x14ac:dyDescent="0.25">
      <c r="A845" t="s">
        <v>910</v>
      </c>
      <c r="B845" t="s">
        <v>12</v>
      </c>
      <c r="C845" t="s">
        <v>21</v>
      </c>
      <c r="D845" t="str">
        <f t="shared" si="78"/>
        <v>TX</v>
      </c>
      <c r="E845" t="str">
        <f t="shared" si="79"/>
        <v>Southwest</v>
      </c>
      <c r="F845" t="s">
        <v>25</v>
      </c>
      <c r="G845" s="1">
        <v>45189</v>
      </c>
      <c r="H845" s="1">
        <v>45193</v>
      </c>
      <c r="I845" s="1">
        <f t="shared" si="83"/>
        <v>45193</v>
      </c>
      <c r="J845" s="2">
        <v>139.30000000000001</v>
      </c>
      <c r="K845" s="2">
        <v>235.27</v>
      </c>
      <c r="L845" t="s">
        <v>15</v>
      </c>
      <c r="M845" s="2">
        <v>547</v>
      </c>
      <c r="N845" s="2">
        <v>4</v>
      </c>
      <c r="O845" s="2">
        <f t="shared" si="80"/>
        <v>136.75</v>
      </c>
      <c r="P845" s="2">
        <f t="shared" si="81"/>
        <v>0.58124707782547713</v>
      </c>
      <c r="Q845" s="3">
        <f t="shared" si="82"/>
        <v>0.43010968921389398</v>
      </c>
    </row>
    <row r="846" spans="1:17" hidden="1" x14ac:dyDescent="0.25">
      <c r="A846" t="s">
        <v>911</v>
      </c>
      <c r="B846" t="s">
        <v>51</v>
      </c>
      <c r="C846" t="s">
        <v>46</v>
      </c>
      <c r="D846" t="str">
        <f t="shared" si="78"/>
        <v>MA</v>
      </c>
      <c r="E846" t="str">
        <f t="shared" si="79"/>
        <v>Northeast</v>
      </c>
      <c r="F846" t="s">
        <v>37</v>
      </c>
      <c r="G846" s="1">
        <v>45059</v>
      </c>
      <c r="H846" s="1">
        <v>45061</v>
      </c>
      <c r="I846" s="1">
        <f t="shared" si="83"/>
        <v>45061</v>
      </c>
      <c r="J846" s="2">
        <v>85.2</v>
      </c>
      <c r="K846" s="2">
        <v>135.66999999999999</v>
      </c>
      <c r="L846" t="s">
        <v>15</v>
      </c>
      <c r="M846" s="2">
        <v>215</v>
      </c>
      <c r="N846" s="2">
        <v>2</v>
      </c>
      <c r="O846" s="2">
        <f t="shared" si="80"/>
        <v>107.5</v>
      </c>
      <c r="P846" s="2">
        <f t="shared" si="81"/>
        <v>0.79236382398466876</v>
      </c>
      <c r="Q846" s="3">
        <f t="shared" si="82"/>
        <v>0.63102325581395347</v>
      </c>
    </row>
    <row r="847" spans="1:17" hidden="1" x14ac:dyDescent="0.25">
      <c r="A847" t="s">
        <v>912</v>
      </c>
      <c r="B847" t="s">
        <v>39</v>
      </c>
      <c r="C847" t="s">
        <v>46</v>
      </c>
      <c r="D847" t="str">
        <f t="shared" si="78"/>
        <v>MA</v>
      </c>
      <c r="E847" t="str">
        <f t="shared" si="79"/>
        <v>Northeast</v>
      </c>
      <c r="F847" t="s">
        <v>32</v>
      </c>
      <c r="G847" s="1">
        <v>45202</v>
      </c>
      <c r="H847" s="1">
        <v>45208</v>
      </c>
      <c r="I847" s="1">
        <f t="shared" si="83"/>
        <v>45208</v>
      </c>
      <c r="J847" s="2">
        <v>61.4</v>
      </c>
      <c r="K847" s="2">
        <v>405.09</v>
      </c>
      <c r="L847" t="s">
        <v>15</v>
      </c>
      <c r="M847" s="2">
        <v>2282</v>
      </c>
      <c r="N847" s="2">
        <v>6</v>
      </c>
      <c r="O847" s="2">
        <f t="shared" si="80"/>
        <v>380.33333333333331</v>
      </c>
      <c r="P847" s="2">
        <f t="shared" si="81"/>
        <v>0.93888600887045681</v>
      </c>
      <c r="Q847" s="3">
        <f t="shared" si="82"/>
        <v>0.17751533742331288</v>
      </c>
    </row>
    <row r="848" spans="1:17" hidden="1" x14ac:dyDescent="0.25">
      <c r="A848" t="s">
        <v>913</v>
      </c>
      <c r="B848" t="s">
        <v>30</v>
      </c>
      <c r="C848" t="s">
        <v>44</v>
      </c>
      <c r="D848" t="str">
        <f t="shared" si="78"/>
        <v>IL</v>
      </c>
      <c r="E848" t="str">
        <f t="shared" si="79"/>
        <v>Midwest</v>
      </c>
      <c r="F848" t="s">
        <v>37</v>
      </c>
      <c r="G848" s="1">
        <v>45161</v>
      </c>
      <c r="H848" s="1">
        <v>45172</v>
      </c>
      <c r="I848" s="1">
        <f t="shared" si="83"/>
        <v>45172</v>
      </c>
      <c r="J848" s="2">
        <v>72.5</v>
      </c>
      <c r="K848" s="2">
        <v>350.54</v>
      </c>
      <c r="L848" t="s">
        <v>47</v>
      </c>
      <c r="M848" s="2">
        <v>2411</v>
      </c>
      <c r="N848" s="2">
        <v>7</v>
      </c>
      <c r="O848" s="2">
        <f t="shared" si="80"/>
        <v>344.42857142857144</v>
      </c>
      <c r="P848" s="2">
        <f t="shared" si="81"/>
        <v>0.98256567418431973</v>
      </c>
      <c r="Q848" s="3">
        <f t="shared" si="82"/>
        <v>0.14539195354624637</v>
      </c>
    </row>
    <row r="849" spans="1:17" hidden="1" x14ac:dyDescent="0.25">
      <c r="A849" t="s">
        <v>914</v>
      </c>
      <c r="B849" t="s">
        <v>49</v>
      </c>
      <c r="C849" t="s">
        <v>28</v>
      </c>
      <c r="D849" t="str">
        <f t="shared" si="78"/>
        <v>TX</v>
      </c>
      <c r="E849" t="str">
        <f t="shared" si="79"/>
        <v>Southwest</v>
      </c>
      <c r="F849" t="s">
        <v>18</v>
      </c>
      <c r="G849" s="1">
        <v>45106</v>
      </c>
      <c r="H849" s="1">
        <v>45109</v>
      </c>
      <c r="I849" s="1">
        <f t="shared" si="83"/>
        <v>45109</v>
      </c>
      <c r="J849" s="2">
        <v>26.8</v>
      </c>
      <c r="K849" s="2">
        <v>176.88</v>
      </c>
      <c r="L849" t="s">
        <v>15</v>
      </c>
      <c r="M849" s="2">
        <v>1008</v>
      </c>
      <c r="N849" s="2">
        <v>3</v>
      </c>
      <c r="O849" s="2">
        <f t="shared" si="80"/>
        <v>336</v>
      </c>
      <c r="P849" s="2">
        <f t="shared" si="81"/>
        <v>1.8995929443690638</v>
      </c>
      <c r="Q849" s="3">
        <f t="shared" si="82"/>
        <v>0.17547619047619048</v>
      </c>
    </row>
    <row r="850" spans="1:17" x14ac:dyDescent="0.25">
      <c r="A850" t="s">
        <v>915</v>
      </c>
      <c r="B850" t="s">
        <v>30</v>
      </c>
      <c r="C850" t="s">
        <v>13</v>
      </c>
      <c r="D850" t="str">
        <f t="shared" si="78"/>
        <v>CA</v>
      </c>
      <c r="E850" t="str">
        <f t="shared" si="79"/>
        <v>West</v>
      </c>
      <c r="F850" t="s">
        <v>32</v>
      </c>
      <c r="G850" s="1">
        <v>45115</v>
      </c>
      <c r="H850" s="1">
        <v>45125</v>
      </c>
      <c r="I850" s="1">
        <f t="shared" si="83"/>
        <v>45125</v>
      </c>
      <c r="J850" s="2">
        <v>34.200000000000003</v>
      </c>
      <c r="K850" s="2">
        <v>93.52</v>
      </c>
      <c r="L850" t="s">
        <v>47</v>
      </c>
      <c r="M850" s="2">
        <v>439</v>
      </c>
      <c r="N850" s="2">
        <v>3</v>
      </c>
      <c r="O850" s="2">
        <f t="shared" si="80"/>
        <v>146.33333333333334</v>
      </c>
      <c r="P850" s="2">
        <f t="shared" si="81"/>
        <v>1.5647276874821787</v>
      </c>
      <c r="Q850" s="3">
        <f t="shared" si="82"/>
        <v>0.21302961275626422</v>
      </c>
    </row>
    <row r="851" spans="1:17" hidden="1" x14ac:dyDescent="0.25">
      <c r="A851" t="s">
        <v>916</v>
      </c>
      <c r="B851" t="s">
        <v>30</v>
      </c>
      <c r="C851" t="s">
        <v>44</v>
      </c>
      <c r="D851" t="str">
        <f t="shared" si="78"/>
        <v>IL</v>
      </c>
      <c r="E851" t="str">
        <f t="shared" si="79"/>
        <v>Midwest</v>
      </c>
      <c r="F851" t="s">
        <v>32</v>
      </c>
      <c r="G851" s="1">
        <v>44994</v>
      </c>
      <c r="I851" s="1">
        <f t="shared" si="83"/>
        <v>44996</v>
      </c>
      <c r="J851" s="2">
        <v>45.4</v>
      </c>
      <c r="K851" s="2">
        <v>84.91</v>
      </c>
      <c r="L851" t="s">
        <v>15</v>
      </c>
      <c r="M851" s="2">
        <v>151</v>
      </c>
      <c r="N851" s="2">
        <v>2</v>
      </c>
      <c r="O851" s="2">
        <f t="shared" si="80"/>
        <v>75.5</v>
      </c>
      <c r="P851" s="2">
        <f t="shared" si="81"/>
        <v>0.88917677540925688</v>
      </c>
      <c r="Q851" s="3">
        <f t="shared" si="82"/>
        <v>0.56231788079470202</v>
      </c>
    </row>
    <row r="852" spans="1:17" x14ac:dyDescent="0.25">
      <c r="A852" t="s">
        <v>917</v>
      </c>
      <c r="B852" t="s">
        <v>12</v>
      </c>
      <c r="C852" t="s">
        <v>24</v>
      </c>
      <c r="D852" t="str">
        <f t="shared" si="78"/>
        <v>WA</v>
      </c>
      <c r="E852" t="str">
        <f t="shared" si="79"/>
        <v>West</v>
      </c>
      <c r="F852" t="s">
        <v>42</v>
      </c>
      <c r="G852" s="1">
        <v>45115</v>
      </c>
      <c r="H852" s="1">
        <v>45120</v>
      </c>
      <c r="I852" s="1">
        <f t="shared" si="83"/>
        <v>45120</v>
      </c>
      <c r="J852" s="2">
        <v>64</v>
      </c>
      <c r="K852" s="2">
        <v>233.21</v>
      </c>
      <c r="L852" t="s">
        <v>15</v>
      </c>
      <c r="M852" s="2">
        <v>1235</v>
      </c>
      <c r="N852" s="2">
        <v>5</v>
      </c>
      <c r="O852" s="2">
        <f t="shared" si="80"/>
        <v>247</v>
      </c>
      <c r="P852" s="2">
        <f t="shared" si="81"/>
        <v>1.0591312550919771</v>
      </c>
      <c r="Q852" s="3">
        <f t="shared" si="82"/>
        <v>0.188834008097166</v>
      </c>
    </row>
    <row r="853" spans="1:17" hidden="1" x14ac:dyDescent="0.25">
      <c r="A853" t="s">
        <v>918</v>
      </c>
      <c r="B853" t="s">
        <v>30</v>
      </c>
      <c r="C853" t="s">
        <v>46</v>
      </c>
      <c r="D853" t="str">
        <f t="shared" si="78"/>
        <v>MA</v>
      </c>
      <c r="E853" t="str">
        <f t="shared" si="79"/>
        <v>Northeast</v>
      </c>
      <c r="F853" t="s">
        <v>37</v>
      </c>
      <c r="G853" s="1">
        <v>45178</v>
      </c>
      <c r="H853" s="1">
        <v>45182</v>
      </c>
      <c r="I853" s="1">
        <f t="shared" si="83"/>
        <v>45182</v>
      </c>
      <c r="J853" s="2">
        <v>32.9</v>
      </c>
      <c r="K853" s="2">
        <v>227.09</v>
      </c>
      <c r="L853" t="s">
        <v>62</v>
      </c>
      <c r="M853" s="2">
        <v>1512</v>
      </c>
      <c r="N853" s="2">
        <v>4</v>
      </c>
      <c r="O853" s="2">
        <f t="shared" si="80"/>
        <v>378</v>
      </c>
      <c r="P853" s="2">
        <f t="shared" si="81"/>
        <v>1.6645382887841824</v>
      </c>
      <c r="Q853" s="3">
        <f t="shared" si="82"/>
        <v>0.15019179894179893</v>
      </c>
    </row>
    <row r="854" spans="1:17" x14ac:dyDescent="0.25">
      <c r="A854" t="s">
        <v>919</v>
      </c>
      <c r="B854" t="s">
        <v>12</v>
      </c>
      <c r="C854" t="s">
        <v>24</v>
      </c>
      <c r="D854" t="str">
        <f t="shared" si="78"/>
        <v>WA</v>
      </c>
      <c r="E854" t="str">
        <f t="shared" si="79"/>
        <v>West</v>
      </c>
      <c r="F854" t="s">
        <v>37</v>
      </c>
      <c r="G854" s="1">
        <v>45081</v>
      </c>
      <c r="H854" s="1">
        <v>45087</v>
      </c>
      <c r="I854" s="1">
        <f t="shared" si="83"/>
        <v>45087</v>
      </c>
      <c r="J854" s="2">
        <v>81.900000000000006</v>
      </c>
      <c r="K854" s="2">
        <v>300.38</v>
      </c>
      <c r="L854" t="s">
        <v>15</v>
      </c>
      <c r="M854" s="2">
        <v>1836</v>
      </c>
      <c r="N854" s="2">
        <v>6</v>
      </c>
      <c r="O854" s="2">
        <f t="shared" si="80"/>
        <v>306</v>
      </c>
      <c r="P854" s="2">
        <f t="shared" si="81"/>
        <v>1.0187096344630135</v>
      </c>
      <c r="Q854" s="3">
        <f t="shared" si="82"/>
        <v>0.16360566448801742</v>
      </c>
    </row>
    <row r="855" spans="1:17" hidden="1" x14ac:dyDescent="0.25">
      <c r="A855" t="s">
        <v>920</v>
      </c>
      <c r="B855" t="s">
        <v>12</v>
      </c>
      <c r="C855" t="s">
        <v>46</v>
      </c>
      <c r="D855" t="str">
        <f t="shared" si="78"/>
        <v>MA</v>
      </c>
      <c r="E855" t="str">
        <f t="shared" si="79"/>
        <v>Northeast</v>
      </c>
      <c r="F855" t="s">
        <v>25</v>
      </c>
      <c r="G855" s="1">
        <v>45017</v>
      </c>
      <c r="H855" s="1">
        <v>45024</v>
      </c>
      <c r="I855" s="1">
        <f t="shared" si="83"/>
        <v>45024</v>
      </c>
      <c r="J855" s="2">
        <v>16.7</v>
      </c>
      <c r="K855" s="2">
        <v>340.65</v>
      </c>
      <c r="L855" t="s">
        <v>15</v>
      </c>
      <c r="M855" s="2">
        <v>2415</v>
      </c>
      <c r="N855" s="2">
        <v>7</v>
      </c>
      <c r="O855" s="2">
        <f t="shared" si="80"/>
        <v>345</v>
      </c>
      <c r="P855" s="2">
        <f t="shared" si="81"/>
        <v>1.0127697049757816</v>
      </c>
      <c r="Q855" s="3">
        <f t="shared" si="82"/>
        <v>0.141055900621118</v>
      </c>
    </row>
    <row r="856" spans="1:17" x14ac:dyDescent="0.25">
      <c r="A856" t="s">
        <v>921</v>
      </c>
      <c r="B856" t="s">
        <v>27</v>
      </c>
      <c r="C856" t="s">
        <v>24</v>
      </c>
      <c r="D856" t="str">
        <f t="shared" si="78"/>
        <v>WA</v>
      </c>
      <c r="E856" t="str">
        <f t="shared" si="79"/>
        <v>West</v>
      </c>
      <c r="F856" t="s">
        <v>37</v>
      </c>
      <c r="G856" s="1">
        <v>44952</v>
      </c>
      <c r="H856" s="1">
        <v>44958</v>
      </c>
      <c r="I856" s="1">
        <f t="shared" si="83"/>
        <v>44958</v>
      </c>
      <c r="J856" s="2">
        <v>17.399999999999999</v>
      </c>
      <c r="K856" s="2">
        <v>249.13</v>
      </c>
      <c r="L856" t="s">
        <v>47</v>
      </c>
      <c r="M856" s="2">
        <v>1969</v>
      </c>
      <c r="N856" s="2">
        <v>5</v>
      </c>
      <c r="O856" s="2">
        <f t="shared" si="80"/>
        <v>393.8</v>
      </c>
      <c r="P856" s="2">
        <f t="shared" si="81"/>
        <v>1.5807008389194397</v>
      </c>
      <c r="Q856" s="3">
        <f t="shared" si="82"/>
        <v>0.12652615540883697</v>
      </c>
    </row>
    <row r="857" spans="1:17" hidden="1" x14ac:dyDescent="0.25">
      <c r="A857" t="s">
        <v>922</v>
      </c>
      <c r="B857" t="s">
        <v>56</v>
      </c>
      <c r="C857" t="s">
        <v>17</v>
      </c>
      <c r="D857" t="str">
        <f t="shared" si="78"/>
        <v>GA</v>
      </c>
      <c r="E857" t="str">
        <f t="shared" si="79"/>
        <v>Southeast</v>
      </c>
      <c r="F857" t="s">
        <v>25</v>
      </c>
      <c r="G857" s="1">
        <v>45137</v>
      </c>
      <c r="H857" s="1">
        <v>45140</v>
      </c>
      <c r="I857" s="1">
        <f t="shared" si="83"/>
        <v>45140</v>
      </c>
      <c r="J857" s="2">
        <v>108.8</v>
      </c>
      <c r="K857" s="2">
        <v>204.71</v>
      </c>
      <c r="L857" t="s">
        <v>15</v>
      </c>
      <c r="M857" s="2">
        <v>784</v>
      </c>
      <c r="N857" s="2">
        <v>3</v>
      </c>
      <c r="O857" s="2">
        <f t="shared" si="80"/>
        <v>261.33333333333331</v>
      </c>
      <c r="P857" s="2">
        <f t="shared" si="81"/>
        <v>1.2766026737010079</v>
      </c>
      <c r="Q857" s="3">
        <f t="shared" si="82"/>
        <v>0.26110969387755101</v>
      </c>
    </row>
    <row r="858" spans="1:17" x14ac:dyDescent="0.25">
      <c r="A858" t="s">
        <v>923</v>
      </c>
      <c r="B858" t="s">
        <v>30</v>
      </c>
      <c r="C858" t="s">
        <v>13</v>
      </c>
      <c r="D858" t="str">
        <f t="shared" si="78"/>
        <v>CA</v>
      </c>
      <c r="E858" t="str">
        <f t="shared" si="79"/>
        <v>West</v>
      </c>
      <c r="F858" t="s">
        <v>42</v>
      </c>
      <c r="G858" s="1">
        <v>44954</v>
      </c>
      <c r="H858" s="1">
        <v>44959</v>
      </c>
      <c r="I858" s="1">
        <f t="shared" si="83"/>
        <v>44959</v>
      </c>
      <c r="J858" s="2">
        <v>25.7</v>
      </c>
      <c r="K858" s="2">
        <v>227.68</v>
      </c>
      <c r="L858" t="s">
        <v>15</v>
      </c>
      <c r="M858" s="2">
        <v>1687</v>
      </c>
      <c r="N858" s="2">
        <v>5</v>
      </c>
      <c r="O858" s="2">
        <f t="shared" si="80"/>
        <v>337.4</v>
      </c>
      <c r="P858" s="2">
        <f t="shared" si="81"/>
        <v>1.4819044272663386</v>
      </c>
      <c r="Q858" s="3">
        <f t="shared" si="82"/>
        <v>0.13496147006520451</v>
      </c>
    </row>
    <row r="859" spans="1:17" hidden="1" x14ac:dyDescent="0.25">
      <c r="A859" t="s">
        <v>924</v>
      </c>
      <c r="B859" t="s">
        <v>23</v>
      </c>
      <c r="C859" t="s">
        <v>21</v>
      </c>
      <c r="D859" t="str">
        <f t="shared" si="78"/>
        <v>TX</v>
      </c>
      <c r="E859" t="str">
        <f t="shared" si="79"/>
        <v>Southwest</v>
      </c>
      <c r="F859" t="s">
        <v>59</v>
      </c>
      <c r="G859" s="1">
        <v>45080</v>
      </c>
      <c r="H859" s="1">
        <v>45085</v>
      </c>
      <c r="I859" s="1">
        <f t="shared" si="83"/>
        <v>45085</v>
      </c>
      <c r="J859" s="2">
        <v>11.6</v>
      </c>
      <c r="K859" s="2">
        <v>214.12</v>
      </c>
      <c r="L859" t="s">
        <v>15</v>
      </c>
      <c r="M859" s="2">
        <v>1624</v>
      </c>
      <c r="N859" s="2">
        <v>5</v>
      </c>
      <c r="O859" s="2">
        <f t="shared" si="80"/>
        <v>324.8</v>
      </c>
      <c r="P859" s="2">
        <f t="shared" si="81"/>
        <v>1.5169064076218943</v>
      </c>
      <c r="Q859" s="3">
        <f t="shared" si="82"/>
        <v>0.1318472906403941</v>
      </c>
    </row>
    <row r="860" spans="1:17" x14ac:dyDescent="0.25">
      <c r="A860" t="s">
        <v>925</v>
      </c>
      <c r="B860" t="s">
        <v>30</v>
      </c>
      <c r="C860" t="s">
        <v>13</v>
      </c>
      <c r="D860" t="str">
        <f t="shared" si="78"/>
        <v>CA</v>
      </c>
      <c r="E860" t="str">
        <f t="shared" si="79"/>
        <v>West</v>
      </c>
      <c r="F860" t="s">
        <v>37</v>
      </c>
      <c r="G860" s="1">
        <v>45137</v>
      </c>
      <c r="H860" s="1">
        <v>45139</v>
      </c>
      <c r="I860" s="1">
        <f t="shared" si="83"/>
        <v>45139</v>
      </c>
      <c r="J860" s="2">
        <v>27.3</v>
      </c>
      <c r="K860" s="2">
        <v>70.849999999999994</v>
      </c>
      <c r="L860" t="s">
        <v>15</v>
      </c>
      <c r="M860" s="2">
        <v>337</v>
      </c>
      <c r="N860" s="2">
        <v>2</v>
      </c>
      <c r="O860" s="2">
        <f t="shared" si="80"/>
        <v>168.5</v>
      </c>
      <c r="P860" s="2">
        <f t="shared" si="81"/>
        <v>2.3782639378969654</v>
      </c>
      <c r="Q860" s="3">
        <f t="shared" si="82"/>
        <v>0.21023738872403558</v>
      </c>
    </row>
    <row r="861" spans="1:17" x14ac:dyDescent="0.25">
      <c r="A861" t="s">
        <v>926</v>
      </c>
      <c r="B861" t="s">
        <v>27</v>
      </c>
      <c r="C861" t="s">
        <v>36</v>
      </c>
      <c r="D861" t="str">
        <f t="shared" si="78"/>
        <v>OR</v>
      </c>
      <c r="E861" t="str">
        <f t="shared" si="79"/>
        <v>West</v>
      </c>
      <c r="F861" t="s">
        <v>37</v>
      </c>
      <c r="G861" s="1">
        <v>45019</v>
      </c>
      <c r="H861" s="1">
        <v>45024</v>
      </c>
      <c r="I861" s="1">
        <f t="shared" si="83"/>
        <v>45024</v>
      </c>
      <c r="J861" s="2">
        <v>11.9</v>
      </c>
      <c r="K861" s="2">
        <v>260.02</v>
      </c>
      <c r="L861" t="s">
        <v>15</v>
      </c>
      <c r="M861" s="2">
        <v>2131</v>
      </c>
      <c r="N861" s="2">
        <v>5</v>
      </c>
      <c r="O861" s="2">
        <f t="shared" si="80"/>
        <v>426.2</v>
      </c>
      <c r="P861" s="2">
        <f t="shared" si="81"/>
        <v>1.6391046842550574</v>
      </c>
      <c r="Q861" s="3">
        <f t="shared" si="82"/>
        <v>0.1220178320037541</v>
      </c>
    </row>
    <row r="862" spans="1:17" x14ac:dyDescent="0.25">
      <c r="A862" t="s">
        <v>927</v>
      </c>
      <c r="B862" t="s">
        <v>30</v>
      </c>
      <c r="C862" t="s">
        <v>70</v>
      </c>
      <c r="D862" t="str">
        <f t="shared" si="78"/>
        <v>CA</v>
      </c>
      <c r="E862" t="str">
        <f t="shared" si="79"/>
        <v>West</v>
      </c>
      <c r="F862" t="s">
        <v>25</v>
      </c>
      <c r="G862" s="1">
        <v>45203</v>
      </c>
      <c r="H862" s="1">
        <v>45208</v>
      </c>
      <c r="I862" s="1">
        <f t="shared" si="83"/>
        <v>45208</v>
      </c>
      <c r="J862" s="2">
        <v>125.8</v>
      </c>
      <c r="K862" s="2">
        <v>154.81</v>
      </c>
      <c r="L862" t="s">
        <v>15</v>
      </c>
      <c r="M862" s="2">
        <v>144</v>
      </c>
      <c r="N862" s="2">
        <v>5</v>
      </c>
      <c r="O862" s="2">
        <f t="shared" si="80"/>
        <v>28.8</v>
      </c>
      <c r="P862" s="2">
        <f t="shared" si="81"/>
        <v>0.18603449389574317</v>
      </c>
      <c r="Q862" s="3">
        <f t="shared" si="82"/>
        <v>1.0750694444444444</v>
      </c>
    </row>
    <row r="863" spans="1:17" hidden="1" x14ac:dyDescent="0.25">
      <c r="A863" t="s">
        <v>928</v>
      </c>
      <c r="B863" t="s">
        <v>39</v>
      </c>
      <c r="C863" t="s">
        <v>52</v>
      </c>
      <c r="D863" t="str">
        <f t="shared" si="78"/>
        <v>AZ</v>
      </c>
      <c r="E863" t="str">
        <f t="shared" si="79"/>
        <v>Southwest</v>
      </c>
      <c r="F863" t="s">
        <v>42</v>
      </c>
      <c r="G863" s="1">
        <v>45002</v>
      </c>
      <c r="H863" s="1">
        <v>45006</v>
      </c>
      <c r="I863" s="1">
        <f t="shared" si="83"/>
        <v>45006</v>
      </c>
      <c r="J863" s="2">
        <v>24.7</v>
      </c>
      <c r="K863" s="2">
        <v>73.47</v>
      </c>
      <c r="L863" t="s">
        <v>15</v>
      </c>
      <c r="M863" s="2">
        <v>371</v>
      </c>
      <c r="N863" s="2">
        <v>4</v>
      </c>
      <c r="O863" s="2">
        <f t="shared" si="80"/>
        <v>92.75</v>
      </c>
      <c r="P863" s="2">
        <f t="shared" si="81"/>
        <v>1.2624200353885939</v>
      </c>
      <c r="Q863" s="3">
        <f t="shared" si="82"/>
        <v>0.19803234501347708</v>
      </c>
    </row>
    <row r="864" spans="1:17" hidden="1" x14ac:dyDescent="0.25">
      <c r="A864" t="s">
        <v>929</v>
      </c>
      <c r="B864" t="s">
        <v>56</v>
      </c>
      <c r="C864" t="s">
        <v>57</v>
      </c>
      <c r="D864" t="str">
        <f t="shared" si="78"/>
        <v>MN</v>
      </c>
      <c r="E864" t="str">
        <f t="shared" si="79"/>
        <v>Midwest</v>
      </c>
      <c r="F864" t="s">
        <v>59</v>
      </c>
      <c r="G864" s="1">
        <v>45133</v>
      </c>
      <c r="H864" s="1">
        <v>45138</v>
      </c>
      <c r="I864" s="1">
        <f t="shared" si="83"/>
        <v>45138</v>
      </c>
      <c r="J864" s="2">
        <v>22.8</v>
      </c>
      <c r="K864" s="2">
        <v>287.85000000000002</v>
      </c>
      <c r="L864" t="s">
        <v>15</v>
      </c>
      <c r="M864" s="2">
        <v>2393</v>
      </c>
      <c r="N864" s="2">
        <v>5</v>
      </c>
      <c r="O864" s="2">
        <f t="shared" si="80"/>
        <v>478.6</v>
      </c>
      <c r="P864" s="2">
        <f t="shared" si="81"/>
        <v>1.6626715303109258</v>
      </c>
      <c r="Q864" s="3">
        <f t="shared" si="82"/>
        <v>0.12028834099456749</v>
      </c>
    </row>
    <row r="865" spans="1:17" hidden="1" x14ac:dyDescent="0.25">
      <c r="A865" t="s">
        <v>930</v>
      </c>
      <c r="B865" t="s">
        <v>27</v>
      </c>
      <c r="C865" t="s">
        <v>46</v>
      </c>
      <c r="D865" t="str">
        <f t="shared" si="78"/>
        <v>MA</v>
      </c>
      <c r="E865" t="str">
        <f t="shared" si="79"/>
        <v>Northeast</v>
      </c>
      <c r="F865" t="s">
        <v>18</v>
      </c>
      <c r="G865" s="1">
        <v>45054</v>
      </c>
      <c r="H865" s="1">
        <v>45059</v>
      </c>
      <c r="I865" s="1">
        <f t="shared" si="83"/>
        <v>45059</v>
      </c>
      <c r="J865" s="2">
        <v>18.100000000000001</v>
      </c>
      <c r="K865" s="2">
        <v>236.64</v>
      </c>
      <c r="L865" t="s">
        <v>15</v>
      </c>
      <c r="M865" s="2">
        <v>1504</v>
      </c>
      <c r="N865" s="2">
        <v>5</v>
      </c>
      <c r="O865" s="2">
        <f t="shared" si="80"/>
        <v>300.8</v>
      </c>
      <c r="P865" s="2">
        <f t="shared" si="81"/>
        <v>1.2711291413116972</v>
      </c>
      <c r="Q865" s="3">
        <f t="shared" si="82"/>
        <v>0.15734042553191488</v>
      </c>
    </row>
    <row r="866" spans="1:17" hidden="1" x14ac:dyDescent="0.25">
      <c r="A866" t="s">
        <v>931</v>
      </c>
      <c r="B866" t="s">
        <v>56</v>
      </c>
      <c r="C866" t="s">
        <v>44</v>
      </c>
      <c r="D866" t="str">
        <f t="shared" si="78"/>
        <v>IL</v>
      </c>
      <c r="E866" t="str">
        <f t="shared" si="79"/>
        <v>Midwest</v>
      </c>
      <c r="F866" t="s">
        <v>37</v>
      </c>
      <c r="G866" s="1">
        <v>45222</v>
      </c>
      <c r="H866" s="1">
        <v>45229</v>
      </c>
      <c r="I866" s="1">
        <f t="shared" si="83"/>
        <v>45229</v>
      </c>
      <c r="J866" s="2">
        <v>8.6999999999999993</v>
      </c>
      <c r="K866" s="2">
        <v>296.81</v>
      </c>
      <c r="L866" t="s">
        <v>15</v>
      </c>
      <c r="M866" s="2">
        <v>2333</v>
      </c>
      <c r="N866" s="2">
        <v>7</v>
      </c>
      <c r="O866" s="2">
        <f t="shared" si="80"/>
        <v>333.28571428571428</v>
      </c>
      <c r="P866" s="2">
        <f t="shared" si="81"/>
        <v>1.1228924708928751</v>
      </c>
      <c r="Q866" s="3">
        <f t="shared" si="82"/>
        <v>0.12722246035147877</v>
      </c>
    </row>
    <row r="867" spans="1:17" hidden="1" x14ac:dyDescent="0.25">
      <c r="A867" t="s">
        <v>932</v>
      </c>
      <c r="B867" t="s">
        <v>49</v>
      </c>
      <c r="C867" t="s">
        <v>28</v>
      </c>
      <c r="D867" t="str">
        <f t="shared" si="78"/>
        <v>TX</v>
      </c>
      <c r="E867" t="str">
        <f t="shared" si="79"/>
        <v>Southwest</v>
      </c>
      <c r="F867" t="s">
        <v>32</v>
      </c>
      <c r="G867" s="1">
        <v>45225</v>
      </c>
      <c r="H867" s="1">
        <v>45226</v>
      </c>
      <c r="I867" s="1">
        <f t="shared" si="83"/>
        <v>45226</v>
      </c>
      <c r="J867" s="2">
        <v>27.5</v>
      </c>
      <c r="K867" s="2">
        <v>68.709999999999994</v>
      </c>
      <c r="L867" t="s">
        <v>15</v>
      </c>
      <c r="M867" s="2">
        <v>303</v>
      </c>
      <c r="N867" s="2">
        <v>1</v>
      </c>
      <c r="O867" s="2">
        <f t="shared" si="80"/>
        <v>303</v>
      </c>
      <c r="P867" s="2">
        <f t="shared" si="81"/>
        <v>4.4098384514626696</v>
      </c>
      <c r="Q867" s="3">
        <f t="shared" si="82"/>
        <v>0.22676567656765675</v>
      </c>
    </row>
    <row r="868" spans="1:17" x14ac:dyDescent="0.25">
      <c r="A868" t="s">
        <v>933</v>
      </c>
      <c r="B868" t="s">
        <v>39</v>
      </c>
      <c r="C868" t="s">
        <v>24</v>
      </c>
      <c r="D868" t="str">
        <f t="shared" si="78"/>
        <v>WA</v>
      </c>
      <c r="E868" t="str">
        <f t="shared" si="79"/>
        <v>West</v>
      </c>
      <c r="F868" t="s">
        <v>42</v>
      </c>
      <c r="G868" s="1">
        <v>45270</v>
      </c>
      <c r="H868" s="1">
        <v>45275</v>
      </c>
      <c r="I868" s="1">
        <f t="shared" si="83"/>
        <v>45275</v>
      </c>
      <c r="J868" s="2">
        <v>10.5</v>
      </c>
      <c r="K868" s="2">
        <v>308.36</v>
      </c>
      <c r="L868" t="s">
        <v>62</v>
      </c>
      <c r="M868" s="2">
        <v>2147</v>
      </c>
      <c r="N868" s="2">
        <v>5</v>
      </c>
      <c r="O868" s="2">
        <f t="shared" si="80"/>
        <v>429.4</v>
      </c>
      <c r="P868" s="2">
        <f t="shared" si="81"/>
        <v>1.3925282137761057</v>
      </c>
      <c r="Q868" s="3">
        <f t="shared" si="82"/>
        <v>0.14362366092221707</v>
      </c>
    </row>
    <row r="869" spans="1:17" hidden="1" x14ac:dyDescent="0.25">
      <c r="A869" t="s">
        <v>934</v>
      </c>
      <c r="B869" t="s">
        <v>56</v>
      </c>
      <c r="C869" t="s">
        <v>31</v>
      </c>
      <c r="D869" t="str">
        <f t="shared" si="78"/>
        <v>NY</v>
      </c>
      <c r="E869" t="str">
        <f t="shared" si="79"/>
        <v>Northeast</v>
      </c>
      <c r="F869" t="s">
        <v>59</v>
      </c>
      <c r="G869" s="1">
        <v>45285</v>
      </c>
      <c r="H869" s="1">
        <v>45297</v>
      </c>
      <c r="I869" s="1">
        <f t="shared" si="83"/>
        <v>45297</v>
      </c>
      <c r="J869" s="2">
        <v>24.8</v>
      </c>
      <c r="K869" s="2">
        <v>54.1</v>
      </c>
      <c r="L869" t="s">
        <v>47</v>
      </c>
      <c r="M869" s="2">
        <v>118</v>
      </c>
      <c r="N869" s="2">
        <v>1</v>
      </c>
      <c r="O869" s="2">
        <f t="shared" si="80"/>
        <v>118</v>
      </c>
      <c r="P869" s="2">
        <f t="shared" si="81"/>
        <v>2.1811460258780038</v>
      </c>
      <c r="Q869" s="3">
        <f t="shared" si="82"/>
        <v>0.45847457627118643</v>
      </c>
    </row>
    <row r="870" spans="1:17" hidden="1" x14ac:dyDescent="0.25">
      <c r="A870" t="s">
        <v>935</v>
      </c>
      <c r="B870" t="s">
        <v>30</v>
      </c>
      <c r="C870" t="s">
        <v>46</v>
      </c>
      <c r="D870" t="str">
        <f t="shared" si="78"/>
        <v>MA</v>
      </c>
      <c r="E870" t="str">
        <f t="shared" si="79"/>
        <v>Northeast</v>
      </c>
      <c r="F870" t="s">
        <v>37</v>
      </c>
      <c r="G870" s="1">
        <v>45247</v>
      </c>
      <c r="H870" s="1">
        <v>45253</v>
      </c>
      <c r="I870" s="1">
        <f t="shared" si="83"/>
        <v>45253</v>
      </c>
      <c r="J870" s="2">
        <v>42.3</v>
      </c>
      <c r="K870" s="2">
        <v>378.62</v>
      </c>
      <c r="L870" t="s">
        <v>15</v>
      </c>
      <c r="M870" s="2">
        <v>2282</v>
      </c>
      <c r="N870" s="2">
        <v>6</v>
      </c>
      <c r="O870" s="2">
        <f t="shared" si="80"/>
        <v>380.33333333333331</v>
      </c>
      <c r="P870" s="2">
        <f t="shared" si="81"/>
        <v>1.0045252055711091</v>
      </c>
      <c r="Q870" s="3">
        <f t="shared" si="82"/>
        <v>0.16591586327782648</v>
      </c>
    </row>
    <row r="871" spans="1:17" hidden="1" x14ac:dyDescent="0.25">
      <c r="A871" t="s">
        <v>936</v>
      </c>
      <c r="B871" t="s">
        <v>35</v>
      </c>
      <c r="C871" t="s">
        <v>17</v>
      </c>
      <c r="D871" t="str">
        <f t="shared" si="78"/>
        <v>GA</v>
      </c>
      <c r="E871" t="str">
        <f t="shared" si="79"/>
        <v>Southeast</v>
      </c>
      <c r="F871" t="s">
        <v>59</v>
      </c>
      <c r="G871" s="1">
        <v>44982</v>
      </c>
      <c r="H871" s="1">
        <v>44989</v>
      </c>
      <c r="I871" s="1">
        <f t="shared" si="83"/>
        <v>44989</v>
      </c>
      <c r="J871" s="2">
        <v>13.5</v>
      </c>
      <c r="K871" s="2">
        <v>246</v>
      </c>
      <c r="L871" t="s">
        <v>15</v>
      </c>
      <c r="M871" s="2">
        <v>2106</v>
      </c>
      <c r="N871" s="2">
        <v>7</v>
      </c>
      <c r="O871" s="2">
        <f t="shared" si="80"/>
        <v>300.85714285714283</v>
      </c>
      <c r="P871" s="2">
        <f t="shared" si="81"/>
        <v>1.2229965156794425</v>
      </c>
      <c r="Q871" s="3">
        <f t="shared" si="82"/>
        <v>0.11680911680911681</v>
      </c>
    </row>
    <row r="872" spans="1:17" hidden="1" x14ac:dyDescent="0.25">
      <c r="A872" t="s">
        <v>937</v>
      </c>
      <c r="B872" t="s">
        <v>20</v>
      </c>
      <c r="C872" t="s">
        <v>52</v>
      </c>
      <c r="D872" t="str">
        <f t="shared" si="78"/>
        <v>AZ</v>
      </c>
      <c r="E872" t="str">
        <f t="shared" si="79"/>
        <v>Southwest</v>
      </c>
      <c r="F872" t="s">
        <v>25</v>
      </c>
      <c r="G872" s="1">
        <v>45076</v>
      </c>
      <c r="H872" s="1">
        <v>45079</v>
      </c>
      <c r="I872" s="1">
        <f t="shared" si="83"/>
        <v>45079</v>
      </c>
      <c r="J872" s="2">
        <v>9.4</v>
      </c>
      <c r="K872" s="2">
        <v>61.04</v>
      </c>
      <c r="L872" t="s">
        <v>15</v>
      </c>
      <c r="M872" s="2">
        <v>373</v>
      </c>
      <c r="N872" s="2">
        <v>3</v>
      </c>
      <c r="O872" s="2">
        <f t="shared" si="80"/>
        <v>124.33333333333333</v>
      </c>
      <c r="P872" s="2">
        <f t="shared" si="81"/>
        <v>2.0369156837046747</v>
      </c>
      <c r="Q872" s="3">
        <f t="shared" si="82"/>
        <v>0.16364611260053619</v>
      </c>
    </row>
    <row r="873" spans="1:17" x14ac:dyDescent="0.25">
      <c r="A873" t="s">
        <v>938</v>
      </c>
      <c r="B873" t="s">
        <v>56</v>
      </c>
      <c r="C873" t="s">
        <v>13</v>
      </c>
      <c r="D873" t="str">
        <f t="shared" si="78"/>
        <v>CA</v>
      </c>
      <c r="E873" t="str">
        <f t="shared" si="79"/>
        <v>West</v>
      </c>
      <c r="F873" t="s">
        <v>25</v>
      </c>
      <c r="G873" s="1">
        <v>45063</v>
      </c>
      <c r="H873" s="1">
        <v>45067</v>
      </c>
      <c r="I873" s="1">
        <f t="shared" si="83"/>
        <v>45067</v>
      </c>
      <c r="J873" s="2">
        <v>20.6</v>
      </c>
      <c r="K873" s="2">
        <v>219.02</v>
      </c>
      <c r="L873" t="s">
        <v>15</v>
      </c>
      <c r="M873" s="2">
        <v>1611</v>
      </c>
      <c r="N873" s="2">
        <v>4</v>
      </c>
      <c r="O873" s="2">
        <f t="shared" si="80"/>
        <v>402.75</v>
      </c>
      <c r="P873" s="2">
        <f t="shared" si="81"/>
        <v>1.8388731622682859</v>
      </c>
      <c r="Q873" s="3">
        <f t="shared" si="82"/>
        <v>0.13595282433271261</v>
      </c>
    </row>
    <row r="874" spans="1:17" hidden="1" x14ac:dyDescent="0.25">
      <c r="A874" t="s">
        <v>939</v>
      </c>
      <c r="B874" t="s">
        <v>51</v>
      </c>
      <c r="C874" t="s">
        <v>17</v>
      </c>
      <c r="D874" t="str">
        <f t="shared" si="78"/>
        <v>GA</v>
      </c>
      <c r="E874" t="str">
        <f t="shared" si="79"/>
        <v>Southeast</v>
      </c>
      <c r="F874" t="s">
        <v>42</v>
      </c>
      <c r="G874" s="1">
        <v>45214</v>
      </c>
      <c r="H874" s="1">
        <v>45218</v>
      </c>
      <c r="I874" s="1">
        <f t="shared" si="83"/>
        <v>45218</v>
      </c>
      <c r="J874" s="2">
        <v>75.7</v>
      </c>
      <c r="K874" s="2">
        <v>211.3</v>
      </c>
      <c r="L874" t="s">
        <v>15</v>
      </c>
      <c r="M874" s="2">
        <v>870</v>
      </c>
      <c r="N874" s="2">
        <v>4</v>
      </c>
      <c r="O874" s="2">
        <f t="shared" si="80"/>
        <v>217.5</v>
      </c>
      <c r="P874" s="2">
        <f t="shared" si="81"/>
        <v>1.0293421675343113</v>
      </c>
      <c r="Q874" s="3">
        <f t="shared" si="82"/>
        <v>0.24287356321839082</v>
      </c>
    </row>
    <row r="875" spans="1:17" hidden="1" x14ac:dyDescent="0.25">
      <c r="A875" t="s">
        <v>940</v>
      </c>
      <c r="B875" t="s">
        <v>27</v>
      </c>
      <c r="C875" t="s">
        <v>31</v>
      </c>
      <c r="D875" t="str">
        <f t="shared" si="78"/>
        <v>NY</v>
      </c>
      <c r="E875" t="str">
        <f t="shared" si="79"/>
        <v>Northeast</v>
      </c>
      <c r="F875" t="s">
        <v>42</v>
      </c>
      <c r="G875" s="1">
        <v>45260</v>
      </c>
      <c r="H875" s="1">
        <v>45261</v>
      </c>
      <c r="I875" s="1">
        <f t="shared" si="83"/>
        <v>45261</v>
      </c>
      <c r="J875" s="2">
        <v>11.3</v>
      </c>
      <c r="K875" s="2">
        <v>29.98</v>
      </c>
      <c r="L875" t="s">
        <v>15</v>
      </c>
      <c r="M875" s="2">
        <v>104</v>
      </c>
      <c r="N875" s="2">
        <v>1</v>
      </c>
      <c r="O875" s="2">
        <f t="shared" si="80"/>
        <v>104</v>
      </c>
      <c r="P875" s="2">
        <f t="shared" si="81"/>
        <v>3.4689793195463641</v>
      </c>
      <c r="Q875" s="3">
        <f t="shared" si="82"/>
        <v>0.28826923076923078</v>
      </c>
    </row>
    <row r="876" spans="1:17" hidden="1" x14ac:dyDescent="0.25">
      <c r="A876" t="s">
        <v>941</v>
      </c>
      <c r="B876" t="s">
        <v>27</v>
      </c>
      <c r="C876" t="s">
        <v>28</v>
      </c>
      <c r="D876" t="str">
        <f t="shared" si="78"/>
        <v>TX</v>
      </c>
      <c r="E876" t="str">
        <f t="shared" si="79"/>
        <v>Southwest</v>
      </c>
      <c r="F876" t="s">
        <v>25</v>
      </c>
      <c r="G876" s="1">
        <v>45247</v>
      </c>
      <c r="H876" s="1">
        <v>45250</v>
      </c>
      <c r="I876" s="1">
        <f t="shared" si="83"/>
        <v>45250</v>
      </c>
      <c r="J876" s="2">
        <v>10.5</v>
      </c>
      <c r="K876" s="2">
        <v>154.75</v>
      </c>
      <c r="L876" t="s">
        <v>15</v>
      </c>
      <c r="M876" s="2">
        <v>917</v>
      </c>
      <c r="N876" s="2">
        <v>3</v>
      </c>
      <c r="O876" s="2">
        <f t="shared" si="80"/>
        <v>305.66666666666669</v>
      </c>
      <c r="P876" s="2">
        <f t="shared" si="81"/>
        <v>1.9752288637587507</v>
      </c>
      <c r="Q876" s="3">
        <f t="shared" si="82"/>
        <v>0.16875681570338058</v>
      </c>
    </row>
    <row r="877" spans="1:17" hidden="1" x14ac:dyDescent="0.25">
      <c r="A877" t="s">
        <v>942</v>
      </c>
      <c r="B877" t="s">
        <v>20</v>
      </c>
      <c r="C877" t="s">
        <v>21</v>
      </c>
      <c r="D877" t="str">
        <f t="shared" si="78"/>
        <v>TX</v>
      </c>
      <c r="E877" t="str">
        <f t="shared" si="79"/>
        <v>Southwest</v>
      </c>
      <c r="F877" t="s">
        <v>59</v>
      </c>
      <c r="G877" s="1">
        <v>45233</v>
      </c>
      <c r="H877" s="1">
        <v>45236</v>
      </c>
      <c r="I877" s="1">
        <f t="shared" si="83"/>
        <v>45236</v>
      </c>
      <c r="J877" s="2">
        <v>21</v>
      </c>
      <c r="K877" s="2">
        <v>186.14</v>
      </c>
      <c r="L877" t="s">
        <v>15</v>
      </c>
      <c r="M877" s="2">
        <v>1090</v>
      </c>
      <c r="N877" s="2">
        <v>3</v>
      </c>
      <c r="O877" s="2">
        <f t="shared" si="80"/>
        <v>363.33333333333331</v>
      </c>
      <c r="P877" s="2">
        <f t="shared" si="81"/>
        <v>1.9519358189176605</v>
      </c>
      <c r="Q877" s="3">
        <f t="shared" si="82"/>
        <v>0.17077064220183485</v>
      </c>
    </row>
    <row r="878" spans="1:17" x14ac:dyDescent="0.25">
      <c r="A878" t="s">
        <v>943</v>
      </c>
      <c r="B878" t="s">
        <v>35</v>
      </c>
      <c r="C878" t="s">
        <v>81</v>
      </c>
      <c r="D878" t="str">
        <f t="shared" si="78"/>
        <v>CO</v>
      </c>
      <c r="E878" t="str">
        <f t="shared" si="79"/>
        <v>West</v>
      </c>
      <c r="F878" t="s">
        <v>14</v>
      </c>
      <c r="G878" s="1">
        <v>45284</v>
      </c>
      <c r="H878" s="1">
        <v>45286</v>
      </c>
      <c r="I878" s="1">
        <f t="shared" si="83"/>
        <v>45286</v>
      </c>
      <c r="J878" s="2">
        <v>28.7</v>
      </c>
      <c r="K878" s="2">
        <v>188.12</v>
      </c>
      <c r="L878" t="s">
        <v>15</v>
      </c>
      <c r="M878" s="2">
        <v>1000</v>
      </c>
      <c r="N878" s="2">
        <v>2</v>
      </c>
      <c r="O878" s="2">
        <f t="shared" si="80"/>
        <v>500</v>
      </c>
      <c r="P878" s="2">
        <f t="shared" si="81"/>
        <v>2.6578779502445249</v>
      </c>
      <c r="Q878" s="3">
        <f t="shared" si="82"/>
        <v>0.18812000000000001</v>
      </c>
    </row>
    <row r="879" spans="1:17" x14ac:dyDescent="0.25">
      <c r="A879" t="s">
        <v>944</v>
      </c>
      <c r="B879" t="s">
        <v>12</v>
      </c>
      <c r="C879" t="s">
        <v>36</v>
      </c>
      <c r="D879" t="str">
        <f t="shared" si="78"/>
        <v>OR</v>
      </c>
      <c r="E879" t="str">
        <f t="shared" si="79"/>
        <v>West</v>
      </c>
      <c r="F879" t="s">
        <v>42</v>
      </c>
      <c r="G879" s="1">
        <v>45083</v>
      </c>
      <c r="H879" s="1">
        <v>45085</v>
      </c>
      <c r="I879" s="1">
        <f t="shared" si="83"/>
        <v>45085</v>
      </c>
      <c r="J879" s="2">
        <v>14.1</v>
      </c>
      <c r="K879" s="2">
        <v>42.48</v>
      </c>
      <c r="L879" t="s">
        <v>15</v>
      </c>
      <c r="M879" s="2">
        <v>181</v>
      </c>
      <c r="N879" s="2">
        <v>2</v>
      </c>
      <c r="O879" s="2">
        <f t="shared" si="80"/>
        <v>90.5</v>
      </c>
      <c r="P879" s="2">
        <f t="shared" si="81"/>
        <v>2.1304143126177024</v>
      </c>
      <c r="Q879" s="3">
        <f t="shared" si="82"/>
        <v>0.23469613259668506</v>
      </c>
    </row>
    <row r="880" spans="1:17" hidden="1" x14ac:dyDescent="0.25">
      <c r="A880" t="s">
        <v>945</v>
      </c>
      <c r="B880" t="s">
        <v>39</v>
      </c>
      <c r="C880" t="s">
        <v>52</v>
      </c>
      <c r="D880" t="str">
        <f t="shared" ref="D880:D943" si="84">IF(C880="Atlanta","GA",
IF(C880="Boston","MA",
IF(C880="Chicago","IL",
IF(C880="Dallas","TX",
IF(C880="Denver","CO",
IF(C880="Detroit","MI",
IF(C880="Houston","TX",
IF(C880="Los Angeles","CA",
IF(C880="Miami","FL",
IF(C880="Minneapolis","MN",
IF(C880="New York","NY",
IF(C880="Phoenix","AZ",
IF(C880="Portland","OR",
IF(C880="San Francisco","CA",
IF(C880="Seattle","WA","Unknown")))))))))))))))</f>
        <v>AZ</v>
      </c>
      <c r="E880" t="str">
        <f t="shared" ref="E880:E943" si="85">IF(OR(D880="NY",D880="NJ",D880="PA",D880="MA",D880="CT",D880="RI",D880="VT",D880="NH",D880="ME"),"Northeast",
IF(OR(D880="FL",D880="GA",D880="AL",D880="MS",D880="SC",D880="NC",D880="TN",D880="KY"),"Southeast",
IF(OR(D880="IL",D880="IN",D880="OH",D880="MI",D880="WI",D880="MN",D880="IA",D880="MO",D880="KS",D880="NE",D880="ND",D880="SD"),"Midwest",
IF(OR(D880="TX",D880="OK",D880="NM",D880="AZ"),"Southwest",
IF(OR(D880="CA",D880="OR",D880="WA",D880="NV",D880="CO",D880="UT",D880="ID",D880="MT",D880="WY",D880="AK",D880="HI"),"West","Other")))))</f>
        <v>Southwest</v>
      </c>
      <c r="F880" t="s">
        <v>14</v>
      </c>
      <c r="G880" s="1">
        <v>45005</v>
      </c>
      <c r="H880" s="1">
        <v>45012</v>
      </c>
      <c r="I880" s="1">
        <f t="shared" si="83"/>
        <v>45012</v>
      </c>
      <c r="J880" s="2">
        <v>35.700000000000003</v>
      </c>
      <c r="K880" s="2">
        <v>341.41</v>
      </c>
      <c r="L880" t="s">
        <v>15</v>
      </c>
      <c r="M880" s="2">
        <v>2300</v>
      </c>
      <c r="N880" s="2">
        <v>7</v>
      </c>
      <c r="O880" s="2">
        <f t="shared" ref="O880:O943" si="86">M880/N880</f>
        <v>328.57142857142856</v>
      </c>
      <c r="P880" s="2">
        <f t="shared" ref="P880:P943" si="87">O880/K880</f>
        <v>0.96239544410365407</v>
      </c>
      <c r="Q880" s="3">
        <f t="shared" ref="Q880:Q943" si="88">K880/M880</f>
        <v>0.14843913043478263</v>
      </c>
    </row>
    <row r="881" spans="1:17" x14ac:dyDescent="0.25">
      <c r="A881" t="s">
        <v>946</v>
      </c>
      <c r="B881" t="s">
        <v>27</v>
      </c>
      <c r="C881" t="s">
        <v>81</v>
      </c>
      <c r="D881" t="str">
        <f t="shared" si="84"/>
        <v>CO</v>
      </c>
      <c r="E881" t="str">
        <f t="shared" si="85"/>
        <v>West</v>
      </c>
      <c r="F881" t="s">
        <v>25</v>
      </c>
      <c r="G881" s="1">
        <v>45180</v>
      </c>
      <c r="H881" s="1">
        <v>45185</v>
      </c>
      <c r="I881" s="1">
        <f t="shared" si="83"/>
        <v>45185</v>
      </c>
      <c r="J881" s="2">
        <v>40.5</v>
      </c>
      <c r="K881" s="2">
        <v>175.32</v>
      </c>
      <c r="L881" t="s">
        <v>15</v>
      </c>
      <c r="M881" s="2">
        <v>1176</v>
      </c>
      <c r="N881" s="2">
        <v>5</v>
      </c>
      <c r="O881" s="2">
        <f t="shared" si="86"/>
        <v>235.2</v>
      </c>
      <c r="P881" s="2">
        <f t="shared" si="87"/>
        <v>1.3415468856947297</v>
      </c>
      <c r="Q881" s="3">
        <f t="shared" si="88"/>
        <v>0.14908163265306121</v>
      </c>
    </row>
    <row r="882" spans="1:17" x14ac:dyDescent="0.25">
      <c r="A882" t="s">
        <v>947</v>
      </c>
      <c r="B882" t="s">
        <v>39</v>
      </c>
      <c r="C882" t="s">
        <v>70</v>
      </c>
      <c r="D882" t="str">
        <f t="shared" si="84"/>
        <v>CA</v>
      </c>
      <c r="E882" t="str">
        <f t="shared" si="85"/>
        <v>West</v>
      </c>
      <c r="F882" t="s">
        <v>14</v>
      </c>
      <c r="G882" s="1">
        <v>45006</v>
      </c>
      <c r="H882" s="1">
        <v>45021</v>
      </c>
      <c r="I882" s="1">
        <f t="shared" si="83"/>
        <v>45021</v>
      </c>
      <c r="J882" s="2">
        <v>18.2</v>
      </c>
      <c r="K882" s="2">
        <v>150.78</v>
      </c>
      <c r="L882" t="s">
        <v>47</v>
      </c>
      <c r="M882" s="2">
        <v>915</v>
      </c>
      <c r="N882" s="2">
        <v>3</v>
      </c>
      <c r="O882" s="2">
        <f t="shared" si="86"/>
        <v>305</v>
      </c>
      <c r="P882" s="2">
        <f t="shared" si="87"/>
        <v>2.0228146969094043</v>
      </c>
      <c r="Q882" s="3">
        <f t="shared" si="88"/>
        <v>0.16478688524590165</v>
      </c>
    </row>
    <row r="883" spans="1:17" x14ac:dyDescent="0.25">
      <c r="A883" t="s">
        <v>948</v>
      </c>
      <c r="B883" t="s">
        <v>20</v>
      </c>
      <c r="C883" t="s">
        <v>70</v>
      </c>
      <c r="D883" t="str">
        <f t="shared" si="84"/>
        <v>CA</v>
      </c>
      <c r="E883" t="str">
        <f t="shared" si="85"/>
        <v>West</v>
      </c>
      <c r="F883" t="s">
        <v>18</v>
      </c>
      <c r="G883" s="1">
        <v>45238</v>
      </c>
      <c r="H883" s="1">
        <v>45253</v>
      </c>
      <c r="I883" s="1">
        <f t="shared" si="83"/>
        <v>45253</v>
      </c>
      <c r="J883" s="2">
        <v>11.9</v>
      </c>
      <c r="K883" s="2">
        <v>103</v>
      </c>
      <c r="L883" t="s">
        <v>47</v>
      </c>
      <c r="M883" s="2">
        <v>495</v>
      </c>
      <c r="N883" s="2">
        <v>6</v>
      </c>
      <c r="O883" s="2">
        <f t="shared" si="86"/>
        <v>82.5</v>
      </c>
      <c r="P883" s="2">
        <f t="shared" si="87"/>
        <v>0.80097087378640774</v>
      </c>
      <c r="Q883" s="3">
        <f t="shared" si="88"/>
        <v>0.20808080808080809</v>
      </c>
    </row>
    <row r="884" spans="1:17" hidden="1" x14ac:dyDescent="0.25">
      <c r="A884" t="s">
        <v>949</v>
      </c>
      <c r="B884" t="s">
        <v>12</v>
      </c>
      <c r="C884" t="s">
        <v>57</v>
      </c>
      <c r="D884" t="str">
        <f t="shared" si="84"/>
        <v>MN</v>
      </c>
      <c r="E884" t="str">
        <f t="shared" si="85"/>
        <v>Midwest</v>
      </c>
      <c r="F884" t="s">
        <v>18</v>
      </c>
      <c r="G884" s="1">
        <v>45245</v>
      </c>
      <c r="H884" s="1">
        <v>45247</v>
      </c>
      <c r="I884" s="1">
        <f t="shared" si="83"/>
        <v>45247</v>
      </c>
      <c r="J884" s="2">
        <v>24.4</v>
      </c>
      <c r="K884" s="2">
        <v>146.91</v>
      </c>
      <c r="L884" t="s">
        <v>15</v>
      </c>
      <c r="M884" s="2">
        <v>605</v>
      </c>
      <c r="N884" s="2">
        <v>2</v>
      </c>
      <c r="O884" s="2">
        <f t="shared" si="86"/>
        <v>302.5</v>
      </c>
      <c r="P884" s="2">
        <f t="shared" si="87"/>
        <v>2.0590837927983121</v>
      </c>
      <c r="Q884" s="3">
        <f t="shared" si="88"/>
        <v>0.24282644628099173</v>
      </c>
    </row>
    <row r="885" spans="1:17" hidden="1" x14ac:dyDescent="0.25">
      <c r="A885" t="s">
        <v>950</v>
      </c>
      <c r="B885" t="s">
        <v>20</v>
      </c>
      <c r="C885" t="s">
        <v>28</v>
      </c>
      <c r="D885" t="str">
        <f t="shared" si="84"/>
        <v>TX</v>
      </c>
      <c r="E885" t="str">
        <f t="shared" si="85"/>
        <v>Southwest</v>
      </c>
      <c r="F885" t="s">
        <v>18</v>
      </c>
      <c r="G885" s="1">
        <v>45255</v>
      </c>
      <c r="H885" s="1">
        <v>45258</v>
      </c>
      <c r="I885" s="1">
        <f t="shared" si="83"/>
        <v>45258</v>
      </c>
      <c r="J885" s="2">
        <v>18</v>
      </c>
      <c r="K885" s="2">
        <v>271.66000000000003</v>
      </c>
      <c r="L885" t="s">
        <v>15</v>
      </c>
      <c r="M885" s="2">
        <v>1435</v>
      </c>
      <c r="N885" s="2">
        <v>3</v>
      </c>
      <c r="O885" s="2">
        <f t="shared" si="86"/>
        <v>478.33333333333331</v>
      </c>
      <c r="P885" s="2">
        <f t="shared" si="87"/>
        <v>1.7607794056295858</v>
      </c>
      <c r="Q885" s="3">
        <f t="shared" si="88"/>
        <v>0.18931010452961675</v>
      </c>
    </row>
    <row r="886" spans="1:17" x14ac:dyDescent="0.25">
      <c r="A886" t="s">
        <v>951</v>
      </c>
      <c r="B886" t="s">
        <v>12</v>
      </c>
      <c r="C886" t="s">
        <v>70</v>
      </c>
      <c r="D886" t="str">
        <f t="shared" si="84"/>
        <v>CA</v>
      </c>
      <c r="E886" t="str">
        <f t="shared" si="85"/>
        <v>West</v>
      </c>
      <c r="F886" t="s">
        <v>37</v>
      </c>
      <c r="G886" s="1">
        <v>45189</v>
      </c>
      <c r="H886" s="1">
        <v>45194</v>
      </c>
      <c r="I886" s="1">
        <f t="shared" si="83"/>
        <v>45194</v>
      </c>
      <c r="J886" s="2">
        <v>11.8</v>
      </c>
      <c r="K886" s="2">
        <v>268.58999999999997</v>
      </c>
      <c r="L886" t="s">
        <v>15</v>
      </c>
      <c r="M886" s="2">
        <v>1973</v>
      </c>
      <c r="N886" s="2">
        <v>5</v>
      </c>
      <c r="O886" s="2">
        <f t="shared" si="86"/>
        <v>394.6</v>
      </c>
      <c r="P886" s="2">
        <f t="shared" si="87"/>
        <v>1.4691537287315242</v>
      </c>
      <c r="Q886" s="3">
        <f t="shared" si="88"/>
        <v>0.13613279270146983</v>
      </c>
    </row>
    <row r="887" spans="1:17" hidden="1" x14ac:dyDescent="0.25">
      <c r="A887" t="s">
        <v>952</v>
      </c>
      <c r="B887" t="s">
        <v>35</v>
      </c>
      <c r="C887" t="s">
        <v>57</v>
      </c>
      <c r="D887" t="str">
        <f t="shared" si="84"/>
        <v>MN</v>
      </c>
      <c r="E887" t="str">
        <f t="shared" si="85"/>
        <v>Midwest</v>
      </c>
      <c r="F887" t="s">
        <v>42</v>
      </c>
      <c r="G887" s="1">
        <v>45019</v>
      </c>
      <c r="H887" s="1">
        <v>45022</v>
      </c>
      <c r="I887" s="1">
        <f t="shared" si="83"/>
        <v>45022</v>
      </c>
      <c r="J887" s="2">
        <v>30.9</v>
      </c>
      <c r="K887" s="2">
        <v>46.94</v>
      </c>
      <c r="L887" t="s">
        <v>15</v>
      </c>
      <c r="M887" s="2">
        <v>106</v>
      </c>
      <c r="N887" s="2">
        <v>3</v>
      </c>
      <c r="O887" s="2">
        <f t="shared" si="86"/>
        <v>35.333333333333336</v>
      </c>
      <c r="P887" s="2">
        <f t="shared" si="87"/>
        <v>0.75273398664962377</v>
      </c>
      <c r="Q887" s="3">
        <f t="shared" si="88"/>
        <v>0.44283018867924528</v>
      </c>
    </row>
    <row r="888" spans="1:17" hidden="1" x14ac:dyDescent="0.25">
      <c r="A888" t="s">
        <v>953</v>
      </c>
      <c r="B888" t="s">
        <v>39</v>
      </c>
      <c r="C888" t="s">
        <v>54</v>
      </c>
      <c r="D888" t="str">
        <f t="shared" si="84"/>
        <v>FL</v>
      </c>
      <c r="E888" t="str">
        <f t="shared" si="85"/>
        <v>Southeast</v>
      </c>
      <c r="F888" t="s">
        <v>25</v>
      </c>
      <c r="G888" s="1">
        <v>45222</v>
      </c>
      <c r="H888" s="1">
        <v>45225</v>
      </c>
      <c r="I888" s="1">
        <f t="shared" si="83"/>
        <v>45225</v>
      </c>
      <c r="J888" s="2">
        <v>59.4</v>
      </c>
      <c r="K888" s="2">
        <v>192.19</v>
      </c>
      <c r="L888" t="s">
        <v>15</v>
      </c>
      <c r="M888" s="2">
        <v>1118</v>
      </c>
      <c r="N888" s="2">
        <v>3</v>
      </c>
      <c r="O888" s="2">
        <f t="shared" si="86"/>
        <v>372.66666666666669</v>
      </c>
      <c r="P888" s="2">
        <f t="shared" si="87"/>
        <v>1.9390533673274712</v>
      </c>
      <c r="Q888" s="3">
        <f t="shared" si="88"/>
        <v>0.17190518783542039</v>
      </c>
    </row>
    <row r="889" spans="1:17" x14ac:dyDescent="0.25">
      <c r="A889" t="s">
        <v>954</v>
      </c>
      <c r="B889" t="s">
        <v>27</v>
      </c>
      <c r="C889" t="s">
        <v>13</v>
      </c>
      <c r="D889" t="str">
        <f t="shared" si="84"/>
        <v>CA</v>
      </c>
      <c r="E889" t="str">
        <f t="shared" si="85"/>
        <v>West</v>
      </c>
      <c r="F889" t="s">
        <v>37</v>
      </c>
      <c r="G889" s="1">
        <v>45258</v>
      </c>
      <c r="H889" s="1">
        <v>45263</v>
      </c>
      <c r="I889" s="1">
        <f t="shared" si="83"/>
        <v>45263</v>
      </c>
      <c r="J889" s="2">
        <v>40.299999999999997</v>
      </c>
      <c r="K889" s="2">
        <v>208.84</v>
      </c>
      <c r="L889" t="s">
        <v>15</v>
      </c>
      <c r="M889" s="2">
        <v>1034</v>
      </c>
      <c r="N889" s="2">
        <v>5</v>
      </c>
      <c r="O889" s="2">
        <f t="shared" si="86"/>
        <v>206.8</v>
      </c>
      <c r="P889" s="2">
        <f t="shared" si="87"/>
        <v>0.9902317563685118</v>
      </c>
      <c r="Q889" s="3">
        <f t="shared" si="88"/>
        <v>0.20197292069632494</v>
      </c>
    </row>
    <row r="890" spans="1:17" x14ac:dyDescent="0.25">
      <c r="A890" t="s">
        <v>955</v>
      </c>
      <c r="B890" t="s">
        <v>35</v>
      </c>
      <c r="C890" t="s">
        <v>24</v>
      </c>
      <c r="D890" t="str">
        <f t="shared" si="84"/>
        <v>WA</v>
      </c>
      <c r="E890" t="str">
        <f t="shared" si="85"/>
        <v>West</v>
      </c>
      <c r="F890" t="s">
        <v>32</v>
      </c>
      <c r="G890" s="1">
        <v>45244</v>
      </c>
      <c r="H890" s="1">
        <v>45249</v>
      </c>
      <c r="I890" s="1">
        <f t="shared" si="83"/>
        <v>45249</v>
      </c>
      <c r="J890" s="2">
        <v>14</v>
      </c>
      <c r="K890" s="2">
        <v>337</v>
      </c>
      <c r="L890" t="s">
        <v>15</v>
      </c>
      <c r="M890" s="2">
        <v>1878</v>
      </c>
      <c r="N890" s="2">
        <v>5</v>
      </c>
      <c r="O890" s="2">
        <f t="shared" si="86"/>
        <v>375.6</v>
      </c>
      <c r="P890" s="2">
        <f t="shared" si="87"/>
        <v>1.114540059347181</v>
      </c>
      <c r="Q890" s="3">
        <f t="shared" si="88"/>
        <v>0.17944621938232161</v>
      </c>
    </row>
    <row r="891" spans="1:17" x14ac:dyDescent="0.25">
      <c r="A891" t="s">
        <v>956</v>
      </c>
      <c r="B891" t="s">
        <v>27</v>
      </c>
      <c r="C891" t="s">
        <v>24</v>
      </c>
      <c r="D891" t="str">
        <f t="shared" si="84"/>
        <v>WA</v>
      </c>
      <c r="E891" t="str">
        <f t="shared" si="85"/>
        <v>West</v>
      </c>
      <c r="F891" t="s">
        <v>18</v>
      </c>
      <c r="G891" s="1">
        <v>45031</v>
      </c>
      <c r="H891" s="1">
        <v>45035</v>
      </c>
      <c r="I891" s="1">
        <f t="shared" si="83"/>
        <v>45035</v>
      </c>
      <c r="J891" s="2">
        <v>33.700000000000003</v>
      </c>
      <c r="K891" s="2">
        <v>302.22000000000003</v>
      </c>
      <c r="L891" t="s">
        <v>15</v>
      </c>
      <c r="M891" s="2">
        <v>1819</v>
      </c>
      <c r="N891" s="2">
        <v>4</v>
      </c>
      <c r="O891" s="2">
        <f t="shared" si="86"/>
        <v>454.75</v>
      </c>
      <c r="P891" s="2">
        <f t="shared" si="87"/>
        <v>1.504698563960029</v>
      </c>
      <c r="Q891" s="3">
        <f t="shared" si="88"/>
        <v>0.16614623419461244</v>
      </c>
    </row>
    <row r="892" spans="1:17" hidden="1" x14ac:dyDescent="0.25">
      <c r="A892" t="s">
        <v>957</v>
      </c>
      <c r="B892" t="s">
        <v>27</v>
      </c>
      <c r="C892" t="s">
        <v>28</v>
      </c>
      <c r="D892" t="str">
        <f t="shared" si="84"/>
        <v>TX</v>
      </c>
      <c r="E892" t="str">
        <f t="shared" si="85"/>
        <v>Southwest</v>
      </c>
      <c r="F892" t="s">
        <v>42</v>
      </c>
      <c r="G892" s="1">
        <v>44930</v>
      </c>
      <c r="H892" s="1">
        <v>44938</v>
      </c>
      <c r="I892" s="1">
        <f t="shared" si="83"/>
        <v>44938</v>
      </c>
      <c r="J892" s="2">
        <v>32</v>
      </c>
      <c r="K892" s="2">
        <v>327.10000000000002</v>
      </c>
      <c r="L892" t="s">
        <v>15</v>
      </c>
      <c r="M892" s="2">
        <v>2355</v>
      </c>
      <c r="N892" s="2">
        <v>8</v>
      </c>
      <c r="O892" s="2">
        <f t="shared" si="86"/>
        <v>294.375</v>
      </c>
      <c r="P892" s="2">
        <f t="shared" si="87"/>
        <v>0.89995414246407823</v>
      </c>
      <c r="Q892" s="3">
        <f t="shared" si="88"/>
        <v>0.13889596602972401</v>
      </c>
    </row>
    <row r="893" spans="1:17" hidden="1" x14ac:dyDescent="0.25">
      <c r="A893" t="s">
        <v>958</v>
      </c>
      <c r="B893" t="s">
        <v>27</v>
      </c>
      <c r="C893" t="s">
        <v>46</v>
      </c>
      <c r="D893" t="str">
        <f t="shared" si="84"/>
        <v>MA</v>
      </c>
      <c r="E893" t="str">
        <f t="shared" si="85"/>
        <v>Northeast</v>
      </c>
      <c r="F893" t="s">
        <v>37</v>
      </c>
      <c r="G893" s="1">
        <v>44969</v>
      </c>
      <c r="H893" s="1">
        <v>44974</v>
      </c>
      <c r="I893" s="1">
        <f t="shared" si="83"/>
        <v>44974</v>
      </c>
      <c r="J893" s="2">
        <v>15.9</v>
      </c>
      <c r="K893" s="2">
        <v>308.5</v>
      </c>
      <c r="L893" t="s">
        <v>15</v>
      </c>
      <c r="M893" s="2">
        <v>2282</v>
      </c>
      <c r="N893" s="2">
        <v>5</v>
      </c>
      <c r="O893" s="2">
        <f t="shared" si="86"/>
        <v>456.4</v>
      </c>
      <c r="P893" s="2">
        <f t="shared" si="87"/>
        <v>1.479416531604538</v>
      </c>
      <c r="Q893" s="3">
        <f t="shared" si="88"/>
        <v>0.13518843120070115</v>
      </c>
    </row>
    <row r="894" spans="1:17" hidden="1" x14ac:dyDescent="0.25">
      <c r="A894" t="s">
        <v>959</v>
      </c>
      <c r="B894" t="s">
        <v>23</v>
      </c>
      <c r="C894" t="s">
        <v>31</v>
      </c>
      <c r="D894" t="str">
        <f t="shared" si="84"/>
        <v>NY</v>
      </c>
      <c r="E894" t="str">
        <f t="shared" si="85"/>
        <v>Northeast</v>
      </c>
      <c r="F894" t="s">
        <v>42</v>
      </c>
      <c r="G894" s="1">
        <v>45219</v>
      </c>
      <c r="H894" s="1">
        <v>45221</v>
      </c>
      <c r="I894" s="1">
        <f t="shared" si="83"/>
        <v>45221</v>
      </c>
      <c r="J894" s="2">
        <v>31.6</v>
      </c>
      <c r="K894" s="2">
        <v>74.81</v>
      </c>
      <c r="L894" t="s">
        <v>15</v>
      </c>
      <c r="M894" s="2">
        <v>308</v>
      </c>
      <c r="N894" s="2">
        <v>2</v>
      </c>
      <c r="O894" s="2">
        <f t="shared" si="86"/>
        <v>154</v>
      </c>
      <c r="P894" s="2">
        <f t="shared" si="87"/>
        <v>2.0585483224167893</v>
      </c>
      <c r="Q894" s="3">
        <f t="shared" si="88"/>
        <v>0.24288961038961041</v>
      </c>
    </row>
    <row r="895" spans="1:17" x14ac:dyDescent="0.25">
      <c r="A895" t="s">
        <v>960</v>
      </c>
      <c r="B895" t="s">
        <v>27</v>
      </c>
      <c r="C895" t="s">
        <v>36</v>
      </c>
      <c r="D895" t="str">
        <f t="shared" si="84"/>
        <v>OR</v>
      </c>
      <c r="E895" t="str">
        <f t="shared" si="85"/>
        <v>West</v>
      </c>
      <c r="F895" t="s">
        <v>37</v>
      </c>
      <c r="G895" s="1">
        <v>45208</v>
      </c>
      <c r="H895" s="1">
        <v>45212</v>
      </c>
      <c r="I895" s="1">
        <f t="shared" si="83"/>
        <v>45212</v>
      </c>
      <c r="J895" s="2">
        <v>16.5</v>
      </c>
      <c r="K895" s="2">
        <v>169.6</v>
      </c>
      <c r="L895" t="s">
        <v>60</v>
      </c>
      <c r="M895" s="2">
        <v>1221</v>
      </c>
      <c r="N895" s="2">
        <v>4</v>
      </c>
      <c r="O895" s="2">
        <f t="shared" si="86"/>
        <v>305.25</v>
      </c>
      <c r="P895" s="2">
        <f t="shared" si="87"/>
        <v>1.7998231132075473</v>
      </c>
      <c r="Q895" s="3">
        <f t="shared" si="88"/>
        <v>0.1389025389025389</v>
      </c>
    </row>
    <row r="896" spans="1:17" x14ac:dyDescent="0.25">
      <c r="A896" t="s">
        <v>961</v>
      </c>
      <c r="B896" t="s">
        <v>23</v>
      </c>
      <c r="C896" t="s">
        <v>70</v>
      </c>
      <c r="D896" t="str">
        <f t="shared" si="84"/>
        <v>CA</v>
      </c>
      <c r="E896" t="str">
        <f t="shared" si="85"/>
        <v>West</v>
      </c>
      <c r="F896" t="s">
        <v>14</v>
      </c>
      <c r="G896" s="1">
        <v>45214</v>
      </c>
      <c r="H896" s="1">
        <v>45228</v>
      </c>
      <c r="I896" s="1">
        <f t="shared" si="83"/>
        <v>45228</v>
      </c>
      <c r="J896" s="2">
        <v>24.6</v>
      </c>
      <c r="K896" s="2">
        <v>150.37</v>
      </c>
      <c r="L896" t="s">
        <v>47</v>
      </c>
      <c r="M896" s="2">
        <v>852</v>
      </c>
      <c r="N896" s="2">
        <v>4</v>
      </c>
      <c r="O896" s="2">
        <f t="shared" si="86"/>
        <v>213</v>
      </c>
      <c r="P896" s="2">
        <f t="shared" si="87"/>
        <v>1.4165059519851033</v>
      </c>
      <c r="Q896" s="3">
        <f t="shared" si="88"/>
        <v>0.1764906103286385</v>
      </c>
    </row>
    <row r="897" spans="1:17" hidden="1" x14ac:dyDescent="0.25">
      <c r="A897" t="s">
        <v>962</v>
      </c>
      <c r="B897" t="s">
        <v>30</v>
      </c>
      <c r="C897" t="s">
        <v>21</v>
      </c>
      <c r="D897" t="str">
        <f t="shared" si="84"/>
        <v>TX</v>
      </c>
      <c r="E897" t="str">
        <f t="shared" si="85"/>
        <v>Southwest</v>
      </c>
      <c r="F897" t="s">
        <v>25</v>
      </c>
      <c r="G897" s="1">
        <v>45243</v>
      </c>
      <c r="H897" s="1">
        <v>45246</v>
      </c>
      <c r="I897" s="1">
        <f t="shared" si="83"/>
        <v>45246</v>
      </c>
      <c r="J897" s="2">
        <v>22.5</v>
      </c>
      <c r="K897" s="2">
        <v>172.21</v>
      </c>
      <c r="L897" t="s">
        <v>15</v>
      </c>
      <c r="M897" s="2">
        <v>945</v>
      </c>
      <c r="N897" s="2">
        <v>3</v>
      </c>
      <c r="O897" s="2">
        <f t="shared" si="86"/>
        <v>315</v>
      </c>
      <c r="P897" s="2">
        <f t="shared" si="87"/>
        <v>1.8291620695662272</v>
      </c>
      <c r="Q897" s="3">
        <f t="shared" si="88"/>
        <v>0.18223280423280425</v>
      </c>
    </row>
    <row r="898" spans="1:17" hidden="1" x14ac:dyDescent="0.25">
      <c r="A898" t="s">
        <v>963</v>
      </c>
      <c r="B898" t="s">
        <v>23</v>
      </c>
      <c r="C898" t="s">
        <v>52</v>
      </c>
      <c r="D898" t="str">
        <f t="shared" si="84"/>
        <v>AZ</v>
      </c>
      <c r="E898" t="str">
        <f t="shared" si="85"/>
        <v>Southwest</v>
      </c>
      <c r="F898" t="s">
        <v>14</v>
      </c>
      <c r="G898" s="1">
        <v>45131</v>
      </c>
      <c r="H898" s="1">
        <v>45137</v>
      </c>
      <c r="I898" s="1">
        <f t="shared" ref="I898:I961" si="89">IF(H898="", G898 + N898, H898)</f>
        <v>45137</v>
      </c>
      <c r="J898" s="2">
        <v>14</v>
      </c>
      <c r="K898" s="2">
        <v>295.74</v>
      </c>
      <c r="L898" t="s">
        <v>15</v>
      </c>
      <c r="M898" s="2">
        <v>2256</v>
      </c>
      <c r="N898" s="2">
        <v>6</v>
      </c>
      <c r="O898" s="2">
        <f t="shared" si="86"/>
        <v>376</v>
      </c>
      <c r="P898" s="2">
        <f t="shared" si="87"/>
        <v>1.2713870291472238</v>
      </c>
      <c r="Q898" s="3">
        <f t="shared" si="88"/>
        <v>0.13109042553191491</v>
      </c>
    </row>
    <row r="899" spans="1:17" hidden="1" x14ac:dyDescent="0.25">
      <c r="A899" t="s">
        <v>964</v>
      </c>
      <c r="B899" t="s">
        <v>51</v>
      </c>
      <c r="C899" t="s">
        <v>57</v>
      </c>
      <c r="D899" t="str">
        <f t="shared" si="84"/>
        <v>MN</v>
      </c>
      <c r="E899" t="str">
        <f t="shared" si="85"/>
        <v>Midwest</v>
      </c>
      <c r="F899" t="s">
        <v>32</v>
      </c>
      <c r="G899" s="1">
        <v>45227</v>
      </c>
      <c r="H899" s="1">
        <v>45228</v>
      </c>
      <c r="I899" s="1">
        <f t="shared" si="89"/>
        <v>45228</v>
      </c>
      <c r="J899" s="2">
        <v>8.1</v>
      </c>
      <c r="K899" s="2">
        <v>81.180000000000007</v>
      </c>
      <c r="L899" t="s">
        <v>15</v>
      </c>
      <c r="M899" s="2">
        <v>481</v>
      </c>
      <c r="N899" s="2">
        <v>1</v>
      </c>
      <c r="O899" s="2">
        <f t="shared" si="86"/>
        <v>481</v>
      </c>
      <c r="P899" s="2">
        <f t="shared" si="87"/>
        <v>5.9251047055925099</v>
      </c>
      <c r="Q899" s="3">
        <f t="shared" si="88"/>
        <v>0.16877338877338879</v>
      </c>
    </row>
    <row r="900" spans="1:17" x14ac:dyDescent="0.25">
      <c r="A900" t="s">
        <v>965</v>
      </c>
      <c r="B900" t="s">
        <v>23</v>
      </c>
      <c r="C900" t="s">
        <v>36</v>
      </c>
      <c r="D900" t="str">
        <f t="shared" si="84"/>
        <v>OR</v>
      </c>
      <c r="E900" t="str">
        <f t="shared" si="85"/>
        <v>West</v>
      </c>
      <c r="F900" t="s">
        <v>37</v>
      </c>
      <c r="G900" s="1">
        <v>45066</v>
      </c>
      <c r="H900" s="1">
        <v>45070</v>
      </c>
      <c r="I900" s="1">
        <f t="shared" si="89"/>
        <v>45070</v>
      </c>
      <c r="J900" s="2">
        <v>20</v>
      </c>
      <c r="K900" s="2">
        <v>254.01</v>
      </c>
      <c r="L900" t="s">
        <v>15</v>
      </c>
      <c r="M900" s="2">
        <v>1767</v>
      </c>
      <c r="N900" s="2">
        <v>4</v>
      </c>
      <c r="O900" s="2">
        <f t="shared" si="86"/>
        <v>441.75</v>
      </c>
      <c r="P900" s="2">
        <f t="shared" si="87"/>
        <v>1.7391047596551317</v>
      </c>
      <c r="Q900" s="3">
        <f t="shared" si="88"/>
        <v>0.14375212224108658</v>
      </c>
    </row>
    <row r="901" spans="1:17" hidden="1" x14ac:dyDescent="0.25">
      <c r="A901" t="s">
        <v>966</v>
      </c>
      <c r="B901" t="s">
        <v>12</v>
      </c>
      <c r="C901" t="s">
        <v>52</v>
      </c>
      <c r="D901" t="str">
        <f t="shared" si="84"/>
        <v>AZ</v>
      </c>
      <c r="E901" t="str">
        <f t="shared" si="85"/>
        <v>Southwest</v>
      </c>
      <c r="F901" t="s">
        <v>32</v>
      </c>
      <c r="G901" s="1">
        <v>45077</v>
      </c>
      <c r="H901" s="1">
        <v>45084</v>
      </c>
      <c r="I901" s="1">
        <f t="shared" si="89"/>
        <v>45084</v>
      </c>
      <c r="J901" s="2">
        <v>35.9</v>
      </c>
      <c r="K901" s="2">
        <v>140.38</v>
      </c>
      <c r="L901" t="s">
        <v>15</v>
      </c>
      <c r="M901" s="2">
        <v>788</v>
      </c>
      <c r="N901" s="2">
        <v>7</v>
      </c>
      <c r="O901" s="2">
        <f t="shared" si="86"/>
        <v>112.57142857142857</v>
      </c>
      <c r="P901" s="2">
        <f t="shared" si="87"/>
        <v>0.80190503327702356</v>
      </c>
      <c r="Q901" s="3">
        <f t="shared" si="88"/>
        <v>0.17814720812182741</v>
      </c>
    </row>
    <row r="902" spans="1:17" hidden="1" x14ac:dyDescent="0.25">
      <c r="A902" t="s">
        <v>967</v>
      </c>
      <c r="B902" t="s">
        <v>39</v>
      </c>
      <c r="C902" t="s">
        <v>57</v>
      </c>
      <c r="D902" t="str">
        <f t="shared" si="84"/>
        <v>MN</v>
      </c>
      <c r="E902" t="str">
        <f t="shared" si="85"/>
        <v>Midwest</v>
      </c>
      <c r="F902" t="s">
        <v>18</v>
      </c>
      <c r="G902" s="1">
        <v>45147</v>
      </c>
      <c r="H902" s="1">
        <v>45150</v>
      </c>
      <c r="I902" s="1">
        <f t="shared" si="89"/>
        <v>45150</v>
      </c>
      <c r="J902" s="2">
        <v>22.5</v>
      </c>
      <c r="K902" s="2">
        <v>171.17</v>
      </c>
      <c r="L902" t="s">
        <v>15</v>
      </c>
      <c r="M902" s="2">
        <v>1017</v>
      </c>
      <c r="N902" s="2">
        <v>3</v>
      </c>
      <c r="O902" s="2">
        <f t="shared" si="86"/>
        <v>339</v>
      </c>
      <c r="P902" s="2">
        <f t="shared" si="87"/>
        <v>1.9804872349126601</v>
      </c>
      <c r="Q902" s="3">
        <f t="shared" si="88"/>
        <v>0.16830875122910519</v>
      </c>
    </row>
    <row r="903" spans="1:17" x14ac:dyDescent="0.25">
      <c r="A903" t="s">
        <v>968</v>
      </c>
      <c r="B903" t="s">
        <v>56</v>
      </c>
      <c r="C903" t="s">
        <v>24</v>
      </c>
      <c r="D903" t="str">
        <f t="shared" si="84"/>
        <v>WA</v>
      </c>
      <c r="E903" t="str">
        <f t="shared" si="85"/>
        <v>West</v>
      </c>
      <c r="F903" t="s">
        <v>14</v>
      </c>
      <c r="G903" s="1">
        <v>44934</v>
      </c>
      <c r="H903" s="1">
        <v>44938</v>
      </c>
      <c r="I903" s="1">
        <f t="shared" si="89"/>
        <v>44938</v>
      </c>
      <c r="J903" s="2">
        <v>17.600000000000001</v>
      </c>
      <c r="K903" s="2">
        <v>242.22</v>
      </c>
      <c r="L903" t="s">
        <v>15</v>
      </c>
      <c r="M903" s="2">
        <v>1577</v>
      </c>
      <c r="N903" s="2">
        <v>4</v>
      </c>
      <c r="O903" s="2">
        <f t="shared" si="86"/>
        <v>394.25</v>
      </c>
      <c r="P903" s="2">
        <f t="shared" si="87"/>
        <v>1.6276525472710759</v>
      </c>
      <c r="Q903" s="3">
        <f t="shared" si="88"/>
        <v>0.15359543436905518</v>
      </c>
    </row>
    <row r="904" spans="1:17" hidden="1" x14ac:dyDescent="0.25">
      <c r="A904" t="s">
        <v>969</v>
      </c>
      <c r="B904" t="s">
        <v>30</v>
      </c>
      <c r="C904" t="s">
        <v>40</v>
      </c>
      <c r="D904" t="str">
        <f t="shared" si="84"/>
        <v>MI</v>
      </c>
      <c r="E904" t="str">
        <f t="shared" si="85"/>
        <v>Midwest</v>
      </c>
      <c r="F904" t="s">
        <v>18</v>
      </c>
      <c r="G904" s="1">
        <v>45003</v>
      </c>
      <c r="H904" s="1">
        <v>45005</v>
      </c>
      <c r="I904" s="1">
        <f t="shared" si="89"/>
        <v>45005</v>
      </c>
      <c r="J904" s="2">
        <v>12.9</v>
      </c>
      <c r="K904" s="2">
        <v>74.16</v>
      </c>
      <c r="L904" t="s">
        <v>62</v>
      </c>
      <c r="M904" s="2">
        <v>419</v>
      </c>
      <c r="N904" s="2">
        <v>2</v>
      </c>
      <c r="O904" s="2">
        <f t="shared" si="86"/>
        <v>209.5</v>
      </c>
      <c r="P904" s="2">
        <f t="shared" si="87"/>
        <v>2.8249730312837111</v>
      </c>
      <c r="Q904" s="3">
        <f t="shared" si="88"/>
        <v>0.1769928400954654</v>
      </c>
    </row>
    <row r="905" spans="1:17" hidden="1" x14ac:dyDescent="0.25">
      <c r="A905" t="s">
        <v>970</v>
      </c>
      <c r="B905" t="s">
        <v>39</v>
      </c>
      <c r="C905" t="s">
        <v>40</v>
      </c>
      <c r="D905" t="str">
        <f t="shared" si="84"/>
        <v>MI</v>
      </c>
      <c r="E905" t="str">
        <f t="shared" si="85"/>
        <v>Midwest</v>
      </c>
      <c r="F905" t="s">
        <v>14</v>
      </c>
      <c r="G905" s="1">
        <v>45155</v>
      </c>
      <c r="H905" s="1">
        <v>45161</v>
      </c>
      <c r="I905" s="1">
        <f t="shared" si="89"/>
        <v>45161</v>
      </c>
      <c r="J905" s="2">
        <v>12.8</v>
      </c>
      <c r="K905" s="2">
        <v>6229.12</v>
      </c>
      <c r="L905" t="s">
        <v>15</v>
      </c>
      <c r="M905" s="2">
        <v>2490</v>
      </c>
      <c r="N905" s="2">
        <v>6</v>
      </c>
      <c r="O905" s="2">
        <f t="shared" si="86"/>
        <v>415</v>
      </c>
      <c r="P905" s="2">
        <f t="shared" si="87"/>
        <v>6.662257269084558E-2</v>
      </c>
      <c r="Q905" s="3">
        <f t="shared" si="88"/>
        <v>2.5016546184738955</v>
      </c>
    </row>
    <row r="906" spans="1:17" hidden="1" x14ac:dyDescent="0.25">
      <c r="A906" t="s">
        <v>971</v>
      </c>
      <c r="B906" t="s">
        <v>12</v>
      </c>
      <c r="C906" t="s">
        <v>52</v>
      </c>
      <c r="D906" t="str">
        <f t="shared" si="84"/>
        <v>AZ</v>
      </c>
      <c r="E906" t="str">
        <f t="shared" si="85"/>
        <v>Southwest</v>
      </c>
      <c r="F906" t="s">
        <v>25</v>
      </c>
      <c r="G906" s="1">
        <v>44951</v>
      </c>
      <c r="H906" s="1">
        <v>44952</v>
      </c>
      <c r="I906" s="1">
        <f t="shared" si="89"/>
        <v>44952</v>
      </c>
      <c r="J906" s="2">
        <v>71.099999999999994</v>
      </c>
      <c r="K906" s="2">
        <v>114.32</v>
      </c>
      <c r="L906" t="s">
        <v>15</v>
      </c>
      <c r="M906" s="2">
        <v>167</v>
      </c>
      <c r="N906" s="2">
        <v>1</v>
      </c>
      <c r="O906" s="2">
        <f t="shared" si="86"/>
        <v>167</v>
      </c>
      <c r="P906" s="2">
        <f t="shared" si="87"/>
        <v>1.4608117564730583</v>
      </c>
      <c r="Q906" s="3">
        <f t="shared" si="88"/>
        <v>0.68455089820359283</v>
      </c>
    </row>
    <row r="907" spans="1:17" hidden="1" x14ac:dyDescent="0.25">
      <c r="A907" t="s">
        <v>972</v>
      </c>
      <c r="B907" t="s">
        <v>23</v>
      </c>
      <c r="C907" t="s">
        <v>21</v>
      </c>
      <c r="D907" t="str">
        <f t="shared" si="84"/>
        <v>TX</v>
      </c>
      <c r="E907" t="str">
        <f t="shared" si="85"/>
        <v>Southwest</v>
      </c>
      <c r="F907" t="s">
        <v>32</v>
      </c>
      <c r="G907" s="1">
        <v>45161</v>
      </c>
      <c r="H907" s="1">
        <v>45167</v>
      </c>
      <c r="I907" s="1">
        <f t="shared" si="89"/>
        <v>45167</v>
      </c>
      <c r="J907" s="2">
        <v>13.6</v>
      </c>
      <c r="K907" s="2">
        <v>326.70999999999998</v>
      </c>
      <c r="L907" t="s">
        <v>15</v>
      </c>
      <c r="M907" s="2">
        <v>2328</v>
      </c>
      <c r="N907" s="2">
        <v>6</v>
      </c>
      <c r="O907" s="2">
        <f t="shared" si="86"/>
        <v>388</v>
      </c>
      <c r="P907" s="2">
        <f t="shared" si="87"/>
        <v>1.1875975635885037</v>
      </c>
      <c r="Q907" s="3">
        <f t="shared" si="88"/>
        <v>0.14033934707903778</v>
      </c>
    </row>
    <row r="908" spans="1:17" hidden="1" x14ac:dyDescent="0.25">
      <c r="A908" t="s">
        <v>973</v>
      </c>
      <c r="B908" t="s">
        <v>30</v>
      </c>
      <c r="C908" t="s">
        <v>31</v>
      </c>
      <c r="D908" t="str">
        <f t="shared" si="84"/>
        <v>NY</v>
      </c>
      <c r="E908" t="str">
        <f t="shared" si="85"/>
        <v>Northeast</v>
      </c>
      <c r="F908" t="s">
        <v>25</v>
      </c>
      <c r="G908" s="1">
        <v>45045</v>
      </c>
      <c r="H908" s="1">
        <v>45048</v>
      </c>
      <c r="I908" s="1">
        <f t="shared" si="89"/>
        <v>45048</v>
      </c>
      <c r="J908" s="2">
        <v>24.2</v>
      </c>
      <c r="K908" s="2">
        <v>107.33</v>
      </c>
      <c r="L908" t="s">
        <v>15</v>
      </c>
      <c r="M908" s="2">
        <v>669</v>
      </c>
      <c r="N908" s="2">
        <v>3</v>
      </c>
      <c r="O908" s="2">
        <f t="shared" si="86"/>
        <v>223</v>
      </c>
      <c r="P908" s="2">
        <f t="shared" si="87"/>
        <v>2.0777042765303269</v>
      </c>
      <c r="Q908" s="3">
        <f t="shared" si="88"/>
        <v>0.16043348281016442</v>
      </c>
    </row>
    <row r="909" spans="1:17" x14ac:dyDescent="0.25">
      <c r="A909" t="s">
        <v>974</v>
      </c>
      <c r="B909" t="s">
        <v>27</v>
      </c>
      <c r="C909" t="s">
        <v>81</v>
      </c>
      <c r="D909" t="str">
        <f t="shared" si="84"/>
        <v>CO</v>
      </c>
      <c r="E909" t="str">
        <f t="shared" si="85"/>
        <v>West</v>
      </c>
      <c r="F909" t="s">
        <v>25</v>
      </c>
      <c r="G909" s="1">
        <v>45291</v>
      </c>
      <c r="H909" s="1">
        <v>45293</v>
      </c>
      <c r="I909" s="1">
        <f t="shared" si="89"/>
        <v>45293</v>
      </c>
      <c r="J909" s="2">
        <v>39.700000000000003</v>
      </c>
      <c r="K909" s="2">
        <v>130.72999999999999</v>
      </c>
      <c r="L909" t="s">
        <v>15</v>
      </c>
      <c r="M909" s="2">
        <v>468</v>
      </c>
      <c r="N909" s="2">
        <v>2</v>
      </c>
      <c r="O909" s="2">
        <f t="shared" si="86"/>
        <v>234</v>
      </c>
      <c r="P909" s="2">
        <f t="shared" si="87"/>
        <v>1.7899487493306816</v>
      </c>
      <c r="Q909" s="3">
        <f t="shared" si="88"/>
        <v>0.27933760683760683</v>
      </c>
    </row>
    <row r="910" spans="1:17" x14ac:dyDescent="0.25">
      <c r="A910" t="s">
        <v>975</v>
      </c>
      <c r="B910" t="s">
        <v>56</v>
      </c>
      <c r="C910" t="s">
        <v>13</v>
      </c>
      <c r="D910" t="str">
        <f t="shared" si="84"/>
        <v>CA</v>
      </c>
      <c r="E910" t="str">
        <f t="shared" si="85"/>
        <v>West</v>
      </c>
      <c r="F910" t="s">
        <v>37</v>
      </c>
      <c r="G910" s="1">
        <v>44991</v>
      </c>
      <c r="H910" s="1">
        <v>44994</v>
      </c>
      <c r="I910" s="1">
        <f t="shared" si="89"/>
        <v>44994</v>
      </c>
      <c r="J910" s="2">
        <v>9.4</v>
      </c>
      <c r="K910" s="2">
        <v>84.83</v>
      </c>
      <c r="L910" t="s">
        <v>15</v>
      </c>
      <c r="M910" s="2">
        <v>563</v>
      </c>
      <c r="N910" s="2">
        <v>3</v>
      </c>
      <c r="O910" s="2">
        <f t="shared" si="86"/>
        <v>187.66666666666666</v>
      </c>
      <c r="P910" s="2">
        <f t="shared" si="87"/>
        <v>2.212267672600102</v>
      </c>
      <c r="Q910" s="3">
        <f t="shared" si="88"/>
        <v>0.15067495559502664</v>
      </c>
    </row>
    <row r="911" spans="1:17" hidden="1" x14ac:dyDescent="0.25">
      <c r="A911" t="s">
        <v>976</v>
      </c>
      <c r="B911" t="s">
        <v>12</v>
      </c>
      <c r="C911" t="s">
        <v>52</v>
      </c>
      <c r="D911" t="str">
        <f t="shared" si="84"/>
        <v>AZ</v>
      </c>
      <c r="E911" t="str">
        <f t="shared" si="85"/>
        <v>Southwest</v>
      </c>
      <c r="F911" t="s">
        <v>37</v>
      </c>
      <c r="G911" s="1">
        <v>45223</v>
      </c>
      <c r="H911" s="1">
        <v>45227</v>
      </c>
      <c r="I911" s="1">
        <f t="shared" si="89"/>
        <v>45227</v>
      </c>
      <c r="J911" s="2">
        <v>13.6</v>
      </c>
      <c r="K911" s="2">
        <v>187.79</v>
      </c>
      <c r="L911" t="s">
        <v>15</v>
      </c>
      <c r="M911" s="2">
        <v>1584</v>
      </c>
      <c r="N911" s="2">
        <v>4</v>
      </c>
      <c r="O911" s="2">
        <f t="shared" si="86"/>
        <v>396</v>
      </c>
      <c r="P911" s="2">
        <f t="shared" si="87"/>
        <v>2.1087384844773416</v>
      </c>
      <c r="Q911" s="3">
        <f t="shared" si="88"/>
        <v>0.11855429292929293</v>
      </c>
    </row>
    <row r="912" spans="1:17" hidden="1" x14ac:dyDescent="0.25">
      <c r="A912" t="s">
        <v>977</v>
      </c>
      <c r="B912" t="s">
        <v>49</v>
      </c>
      <c r="C912" t="s">
        <v>57</v>
      </c>
      <c r="D912" t="str">
        <f t="shared" si="84"/>
        <v>MN</v>
      </c>
      <c r="E912" t="str">
        <f t="shared" si="85"/>
        <v>Midwest</v>
      </c>
      <c r="F912" t="s">
        <v>59</v>
      </c>
      <c r="G912" s="1">
        <v>45067</v>
      </c>
      <c r="H912" s="1">
        <v>45072</v>
      </c>
      <c r="I912" s="1">
        <f t="shared" si="89"/>
        <v>45072</v>
      </c>
      <c r="J912" s="2">
        <v>32.5</v>
      </c>
      <c r="K912" s="2">
        <v>252.22</v>
      </c>
      <c r="L912" t="s">
        <v>15</v>
      </c>
      <c r="M912" s="2">
        <v>2107</v>
      </c>
      <c r="N912" s="2">
        <v>5</v>
      </c>
      <c r="O912" s="2">
        <f t="shared" si="86"/>
        <v>421.4</v>
      </c>
      <c r="P912" s="2">
        <f t="shared" si="87"/>
        <v>1.6707636190627229</v>
      </c>
      <c r="Q912" s="3">
        <f t="shared" si="88"/>
        <v>0.11970574276222117</v>
      </c>
    </row>
    <row r="913" spans="1:17" x14ac:dyDescent="0.25">
      <c r="A913" t="s">
        <v>978</v>
      </c>
      <c r="B913" t="s">
        <v>12</v>
      </c>
      <c r="C913" t="s">
        <v>70</v>
      </c>
      <c r="D913" t="str">
        <f t="shared" si="84"/>
        <v>CA</v>
      </c>
      <c r="E913" t="str">
        <f t="shared" si="85"/>
        <v>West</v>
      </c>
      <c r="F913" t="s">
        <v>14</v>
      </c>
      <c r="G913" s="1">
        <v>45261</v>
      </c>
      <c r="H913" s="1">
        <v>45265</v>
      </c>
      <c r="I913" s="1">
        <f t="shared" si="89"/>
        <v>45265</v>
      </c>
      <c r="J913" s="2">
        <v>23.3</v>
      </c>
      <c r="K913" s="2">
        <v>266.08</v>
      </c>
      <c r="L913" t="s">
        <v>15</v>
      </c>
      <c r="M913" s="2">
        <v>1473</v>
      </c>
      <c r="N913" s="2">
        <v>4</v>
      </c>
      <c r="O913" s="2">
        <f t="shared" si="86"/>
        <v>368.25</v>
      </c>
      <c r="P913" s="2">
        <f t="shared" si="87"/>
        <v>1.3839822609741432</v>
      </c>
      <c r="Q913" s="3">
        <f t="shared" si="88"/>
        <v>0.18063815342837744</v>
      </c>
    </row>
    <row r="914" spans="1:17" x14ac:dyDescent="0.25">
      <c r="A914" t="s">
        <v>979</v>
      </c>
      <c r="B914" t="s">
        <v>51</v>
      </c>
      <c r="C914" t="s">
        <v>81</v>
      </c>
      <c r="D914" t="str">
        <f t="shared" si="84"/>
        <v>CO</v>
      </c>
      <c r="E914" t="str">
        <f t="shared" si="85"/>
        <v>West</v>
      </c>
      <c r="F914" t="s">
        <v>18</v>
      </c>
      <c r="G914" s="1">
        <v>45100</v>
      </c>
      <c r="H914" s="1">
        <v>45103</v>
      </c>
      <c r="I914" s="1">
        <f t="shared" si="89"/>
        <v>45103</v>
      </c>
      <c r="J914" s="2">
        <v>88.7</v>
      </c>
      <c r="K914" s="2">
        <v>196.15</v>
      </c>
      <c r="L914" t="s">
        <v>15</v>
      </c>
      <c r="M914" s="2">
        <v>509</v>
      </c>
      <c r="N914" s="2">
        <v>3</v>
      </c>
      <c r="O914" s="2">
        <f t="shared" si="86"/>
        <v>169.66666666666666</v>
      </c>
      <c r="P914" s="2">
        <f t="shared" si="87"/>
        <v>0.86498428073753075</v>
      </c>
      <c r="Q914" s="3">
        <f t="shared" si="88"/>
        <v>0.38536345776031433</v>
      </c>
    </row>
    <row r="915" spans="1:17" hidden="1" x14ac:dyDescent="0.25">
      <c r="A915" t="s">
        <v>980</v>
      </c>
      <c r="B915" t="s">
        <v>30</v>
      </c>
      <c r="C915" t="s">
        <v>57</v>
      </c>
      <c r="D915" t="str">
        <f t="shared" si="84"/>
        <v>MN</v>
      </c>
      <c r="E915" t="str">
        <f t="shared" si="85"/>
        <v>Midwest</v>
      </c>
      <c r="F915" t="s">
        <v>25</v>
      </c>
      <c r="G915" s="1">
        <v>45020</v>
      </c>
      <c r="H915" s="1">
        <v>45022</v>
      </c>
      <c r="I915" s="1">
        <f t="shared" si="89"/>
        <v>45022</v>
      </c>
      <c r="J915" s="2">
        <v>36.299999999999997</v>
      </c>
      <c r="K915" s="2">
        <v>74.959999999999994</v>
      </c>
      <c r="L915" t="s">
        <v>15</v>
      </c>
      <c r="M915" s="2">
        <v>253</v>
      </c>
      <c r="N915" s="2">
        <v>2</v>
      </c>
      <c r="O915" s="2">
        <f t="shared" si="86"/>
        <v>126.5</v>
      </c>
      <c r="P915" s="2">
        <f t="shared" si="87"/>
        <v>1.6875667022411955</v>
      </c>
      <c r="Q915" s="3">
        <f t="shared" si="88"/>
        <v>0.29628458498023713</v>
      </c>
    </row>
    <row r="916" spans="1:17" hidden="1" x14ac:dyDescent="0.25">
      <c r="A916" t="s">
        <v>981</v>
      </c>
      <c r="B916" t="s">
        <v>27</v>
      </c>
      <c r="C916" t="s">
        <v>46</v>
      </c>
      <c r="D916" t="str">
        <f t="shared" si="84"/>
        <v>MA</v>
      </c>
      <c r="E916" t="str">
        <f t="shared" si="85"/>
        <v>Northeast</v>
      </c>
      <c r="F916" t="s">
        <v>25</v>
      </c>
      <c r="G916" s="1">
        <v>45171</v>
      </c>
      <c r="H916" s="1">
        <v>45174</v>
      </c>
      <c r="I916" s="1">
        <f t="shared" si="89"/>
        <v>45174</v>
      </c>
      <c r="J916" s="2">
        <v>36.5</v>
      </c>
      <c r="K916" s="2">
        <v>128</v>
      </c>
      <c r="L916" t="s">
        <v>15</v>
      </c>
      <c r="M916" s="2">
        <v>757</v>
      </c>
      <c r="N916" s="2">
        <v>3</v>
      </c>
      <c r="O916" s="2">
        <f t="shared" si="86"/>
        <v>252.33333333333334</v>
      </c>
      <c r="P916" s="2">
        <f t="shared" si="87"/>
        <v>1.9713541666666667</v>
      </c>
      <c r="Q916" s="3">
        <f t="shared" si="88"/>
        <v>0.1690885072655218</v>
      </c>
    </row>
    <row r="917" spans="1:17" x14ac:dyDescent="0.25">
      <c r="A917" t="s">
        <v>982</v>
      </c>
      <c r="B917" t="s">
        <v>49</v>
      </c>
      <c r="C917" t="s">
        <v>13</v>
      </c>
      <c r="D917" t="str">
        <f t="shared" si="84"/>
        <v>CA</v>
      </c>
      <c r="E917" t="str">
        <f t="shared" si="85"/>
        <v>West</v>
      </c>
      <c r="F917" t="s">
        <v>59</v>
      </c>
      <c r="G917" s="1">
        <v>45043</v>
      </c>
      <c r="H917" s="1">
        <v>45047</v>
      </c>
      <c r="I917" s="1">
        <f t="shared" si="89"/>
        <v>45047</v>
      </c>
      <c r="J917" s="2">
        <v>26.9</v>
      </c>
      <c r="K917" s="2">
        <v>221.1</v>
      </c>
      <c r="L917" t="s">
        <v>15</v>
      </c>
      <c r="M917" s="2">
        <v>1796</v>
      </c>
      <c r="N917" s="2">
        <v>4</v>
      </c>
      <c r="O917" s="2">
        <f t="shared" si="86"/>
        <v>449</v>
      </c>
      <c r="P917" s="2">
        <f t="shared" si="87"/>
        <v>2.0307553143374037</v>
      </c>
      <c r="Q917" s="3">
        <f t="shared" si="88"/>
        <v>0.12310690423162583</v>
      </c>
    </row>
    <row r="918" spans="1:17" x14ac:dyDescent="0.25">
      <c r="A918" t="s">
        <v>983</v>
      </c>
      <c r="B918" t="s">
        <v>49</v>
      </c>
      <c r="C918" t="s">
        <v>24</v>
      </c>
      <c r="D918" t="str">
        <f t="shared" si="84"/>
        <v>WA</v>
      </c>
      <c r="E918" t="str">
        <f t="shared" si="85"/>
        <v>West</v>
      </c>
      <c r="F918" t="s">
        <v>32</v>
      </c>
      <c r="G918" s="1">
        <v>45104</v>
      </c>
      <c r="H918" s="1">
        <v>45109</v>
      </c>
      <c r="I918" s="1">
        <f t="shared" si="89"/>
        <v>45109</v>
      </c>
      <c r="J918" s="2">
        <v>4.4000000000000004</v>
      </c>
      <c r="K918" s="2">
        <v>301.81</v>
      </c>
      <c r="L918" t="s">
        <v>15</v>
      </c>
      <c r="M918" s="2">
        <v>2087</v>
      </c>
      <c r="N918" s="2">
        <v>5</v>
      </c>
      <c r="O918" s="2">
        <f t="shared" si="86"/>
        <v>417.4</v>
      </c>
      <c r="P918" s="2">
        <f t="shared" si="87"/>
        <v>1.3829892979026539</v>
      </c>
      <c r="Q918" s="3">
        <f t="shared" si="88"/>
        <v>0.14461427886919023</v>
      </c>
    </row>
    <row r="919" spans="1:17" hidden="1" x14ac:dyDescent="0.25">
      <c r="A919" t="s">
        <v>984</v>
      </c>
      <c r="B919" t="s">
        <v>23</v>
      </c>
      <c r="C919" t="s">
        <v>44</v>
      </c>
      <c r="D919" t="str">
        <f t="shared" si="84"/>
        <v>IL</v>
      </c>
      <c r="E919" t="str">
        <f t="shared" si="85"/>
        <v>Midwest</v>
      </c>
      <c r="F919" t="s">
        <v>42</v>
      </c>
      <c r="G919" s="1">
        <v>45016</v>
      </c>
      <c r="H919" s="1">
        <v>45019</v>
      </c>
      <c r="I919" s="1">
        <f t="shared" si="89"/>
        <v>45019</v>
      </c>
      <c r="J919" s="2">
        <v>16.5</v>
      </c>
      <c r="K919" s="2">
        <v>152.12</v>
      </c>
      <c r="L919" t="s">
        <v>15</v>
      </c>
      <c r="M919" s="2">
        <v>1027</v>
      </c>
      <c r="N919" s="2">
        <v>3</v>
      </c>
      <c r="O919" s="2">
        <f t="shared" si="86"/>
        <v>342.33333333333331</v>
      </c>
      <c r="P919" s="2">
        <f t="shared" si="87"/>
        <v>2.2504163379787885</v>
      </c>
      <c r="Q919" s="3">
        <f t="shared" si="88"/>
        <v>0.1481207400194742</v>
      </c>
    </row>
    <row r="920" spans="1:17" x14ac:dyDescent="0.25">
      <c r="A920" t="s">
        <v>985</v>
      </c>
      <c r="B920" t="s">
        <v>30</v>
      </c>
      <c r="C920" t="s">
        <v>81</v>
      </c>
      <c r="D920" t="str">
        <f t="shared" si="84"/>
        <v>CO</v>
      </c>
      <c r="E920" t="str">
        <f t="shared" si="85"/>
        <v>West</v>
      </c>
      <c r="F920" t="s">
        <v>32</v>
      </c>
      <c r="G920" s="1">
        <v>44959</v>
      </c>
      <c r="H920" s="1">
        <v>44966</v>
      </c>
      <c r="I920" s="1">
        <f t="shared" si="89"/>
        <v>44966</v>
      </c>
      <c r="J920" s="2">
        <v>11.8</v>
      </c>
      <c r="K920" s="2">
        <v>306.43</v>
      </c>
      <c r="L920" t="s">
        <v>15</v>
      </c>
      <c r="M920" s="2">
        <v>2442</v>
      </c>
      <c r="N920" s="2">
        <v>7</v>
      </c>
      <c r="O920" s="2">
        <f t="shared" si="86"/>
        <v>348.85714285714283</v>
      </c>
      <c r="P920" s="2">
        <f t="shared" si="87"/>
        <v>1.138456230973282</v>
      </c>
      <c r="Q920" s="3">
        <f t="shared" si="88"/>
        <v>0.12548321048321048</v>
      </c>
    </row>
    <row r="921" spans="1:17" x14ac:dyDescent="0.25">
      <c r="A921" t="s">
        <v>986</v>
      </c>
      <c r="B921" t="s">
        <v>27</v>
      </c>
      <c r="C921" t="s">
        <v>13</v>
      </c>
      <c r="D921" t="str">
        <f t="shared" si="84"/>
        <v>CA</v>
      </c>
      <c r="E921" t="str">
        <f t="shared" si="85"/>
        <v>West</v>
      </c>
      <c r="F921" t="s">
        <v>32</v>
      </c>
      <c r="G921" s="1">
        <v>45266</v>
      </c>
      <c r="H921" s="1">
        <v>45270</v>
      </c>
      <c r="I921" s="1">
        <f t="shared" si="89"/>
        <v>45270</v>
      </c>
      <c r="J921" s="2">
        <v>22.4</v>
      </c>
      <c r="K921" s="2">
        <v>162.76</v>
      </c>
      <c r="L921" t="s">
        <v>15</v>
      </c>
      <c r="M921" s="2">
        <v>862</v>
      </c>
      <c r="N921" s="2">
        <v>4</v>
      </c>
      <c r="O921" s="2">
        <f t="shared" si="86"/>
        <v>215.5</v>
      </c>
      <c r="P921" s="2">
        <f t="shared" si="87"/>
        <v>1.3240353895305972</v>
      </c>
      <c r="Q921" s="3">
        <f t="shared" si="88"/>
        <v>0.18881670533642692</v>
      </c>
    </row>
    <row r="922" spans="1:17" hidden="1" x14ac:dyDescent="0.25">
      <c r="A922" t="s">
        <v>987</v>
      </c>
      <c r="B922" t="s">
        <v>39</v>
      </c>
      <c r="C922" t="s">
        <v>28</v>
      </c>
      <c r="D922" t="str">
        <f t="shared" si="84"/>
        <v>TX</v>
      </c>
      <c r="E922" t="str">
        <f t="shared" si="85"/>
        <v>Southwest</v>
      </c>
      <c r="F922" t="s">
        <v>32</v>
      </c>
      <c r="G922" s="1">
        <v>45124</v>
      </c>
      <c r="H922" s="1">
        <v>45137</v>
      </c>
      <c r="I922" s="1">
        <f t="shared" si="89"/>
        <v>45137</v>
      </c>
      <c r="J922" s="2">
        <v>9.3000000000000007</v>
      </c>
      <c r="K922" s="2">
        <v>108.95</v>
      </c>
      <c r="L922" t="s">
        <v>47</v>
      </c>
      <c r="M922" s="2">
        <v>813</v>
      </c>
      <c r="N922" s="2">
        <v>3</v>
      </c>
      <c r="O922" s="2">
        <f t="shared" si="86"/>
        <v>271</v>
      </c>
      <c r="P922" s="2">
        <f t="shared" si="87"/>
        <v>2.4873795318953649</v>
      </c>
      <c r="Q922" s="3">
        <f t="shared" si="88"/>
        <v>0.134009840098401</v>
      </c>
    </row>
    <row r="923" spans="1:17" hidden="1" x14ac:dyDescent="0.25">
      <c r="A923" t="s">
        <v>988</v>
      </c>
      <c r="B923" t="s">
        <v>56</v>
      </c>
      <c r="C923" t="s">
        <v>57</v>
      </c>
      <c r="D923" t="str">
        <f t="shared" si="84"/>
        <v>MN</v>
      </c>
      <c r="E923" t="str">
        <f t="shared" si="85"/>
        <v>Midwest</v>
      </c>
      <c r="F923" t="s">
        <v>32</v>
      </c>
      <c r="G923" s="1">
        <v>44955</v>
      </c>
      <c r="H923" s="1">
        <v>44964</v>
      </c>
      <c r="I923" s="1">
        <f t="shared" si="89"/>
        <v>44964</v>
      </c>
      <c r="J923" s="2">
        <v>40.9</v>
      </c>
      <c r="K923" s="2">
        <v>307.95999999999998</v>
      </c>
      <c r="L923" t="s">
        <v>15</v>
      </c>
      <c r="M923" s="2">
        <v>1805</v>
      </c>
      <c r="N923" s="2">
        <v>9</v>
      </c>
      <c r="O923" s="2">
        <f t="shared" si="86"/>
        <v>200.55555555555554</v>
      </c>
      <c r="P923" s="2">
        <f t="shared" si="87"/>
        <v>0.65123897764500438</v>
      </c>
      <c r="Q923" s="3">
        <f t="shared" si="88"/>
        <v>0.17061495844875346</v>
      </c>
    </row>
    <row r="924" spans="1:17" hidden="1" x14ac:dyDescent="0.25">
      <c r="A924" t="s">
        <v>989</v>
      </c>
      <c r="B924" t="s">
        <v>51</v>
      </c>
      <c r="C924" t="s">
        <v>57</v>
      </c>
      <c r="D924" t="str">
        <f t="shared" si="84"/>
        <v>MN</v>
      </c>
      <c r="E924" t="str">
        <f t="shared" si="85"/>
        <v>Midwest</v>
      </c>
      <c r="F924" t="s">
        <v>32</v>
      </c>
      <c r="G924" s="1">
        <v>45288</v>
      </c>
      <c r="H924" s="1">
        <v>45298</v>
      </c>
      <c r="I924" s="1">
        <f t="shared" si="89"/>
        <v>45298</v>
      </c>
      <c r="J924" s="2">
        <v>11.8</v>
      </c>
      <c r="K924" s="2">
        <v>345.46</v>
      </c>
      <c r="L924" t="s">
        <v>47</v>
      </c>
      <c r="M924" s="2">
        <v>1958</v>
      </c>
      <c r="N924" s="2">
        <v>5</v>
      </c>
      <c r="O924" s="2">
        <f t="shared" si="86"/>
        <v>391.6</v>
      </c>
      <c r="P924" s="2">
        <f t="shared" si="87"/>
        <v>1.1335610490360679</v>
      </c>
      <c r="Q924" s="3">
        <f t="shared" si="88"/>
        <v>0.17643513789581206</v>
      </c>
    </row>
    <row r="925" spans="1:17" hidden="1" x14ac:dyDescent="0.25">
      <c r="A925" t="s">
        <v>990</v>
      </c>
      <c r="B925" t="s">
        <v>27</v>
      </c>
      <c r="C925" t="s">
        <v>31</v>
      </c>
      <c r="D925" t="str">
        <f t="shared" si="84"/>
        <v>NY</v>
      </c>
      <c r="E925" t="str">
        <f t="shared" si="85"/>
        <v>Northeast</v>
      </c>
      <c r="F925" t="s">
        <v>37</v>
      </c>
      <c r="G925" s="1">
        <v>45044</v>
      </c>
      <c r="H925" s="1">
        <v>45050</v>
      </c>
      <c r="I925" s="1">
        <f t="shared" si="89"/>
        <v>45050</v>
      </c>
      <c r="J925" s="2">
        <v>10.1</v>
      </c>
      <c r="K925" s="2">
        <v>221.55</v>
      </c>
      <c r="L925" t="s">
        <v>15</v>
      </c>
      <c r="M925" s="2">
        <v>1943</v>
      </c>
      <c r="N925" s="2">
        <v>6</v>
      </c>
      <c r="O925" s="2">
        <f t="shared" si="86"/>
        <v>323.83333333333331</v>
      </c>
      <c r="P925" s="2">
        <f t="shared" si="87"/>
        <v>1.4616715564582861</v>
      </c>
      <c r="Q925" s="3">
        <f t="shared" si="88"/>
        <v>0.11402470406587752</v>
      </c>
    </row>
    <row r="926" spans="1:17" hidden="1" x14ac:dyDescent="0.25">
      <c r="A926" t="s">
        <v>991</v>
      </c>
      <c r="B926" t="s">
        <v>35</v>
      </c>
      <c r="C926" t="s">
        <v>44</v>
      </c>
      <c r="D926" t="str">
        <f t="shared" si="84"/>
        <v>IL</v>
      </c>
      <c r="E926" t="str">
        <f t="shared" si="85"/>
        <v>Midwest</v>
      </c>
      <c r="F926" t="s">
        <v>37</v>
      </c>
      <c r="G926" s="1">
        <v>45231</v>
      </c>
      <c r="H926" s="1">
        <v>45238</v>
      </c>
      <c r="I926" s="1">
        <f t="shared" si="89"/>
        <v>45238</v>
      </c>
      <c r="J926" s="2">
        <v>8.9</v>
      </c>
      <c r="K926" s="2">
        <v>390.8</v>
      </c>
      <c r="L926" t="s">
        <v>15</v>
      </c>
      <c r="M926" s="2">
        <v>2441</v>
      </c>
      <c r="N926" s="2">
        <v>7</v>
      </c>
      <c r="O926" s="2">
        <f t="shared" si="86"/>
        <v>348.71428571428572</v>
      </c>
      <c r="P926" s="2">
        <f t="shared" si="87"/>
        <v>0.89230881707852028</v>
      </c>
      <c r="Q926" s="3">
        <f t="shared" si="88"/>
        <v>0.160098320360508</v>
      </c>
    </row>
    <row r="927" spans="1:17" hidden="1" x14ac:dyDescent="0.25">
      <c r="A927" t="s">
        <v>992</v>
      </c>
      <c r="B927" t="s">
        <v>51</v>
      </c>
      <c r="C927" t="s">
        <v>52</v>
      </c>
      <c r="D927" t="str">
        <f t="shared" si="84"/>
        <v>AZ</v>
      </c>
      <c r="E927" t="str">
        <f t="shared" si="85"/>
        <v>Southwest</v>
      </c>
      <c r="F927" t="s">
        <v>59</v>
      </c>
      <c r="G927" s="1">
        <v>45064</v>
      </c>
      <c r="H927" s="1">
        <v>45034</v>
      </c>
      <c r="I927" s="1">
        <f t="shared" si="89"/>
        <v>45034</v>
      </c>
      <c r="J927" s="2">
        <v>55.4</v>
      </c>
      <c r="K927" s="2">
        <v>237.06</v>
      </c>
      <c r="L927" t="s">
        <v>62</v>
      </c>
      <c r="M927" s="2">
        <v>1644</v>
      </c>
      <c r="N927" s="2">
        <v>5</v>
      </c>
      <c r="O927" s="2">
        <f t="shared" si="86"/>
        <v>328.8</v>
      </c>
      <c r="P927" s="2">
        <f t="shared" si="87"/>
        <v>1.386990635282207</v>
      </c>
      <c r="Q927" s="3">
        <f t="shared" si="88"/>
        <v>0.14419708029197081</v>
      </c>
    </row>
    <row r="928" spans="1:17" x14ac:dyDescent="0.25">
      <c r="A928" t="s">
        <v>993</v>
      </c>
      <c r="B928" t="s">
        <v>39</v>
      </c>
      <c r="C928" t="s">
        <v>36</v>
      </c>
      <c r="D928" t="str">
        <f t="shared" si="84"/>
        <v>OR</v>
      </c>
      <c r="E928" t="str">
        <f t="shared" si="85"/>
        <v>West</v>
      </c>
      <c r="F928" t="s">
        <v>42</v>
      </c>
      <c r="G928" s="1">
        <v>45206</v>
      </c>
      <c r="H928" s="1">
        <v>45209</v>
      </c>
      <c r="I928" s="1">
        <f t="shared" si="89"/>
        <v>45209</v>
      </c>
      <c r="J928" s="2">
        <v>7.1</v>
      </c>
      <c r="K928" s="2">
        <v>164.49</v>
      </c>
      <c r="L928" t="s">
        <v>15</v>
      </c>
      <c r="M928" s="2">
        <v>1336</v>
      </c>
      <c r="N928" s="2">
        <v>3</v>
      </c>
      <c r="O928" s="2">
        <f t="shared" si="86"/>
        <v>445.33333333333331</v>
      </c>
      <c r="P928" s="2">
        <f t="shared" si="87"/>
        <v>2.7073580967434694</v>
      </c>
      <c r="Q928" s="3">
        <f t="shared" si="88"/>
        <v>0.12312125748502994</v>
      </c>
    </row>
    <row r="929" spans="1:17" x14ac:dyDescent="0.25">
      <c r="A929" t="s">
        <v>994</v>
      </c>
      <c r="B929" t="s">
        <v>20</v>
      </c>
      <c r="C929" t="s">
        <v>36</v>
      </c>
      <c r="D929" t="str">
        <f t="shared" si="84"/>
        <v>OR</v>
      </c>
      <c r="E929" t="str">
        <f t="shared" si="85"/>
        <v>West</v>
      </c>
      <c r="F929" t="s">
        <v>14</v>
      </c>
      <c r="G929" s="1">
        <v>44949</v>
      </c>
      <c r="H929" s="1">
        <v>44953</v>
      </c>
      <c r="I929" s="1">
        <f t="shared" si="89"/>
        <v>44953</v>
      </c>
      <c r="J929" s="2">
        <v>45.4</v>
      </c>
      <c r="K929" s="2">
        <v>172.09</v>
      </c>
      <c r="L929" t="s">
        <v>15</v>
      </c>
      <c r="M929" s="2">
        <v>1050</v>
      </c>
      <c r="N929" s="2">
        <v>4</v>
      </c>
      <c r="O929" s="2">
        <f t="shared" si="86"/>
        <v>262.5</v>
      </c>
      <c r="P929" s="2">
        <f t="shared" si="87"/>
        <v>1.5253646347841245</v>
      </c>
      <c r="Q929" s="3">
        <f t="shared" si="88"/>
        <v>0.16389523809523809</v>
      </c>
    </row>
    <row r="930" spans="1:17" hidden="1" x14ac:dyDescent="0.25">
      <c r="A930" t="s">
        <v>995</v>
      </c>
      <c r="B930" t="s">
        <v>30</v>
      </c>
      <c r="C930" t="s">
        <v>17</v>
      </c>
      <c r="D930" t="str">
        <f t="shared" si="84"/>
        <v>GA</v>
      </c>
      <c r="E930" t="str">
        <f t="shared" si="85"/>
        <v>Southeast</v>
      </c>
      <c r="F930" t="s">
        <v>14</v>
      </c>
      <c r="G930" s="1">
        <v>45216</v>
      </c>
      <c r="H930" s="1">
        <v>45222</v>
      </c>
      <c r="I930" s="1">
        <f t="shared" si="89"/>
        <v>45222</v>
      </c>
      <c r="J930" s="2">
        <v>53.8</v>
      </c>
      <c r="K930" s="2">
        <v>334.19</v>
      </c>
      <c r="L930" t="s">
        <v>15</v>
      </c>
      <c r="M930" s="2">
        <v>2107</v>
      </c>
      <c r="N930" s="2">
        <v>6</v>
      </c>
      <c r="O930" s="2">
        <f t="shared" si="86"/>
        <v>351.16666666666669</v>
      </c>
      <c r="P930" s="2">
        <f t="shared" si="87"/>
        <v>1.0507994454252572</v>
      </c>
      <c r="Q930" s="3">
        <f t="shared" si="88"/>
        <v>0.15860939724727099</v>
      </c>
    </row>
    <row r="931" spans="1:17" hidden="1" x14ac:dyDescent="0.25">
      <c r="A931" t="s">
        <v>996</v>
      </c>
      <c r="B931" t="s">
        <v>12</v>
      </c>
      <c r="C931" t="s">
        <v>28</v>
      </c>
      <c r="D931" t="str">
        <f t="shared" si="84"/>
        <v>TX</v>
      </c>
      <c r="E931" t="str">
        <f t="shared" si="85"/>
        <v>Southwest</v>
      </c>
      <c r="F931" t="s">
        <v>14</v>
      </c>
      <c r="G931" s="1">
        <v>45033</v>
      </c>
      <c r="H931" s="1">
        <v>45035</v>
      </c>
      <c r="I931" s="1">
        <f t="shared" si="89"/>
        <v>45035</v>
      </c>
      <c r="J931" s="2">
        <v>20</v>
      </c>
      <c r="K931" s="2">
        <v>96.84</v>
      </c>
      <c r="L931" t="s">
        <v>15</v>
      </c>
      <c r="M931" s="2">
        <v>517</v>
      </c>
      <c r="N931" s="2">
        <v>2</v>
      </c>
      <c r="O931" s="2">
        <f t="shared" si="86"/>
        <v>258.5</v>
      </c>
      <c r="P931" s="2">
        <f t="shared" si="87"/>
        <v>2.6693515076414704</v>
      </c>
      <c r="Q931" s="3">
        <f t="shared" si="88"/>
        <v>0.18731141199226306</v>
      </c>
    </row>
    <row r="932" spans="1:17" hidden="1" x14ac:dyDescent="0.25">
      <c r="A932" t="s">
        <v>997</v>
      </c>
      <c r="B932" t="s">
        <v>30</v>
      </c>
      <c r="C932" t="s">
        <v>28</v>
      </c>
      <c r="D932" t="str">
        <f t="shared" si="84"/>
        <v>TX</v>
      </c>
      <c r="E932" t="str">
        <f t="shared" si="85"/>
        <v>Southwest</v>
      </c>
      <c r="F932" t="s">
        <v>14</v>
      </c>
      <c r="G932" s="1">
        <v>45247</v>
      </c>
      <c r="H932" s="1">
        <v>45263</v>
      </c>
      <c r="I932" s="1">
        <f t="shared" si="89"/>
        <v>45263</v>
      </c>
      <c r="J932" s="2">
        <v>47.6</v>
      </c>
      <c r="K932" s="2">
        <v>267.76</v>
      </c>
      <c r="L932" t="s">
        <v>47</v>
      </c>
      <c r="M932" s="2">
        <v>1263</v>
      </c>
      <c r="N932" s="2">
        <v>4</v>
      </c>
      <c r="O932" s="2">
        <f t="shared" si="86"/>
        <v>315.75</v>
      </c>
      <c r="P932" s="2">
        <f t="shared" si="87"/>
        <v>1.1792276665670751</v>
      </c>
      <c r="Q932" s="3">
        <f t="shared" si="88"/>
        <v>0.21200316706254949</v>
      </c>
    </row>
    <row r="933" spans="1:17" hidden="1" x14ac:dyDescent="0.25">
      <c r="A933" t="s">
        <v>998</v>
      </c>
      <c r="B933" t="s">
        <v>27</v>
      </c>
      <c r="C933" t="s">
        <v>28</v>
      </c>
      <c r="D933" t="str">
        <f t="shared" si="84"/>
        <v>TX</v>
      </c>
      <c r="E933" t="str">
        <f t="shared" si="85"/>
        <v>Southwest</v>
      </c>
      <c r="F933" t="s">
        <v>42</v>
      </c>
      <c r="G933" s="1">
        <v>44989</v>
      </c>
      <c r="H933" s="1">
        <v>44992</v>
      </c>
      <c r="I933" s="1">
        <f t="shared" si="89"/>
        <v>44992</v>
      </c>
      <c r="J933" s="2">
        <v>14.9</v>
      </c>
      <c r="K933" s="2">
        <v>148</v>
      </c>
      <c r="L933" t="s">
        <v>15</v>
      </c>
      <c r="M933" s="2">
        <v>1154</v>
      </c>
      <c r="N933" s="2">
        <v>3</v>
      </c>
      <c r="O933" s="2">
        <f t="shared" si="86"/>
        <v>384.66666666666669</v>
      </c>
      <c r="P933" s="2">
        <f t="shared" si="87"/>
        <v>2.5990990990990994</v>
      </c>
      <c r="Q933" s="3">
        <f t="shared" si="88"/>
        <v>0.12824956672443674</v>
      </c>
    </row>
    <row r="934" spans="1:17" x14ac:dyDescent="0.25">
      <c r="A934" t="s">
        <v>999</v>
      </c>
      <c r="B934" t="s">
        <v>30</v>
      </c>
      <c r="C934" t="s">
        <v>13</v>
      </c>
      <c r="D934" t="str">
        <f t="shared" si="84"/>
        <v>CA</v>
      </c>
      <c r="E934" t="str">
        <f t="shared" si="85"/>
        <v>West</v>
      </c>
      <c r="F934" t="s">
        <v>25</v>
      </c>
      <c r="G934" s="1">
        <v>45127</v>
      </c>
      <c r="H934" s="1">
        <v>45131</v>
      </c>
      <c r="I934" s="1">
        <f t="shared" si="89"/>
        <v>45131</v>
      </c>
      <c r="J934" s="2">
        <v>62.4</v>
      </c>
      <c r="K934" s="2">
        <v>118.11</v>
      </c>
      <c r="L934" t="s">
        <v>15</v>
      </c>
      <c r="M934" s="2">
        <v>407</v>
      </c>
      <c r="N934" s="2">
        <v>4</v>
      </c>
      <c r="O934" s="2">
        <f t="shared" si="86"/>
        <v>101.75</v>
      </c>
      <c r="P934" s="2">
        <f t="shared" si="87"/>
        <v>0.86148505630344596</v>
      </c>
      <c r="Q934" s="3">
        <f t="shared" si="88"/>
        <v>0.2901965601965602</v>
      </c>
    </row>
    <row r="935" spans="1:17" x14ac:dyDescent="0.25">
      <c r="A935" t="s">
        <v>1000</v>
      </c>
      <c r="B935" t="s">
        <v>51</v>
      </c>
      <c r="C935" t="s">
        <v>70</v>
      </c>
      <c r="D935" t="str">
        <f t="shared" si="84"/>
        <v>CA</v>
      </c>
      <c r="E935" t="str">
        <f t="shared" si="85"/>
        <v>West</v>
      </c>
      <c r="F935" t="s">
        <v>32</v>
      </c>
      <c r="G935" s="1">
        <v>45159</v>
      </c>
      <c r="H935" s="1">
        <v>45165</v>
      </c>
      <c r="I935" s="1">
        <f t="shared" si="89"/>
        <v>45165</v>
      </c>
      <c r="J935" s="2">
        <v>28.3</v>
      </c>
      <c r="K935" s="2">
        <v>318.33999999999997</v>
      </c>
      <c r="L935" t="s">
        <v>15</v>
      </c>
      <c r="M935" s="2">
        <v>2076</v>
      </c>
      <c r="N935" s="2">
        <v>6</v>
      </c>
      <c r="O935" s="2">
        <f t="shared" si="86"/>
        <v>346</v>
      </c>
      <c r="P935" s="2">
        <f t="shared" si="87"/>
        <v>1.0868882327071685</v>
      </c>
      <c r="Q935" s="3">
        <f t="shared" si="88"/>
        <v>0.15334296724470134</v>
      </c>
    </row>
    <row r="936" spans="1:17" x14ac:dyDescent="0.25">
      <c r="A936" t="s">
        <v>1001</v>
      </c>
      <c r="B936" t="s">
        <v>51</v>
      </c>
      <c r="C936" t="s">
        <v>81</v>
      </c>
      <c r="D936" t="str">
        <f t="shared" si="84"/>
        <v>CO</v>
      </c>
      <c r="E936" t="str">
        <f t="shared" si="85"/>
        <v>West</v>
      </c>
      <c r="F936" t="s">
        <v>59</v>
      </c>
      <c r="G936" s="1">
        <v>45196</v>
      </c>
      <c r="H936" s="1">
        <v>45202</v>
      </c>
      <c r="I936" s="1">
        <f t="shared" si="89"/>
        <v>45202</v>
      </c>
      <c r="J936" s="2">
        <v>26.6</v>
      </c>
      <c r="K936" s="2">
        <v>295.92</v>
      </c>
      <c r="L936" t="s">
        <v>15</v>
      </c>
      <c r="M936" s="2">
        <v>2346</v>
      </c>
      <c r="N936" s="2">
        <v>6</v>
      </c>
      <c r="O936" s="2">
        <f t="shared" si="86"/>
        <v>391</v>
      </c>
      <c r="P936" s="2">
        <f t="shared" si="87"/>
        <v>1.3213030548796971</v>
      </c>
      <c r="Q936" s="3">
        <f t="shared" si="88"/>
        <v>0.12613810741687981</v>
      </c>
    </row>
    <row r="937" spans="1:17" x14ac:dyDescent="0.25">
      <c r="A937" t="s">
        <v>1002</v>
      </c>
      <c r="B937" t="s">
        <v>23</v>
      </c>
      <c r="C937" t="s">
        <v>36</v>
      </c>
      <c r="D937" t="str">
        <f t="shared" si="84"/>
        <v>OR</v>
      </c>
      <c r="E937" t="str">
        <f t="shared" si="85"/>
        <v>West</v>
      </c>
      <c r="F937" t="s">
        <v>37</v>
      </c>
      <c r="G937" s="1">
        <v>44964</v>
      </c>
      <c r="H937" s="1">
        <v>44966</v>
      </c>
      <c r="I937" s="1">
        <f t="shared" si="89"/>
        <v>44966</v>
      </c>
      <c r="J937" s="2">
        <v>29.9</v>
      </c>
      <c r="K937" s="2">
        <v>108.93</v>
      </c>
      <c r="L937" t="s">
        <v>15</v>
      </c>
      <c r="M937" s="2">
        <v>576</v>
      </c>
      <c r="N937" s="2">
        <v>2</v>
      </c>
      <c r="O937" s="2">
        <f t="shared" si="86"/>
        <v>288</v>
      </c>
      <c r="P937" s="2">
        <f t="shared" si="87"/>
        <v>2.6438997521343981</v>
      </c>
      <c r="Q937" s="3">
        <f t="shared" si="88"/>
        <v>0.18911458333333334</v>
      </c>
    </row>
    <row r="938" spans="1:17" hidden="1" x14ac:dyDescent="0.25">
      <c r="A938" t="s">
        <v>1003</v>
      </c>
      <c r="B938" t="s">
        <v>12</v>
      </c>
      <c r="C938" t="s">
        <v>17</v>
      </c>
      <c r="D938" t="str">
        <f t="shared" si="84"/>
        <v>GA</v>
      </c>
      <c r="E938" t="str">
        <f t="shared" si="85"/>
        <v>Southeast</v>
      </c>
      <c r="F938" t="s">
        <v>18</v>
      </c>
      <c r="G938" s="1">
        <v>44954</v>
      </c>
      <c r="H938" s="1">
        <v>44959</v>
      </c>
      <c r="I938" s="1">
        <f t="shared" si="89"/>
        <v>44959</v>
      </c>
      <c r="J938" s="2">
        <v>5.0999999999999996</v>
      </c>
      <c r="K938" s="2">
        <v>236.05</v>
      </c>
      <c r="L938" t="s">
        <v>15</v>
      </c>
      <c r="M938" s="2">
        <v>1773</v>
      </c>
      <c r="N938" s="2">
        <v>5</v>
      </c>
      <c r="O938" s="2">
        <f t="shared" si="86"/>
        <v>354.6</v>
      </c>
      <c r="P938" s="2">
        <f t="shared" si="87"/>
        <v>1.5022241050624867</v>
      </c>
      <c r="Q938" s="3">
        <f t="shared" si="88"/>
        <v>0.13313592780597858</v>
      </c>
    </row>
    <row r="939" spans="1:17" hidden="1" x14ac:dyDescent="0.25">
      <c r="A939" t="s">
        <v>1004</v>
      </c>
      <c r="B939" t="s">
        <v>56</v>
      </c>
      <c r="C939" t="s">
        <v>17</v>
      </c>
      <c r="D939" t="str">
        <f t="shared" si="84"/>
        <v>GA</v>
      </c>
      <c r="E939" t="str">
        <f t="shared" si="85"/>
        <v>Southeast</v>
      </c>
      <c r="F939" t="s">
        <v>42</v>
      </c>
      <c r="G939" s="1">
        <v>45098</v>
      </c>
      <c r="H939" s="1">
        <v>45101</v>
      </c>
      <c r="I939" s="1">
        <f t="shared" si="89"/>
        <v>45101</v>
      </c>
      <c r="J939" s="2">
        <v>24.3</v>
      </c>
      <c r="K939" s="2">
        <v>160.77000000000001</v>
      </c>
      <c r="L939" t="s">
        <v>62</v>
      </c>
      <c r="M939" s="2">
        <v>1144</v>
      </c>
      <c r="N939" s="2">
        <v>3</v>
      </c>
      <c r="O939" s="2">
        <f t="shared" si="86"/>
        <v>381.33333333333331</v>
      </c>
      <c r="P939" s="2">
        <f t="shared" si="87"/>
        <v>2.3719184756691751</v>
      </c>
      <c r="Q939" s="3">
        <f t="shared" si="88"/>
        <v>0.14053321678321679</v>
      </c>
    </row>
    <row r="940" spans="1:17" hidden="1" x14ac:dyDescent="0.25">
      <c r="A940" t="s">
        <v>1005</v>
      </c>
      <c r="B940" t="s">
        <v>49</v>
      </c>
      <c r="C940" t="s">
        <v>46</v>
      </c>
      <c r="D940" t="str">
        <f t="shared" si="84"/>
        <v>MA</v>
      </c>
      <c r="E940" t="str">
        <f t="shared" si="85"/>
        <v>Northeast</v>
      </c>
      <c r="F940" t="s">
        <v>32</v>
      </c>
      <c r="G940" s="1">
        <v>45175</v>
      </c>
      <c r="H940" s="1">
        <v>45180</v>
      </c>
      <c r="I940" s="1">
        <f t="shared" si="89"/>
        <v>45180</v>
      </c>
      <c r="J940" s="2">
        <v>75</v>
      </c>
      <c r="K940" s="2">
        <v>402.46</v>
      </c>
      <c r="L940" t="s">
        <v>15</v>
      </c>
      <c r="M940" s="2">
        <v>2200</v>
      </c>
      <c r="N940" s="2">
        <v>5</v>
      </c>
      <c r="O940" s="2">
        <f t="shared" si="86"/>
        <v>440</v>
      </c>
      <c r="P940" s="2">
        <f t="shared" si="87"/>
        <v>1.0932763504447647</v>
      </c>
      <c r="Q940" s="3">
        <f t="shared" si="88"/>
        <v>0.18293636363636362</v>
      </c>
    </row>
    <row r="941" spans="1:17" x14ac:dyDescent="0.25">
      <c r="A941" t="s">
        <v>1006</v>
      </c>
      <c r="B941" t="s">
        <v>49</v>
      </c>
      <c r="C941" t="s">
        <v>81</v>
      </c>
      <c r="D941" t="str">
        <f t="shared" si="84"/>
        <v>CO</v>
      </c>
      <c r="E941" t="str">
        <f t="shared" si="85"/>
        <v>West</v>
      </c>
      <c r="F941" t="s">
        <v>25</v>
      </c>
      <c r="G941" s="1">
        <v>45123</v>
      </c>
      <c r="H941" s="1">
        <v>45128</v>
      </c>
      <c r="I941" s="1">
        <f t="shared" si="89"/>
        <v>45128</v>
      </c>
      <c r="J941" s="2">
        <v>29.6</v>
      </c>
      <c r="K941" s="2">
        <v>276.98</v>
      </c>
      <c r="L941" t="s">
        <v>15</v>
      </c>
      <c r="M941" s="2">
        <v>2049</v>
      </c>
      <c r="N941" s="2">
        <v>5</v>
      </c>
      <c r="O941" s="2">
        <f t="shared" si="86"/>
        <v>409.8</v>
      </c>
      <c r="P941" s="2">
        <f t="shared" si="87"/>
        <v>1.4795292078850457</v>
      </c>
      <c r="Q941" s="3">
        <f t="shared" si="88"/>
        <v>0.1351781356759395</v>
      </c>
    </row>
    <row r="942" spans="1:17" x14ac:dyDescent="0.25">
      <c r="A942" t="s">
        <v>1007</v>
      </c>
      <c r="B942" t="s">
        <v>39</v>
      </c>
      <c r="C942" t="s">
        <v>81</v>
      </c>
      <c r="D942" t="str">
        <f t="shared" si="84"/>
        <v>CO</v>
      </c>
      <c r="E942" t="str">
        <f t="shared" si="85"/>
        <v>West</v>
      </c>
      <c r="F942" t="s">
        <v>25</v>
      </c>
      <c r="G942" s="1">
        <v>45264</v>
      </c>
      <c r="H942" s="1">
        <v>45271</v>
      </c>
      <c r="I942" s="1">
        <f t="shared" si="89"/>
        <v>45271</v>
      </c>
      <c r="J942" s="2">
        <v>3.2</v>
      </c>
      <c r="K942" s="2">
        <v>140.80000000000001</v>
      </c>
      <c r="L942" t="s">
        <v>15</v>
      </c>
      <c r="M942" s="2">
        <v>1030</v>
      </c>
      <c r="N942" s="2">
        <v>7</v>
      </c>
      <c r="O942" s="2">
        <f t="shared" si="86"/>
        <v>147.14285714285714</v>
      </c>
      <c r="P942" s="2">
        <f t="shared" si="87"/>
        <v>1.0450487012987011</v>
      </c>
      <c r="Q942" s="3">
        <f t="shared" si="88"/>
        <v>0.13669902912621359</v>
      </c>
    </row>
    <row r="943" spans="1:17" hidden="1" x14ac:dyDescent="0.25">
      <c r="A943" t="s">
        <v>1008</v>
      </c>
      <c r="B943" t="s">
        <v>51</v>
      </c>
      <c r="C943" t="s">
        <v>28</v>
      </c>
      <c r="D943" t="str">
        <f t="shared" si="84"/>
        <v>TX</v>
      </c>
      <c r="E943" t="str">
        <f t="shared" si="85"/>
        <v>Southwest</v>
      </c>
      <c r="F943" t="s">
        <v>18</v>
      </c>
      <c r="G943" s="1">
        <v>45021</v>
      </c>
      <c r="H943" s="1">
        <v>45031</v>
      </c>
      <c r="I943" s="1">
        <f t="shared" si="89"/>
        <v>45031</v>
      </c>
      <c r="J943" s="2">
        <v>18.899999999999999</v>
      </c>
      <c r="K943" s="2">
        <v>196.91</v>
      </c>
      <c r="L943" t="s">
        <v>15</v>
      </c>
      <c r="M943" s="2">
        <v>1319</v>
      </c>
      <c r="N943" s="2">
        <v>10</v>
      </c>
      <c r="O943" s="2">
        <f t="shared" si="86"/>
        <v>131.9</v>
      </c>
      <c r="P943" s="2">
        <f t="shared" si="87"/>
        <v>0.66984916967142349</v>
      </c>
      <c r="Q943" s="3">
        <f t="shared" si="88"/>
        <v>0.14928733889310083</v>
      </c>
    </row>
    <row r="944" spans="1:17" hidden="1" x14ac:dyDescent="0.25">
      <c r="A944" t="s">
        <v>1009</v>
      </c>
      <c r="B944" t="s">
        <v>30</v>
      </c>
      <c r="C944" t="s">
        <v>54</v>
      </c>
      <c r="D944" t="str">
        <f t="shared" ref="D944:D1005" si="90">IF(C944="Atlanta","GA",
IF(C944="Boston","MA",
IF(C944="Chicago","IL",
IF(C944="Dallas","TX",
IF(C944="Denver","CO",
IF(C944="Detroit","MI",
IF(C944="Houston","TX",
IF(C944="Los Angeles","CA",
IF(C944="Miami","FL",
IF(C944="Minneapolis","MN",
IF(C944="New York","NY",
IF(C944="Phoenix","AZ",
IF(C944="Portland","OR",
IF(C944="San Francisco","CA",
IF(C944="Seattle","WA","Unknown")))))))))))))))</f>
        <v>FL</v>
      </c>
      <c r="E944" t="str">
        <f t="shared" ref="E944:E1005" si="91">IF(OR(D944="NY",D944="NJ",D944="PA",D944="MA",D944="CT",D944="RI",D944="VT",D944="NH",D944="ME"),"Northeast",
IF(OR(D944="FL",D944="GA",D944="AL",D944="MS",D944="SC",D944="NC",D944="TN",D944="KY"),"Southeast",
IF(OR(D944="IL",D944="IN",D944="OH",D944="MI",D944="WI",D944="MN",D944="IA",D944="MO",D944="KS",D944="NE",D944="ND",D944="SD"),"Midwest",
IF(OR(D944="TX",D944="OK",D944="NM",D944="AZ"),"Southwest",
IF(OR(D944="CA",D944="OR",D944="WA",D944="NV",D944="CO",D944="UT",D944="ID",D944="MT",D944="WY",D944="AK",D944="HI"),"West","Other")))))</f>
        <v>Southeast</v>
      </c>
      <c r="F944" t="s">
        <v>14</v>
      </c>
      <c r="G944" s="1">
        <v>45219</v>
      </c>
      <c r="H944" s="1">
        <v>45221</v>
      </c>
      <c r="I944" s="1">
        <f t="shared" si="89"/>
        <v>45221</v>
      </c>
      <c r="J944" s="2">
        <v>16.100000000000001</v>
      </c>
      <c r="K944" s="2">
        <v>102.41</v>
      </c>
      <c r="L944" t="s">
        <v>15</v>
      </c>
      <c r="M944" s="2">
        <v>625</v>
      </c>
      <c r="N944" s="2">
        <v>2</v>
      </c>
      <c r="O944" s="2">
        <f t="shared" ref="O944:O1005" si="92">M944/N944</f>
        <v>312.5</v>
      </c>
      <c r="P944" s="2">
        <f t="shared" ref="P944:P1005" si="93">O944/K944</f>
        <v>3.0514598183771118</v>
      </c>
      <c r="Q944" s="3">
        <f t="shared" ref="Q944:Q1005" si="94">K944/M944</f>
        <v>0.163856</v>
      </c>
    </row>
    <row r="945" spans="1:17" hidden="1" x14ac:dyDescent="0.25">
      <c r="A945" t="s">
        <v>1010</v>
      </c>
      <c r="B945" t="s">
        <v>35</v>
      </c>
      <c r="C945" t="s">
        <v>40</v>
      </c>
      <c r="D945" t="str">
        <f t="shared" si="90"/>
        <v>MI</v>
      </c>
      <c r="E945" t="str">
        <f t="shared" si="91"/>
        <v>Midwest</v>
      </c>
      <c r="F945" t="s">
        <v>25</v>
      </c>
      <c r="G945" s="1">
        <v>44976</v>
      </c>
      <c r="H945" s="1">
        <v>44979</v>
      </c>
      <c r="I945" s="1">
        <f t="shared" si="89"/>
        <v>44979</v>
      </c>
      <c r="J945" s="2">
        <v>36.700000000000003</v>
      </c>
      <c r="K945" s="2">
        <v>80.239999999999995</v>
      </c>
      <c r="L945" t="s">
        <v>15</v>
      </c>
      <c r="M945" s="2">
        <v>283</v>
      </c>
      <c r="N945" s="2">
        <v>3</v>
      </c>
      <c r="O945" s="2">
        <f t="shared" si="92"/>
        <v>94.333333333333329</v>
      </c>
      <c r="P945" s="2">
        <f t="shared" si="93"/>
        <v>1.1756397474243936</v>
      </c>
      <c r="Q945" s="3">
        <f t="shared" si="94"/>
        <v>0.28353356890459364</v>
      </c>
    </row>
    <row r="946" spans="1:17" hidden="1" x14ac:dyDescent="0.25">
      <c r="A946" t="s">
        <v>1011</v>
      </c>
      <c r="B946" t="s">
        <v>56</v>
      </c>
      <c r="C946" t="s">
        <v>46</v>
      </c>
      <c r="D946" t="str">
        <f t="shared" si="90"/>
        <v>MA</v>
      </c>
      <c r="E946" t="str">
        <f t="shared" si="91"/>
        <v>Northeast</v>
      </c>
      <c r="F946" t="s">
        <v>42</v>
      </c>
      <c r="G946" s="1">
        <v>45163</v>
      </c>
      <c r="H946" s="1">
        <v>45168</v>
      </c>
      <c r="I946" s="1">
        <f t="shared" si="89"/>
        <v>45168</v>
      </c>
      <c r="J946" s="2">
        <v>49.6</v>
      </c>
      <c r="K946" s="2">
        <v>169.64</v>
      </c>
      <c r="L946" t="s">
        <v>15</v>
      </c>
      <c r="M946" s="2">
        <v>820</v>
      </c>
      <c r="N946" s="2">
        <v>5</v>
      </c>
      <c r="O946" s="2">
        <f t="shared" si="92"/>
        <v>164</v>
      </c>
      <c r="P946" s="2">
        <f t="shared" si="93"/>
        <v>0.96675312426314552</v>
      </c>
      <c r="Q946" s="3">
        <f t="shared" si="94"/>
        <v>0.20687804878048779</v>
      </c>
    </row>
    <row r="947" spans="1:17" x14ac:dyDescent="0.25">
      <c r="A947" t="s">
        <v>1013</v>
      </c>
      <c r="B947" t="s">
        <v>30</v>
      </c>
      <c r="C947" t="s">
        <v>13</v>
      </c>
      <c r="D947" t="str">
        <f t="shared" si="90"/>
        <v>CA</v>
      </c>
      <c r="E947" t="str">
        <f t="shared" si="91"/>
        <v>West</v>
      </c>
      <c r="F947" t="s">
        <v>18</v>
      </c>
      <c r="G947" s="1">
        <v>45090</v>
      </c>
      <c r="H947" s="1">
        <v>45097</v>
      </c>
      <c r="I947" s="1">
        <f t="shared" si="89"/>
        <v>45097</v>
      </c>
      <c r="J947" s="2">
        <v>24.2</v>
      </c>
      <c r="K947" s="2">
        <v>318.02999999999997</v>
      </c>
      <c r="L947" t="s">
        <v>62</v>
      </c>
      <c r="M947" s="2">
        <v>2036</v>
      </c>
      <c r="N947" s="2">
        <v>7</v>
      </c>
      <c r="O947" s="2">
        <f t="shared" si="92"/>
        <v>290.85714285714283</v>
      </c>
      <c r="P947" s="2">
        <f t="shared" si="93"/>
        <v>0.91455882418999102</v>
      </c>
      <c r="Q947" s="3">
        <f t="shared" si="94"/>
        <v>0.15620333988212179</v>
      </c>
    </row>
    <row r="948" spans="1:17" hidden="1" x14ac:dyDescent="0.25">
      <c r="A948" t="s">
        <v>1014</v>
      </c>
      <c r="B948" t="s">
        <v>35</v>
      </c>
      <c r="C948" t="s">
        <v>17</v>
      </c>
      <c r="D948" t="str">
        <f t="shared" si="90"/>
        <v>GA</v>
      </c>
      <c r="E948" t="str">
        <f t="shared" si="91"/>
        <v>Southeast</v>
      </c>
      <c r="F948" t="s">
        <v>14</v>
      </c>
      <c r="G948" s="1">
        <v>44996</v>
      </c>
      <c r="H948" s="1">
        <v>45000</v>
      </c>
      <c r="I948" s="1">
        <f t="shared" si="89"/>
        <v>45000</v>
      </c>
      <c r="J948" s="2">
        <v>18.600000000000001</v>
      </c>
      <c r="K948" s="2">
        <v>264.57</v>
      </c>
      <c r="L948" t="s">
        <v>15</v>
      </c>
      <c r="M948" s="2">
        <v>1771</v>
      </c>
      <c r="N948" s="2">
        <v>4</v>
      </c>
      <c r="O948" s="2">
        <f t="shared" si="92"/>
        <v>442.75</v>
      </c>
      <c r="P948" s="2">
        <f t="shared" si="93"/>
        <v>1.6734701591261292</v>
      </c>
      <c r="Q948" s="3">
        <f t="shared" si="94"/>
        <v>0.14939017504234894</v>
      </c>
    </row>
    <row r="949" spans="1:17" x14ac:dyDescent="0.25">
      <c r="A949" t="s">
        <v>1015</v>
      </c>
      <c r="B949" t="s">
        <v>23</v>
      </c>
      <c r="C949" t="s">
        <v>24</v>
      </c>
      <c r="D949" t="str">
        <f t="shared" si="90"/>
        <v>WA</v>
      </c>
      <c r="E949" t="str">
        <f t="shared" si="91"/>
        <v>West</v>
      </c>
      <c r="F949" t="s">
        <v>32</v>
      </c>
      <c r="G949" s="1">
        <v>45065</v>
      </c>
      <c r="H949" s="1">
        <v>45070</v>
      </c>
      <c r="I949" s="1">
        <f t="shared" si="89"/>
        <v>45070</v>
      </c>
      <c r="J949" s="2">
        <v>26.6</v>
      </c>
      <c r="K949" s="2">
        <v>302.89</v>
      </c>
      <c r="L949" t="s">
        <v>15</v>
      </c>
      <c r="M949" s="2">
        <v>1841</v>
      </c>
      <c r="N949" s="2">
        <v>5</v>
      </c>
      <c r="O949" s="2">
        <f t="shared" si="92"/>
        <v>368.2</v>
      </c>
      <c r="P949" s="2">
        <f t="shared" si="93"/>
        <v>1.2156228333718513</v>
      </c>
      <c r="Q949" s="3">
        <f t="shared" si="94"/>
        <v>0.16452471482889733</v>
      </c>
    </row>
    <row r="950" spans="1:17" x14ac:dyDescent="0.25">
      <c r="A950" t="s">
        <v>1016</v>
      </c>
      <c r="B950" t="s">
        <v>49</v>
      </c>
      <c r="C950" t="s">
        <v>81</v>
      </c>
      <c r="D950" t="str">
        <f t="shared" si="90"/>
        <v>CO</v>
      </c>
      <c r="E950" t="str">
        <f t="shared" si="91"/>
        <v>West</v>
      </c>
      <c r="F950" t="s">
        <v>14</v>
      </c>
      <c r="G950" s="1">
        <v>44939</v>
      </c>
      <c r="H950" s="1">
        <v>44943</v>
      </c>
      <c r="I950" s="1">
        <f t="shared" si="89"/>
        <v>44943</v>
      </c>
      <c r="J950" s="2">
        <v>27.5</v>
      </c>
      <c r="K950" s="2">
        <v>272.07</v>
      </c>
      <c r="L950" t="s">
        <v>15</v>
      </c>
      <c r="M950" s="2">
        <v>1875</v>
      </c>
      <c r="N950" s="2">
        <v>4</v>
      </c>
      <c r="O950" s="2">
        <f t="shared" si="92"/>
        <v>468.75</v>
      </c>
      <c r="P950" s="2">
        <f t="shared" si="93"/>
        <v>1.7229021942882348</v>
      </c>
      <c r="Q950" s="3">
        <f t="shared" si="94"/>
        <v>0.14510399999999998</v>
      </c>
    </row>
    <row r="951" spans="1:17" hidden="1" x14ac:dyDescent="0.25">
      <c r="A951" t="s">
        <v>1017</v>
      </c>
      <c r="B951" t="s">
        <v>39</v>
      </c>
      <c r="C951" t="s">
        <v>54</v>
      </c>
      <c r="D951" t="str">
        <f t="shared" si="90"/>
        <v>FL</v>
      </c>
      <c r="E951" t="str">
        <f t="shared" si="91"/>
        <v>Southeast</v>
      </c>
      <c r="F951" t="s">
        <v>32</v>
      </c>
      <c r="G951" s="1">
        <v>45107</v>
      </c>
      <c r="H951" s="1">
        <v>45109</v>
      </c>
      <c r="I951" s="1">
        <f t="shared" si="89"/>
        <v>45109</v>
      </c>
      <c r="J951" s="2">
        <v>30.9</v>
      </c>
      <c r="K951" s="2">
        <v>81.650000000000006</v>
      </c>
      <c r="L951" t="s">
        <v>15</v>
      </c>
      <c r="M951" s="2">
        <v>297</v>
      </c>
      <c r="N951" s="2">
        <v>2</v>
      </c>
      <c r="O951" s="2">
        <f t="shared" si="92"/>
        <v>148.5</v>
      </c>
      <c r="P951" s="2">
        <f t="shared" si="93"/>
        <v>1.8187385180649112</v>
      </c>
      <c r="Q951" s="3">
        <f t="shared" si="94"/>
        <v>0.27491582491582495</v>
      </c>
    </row>
    <row r="952" spans="1:17" hidden="1" x14ac:dyDescent="0.25">
      <c r="A952" t="s">
        <v>1018</v>
      </c>
      <c r="B952" t="s">
        <v>30</v>
      </c>
      <c r="C952" t="s">
        <v>52</v>
      </c>
      <c r="D952" t="str">
        <f t="shared" si="90"/>
        <v>AZ</v>
      </c>
      <c r="E952" t="str">
        <f t="shared" si="91"/>
        <v>Southwest</v>
      </c>
      <c r="F952" t="s">
        <v>14</v>
      </c>
      <c r="G952" s="1">
        <v>45174</v>
      </c>
      <c r="H952" s="1">
        <v>45178</v>
      </c>
      <c r="I952" s="1">
        <f t="shared" si="89"/>
        <v>45178</v>
      </c>
      <c r="J952" s="2">
        <v>11.9</v>
      </c>
      <c r="K952" s="2">
        <v>193.89</v>
      </c>
      <c r="L952" t="s">
        <v>15</v>
      </c>
      <c r="M952" s="2">
        <v>1290</v>
      </c>
      <c r="N952" s="2">
        <v>4</v>
      </c>
      <c r="O952" s="2">
        <f t="shared" si="92"/>
        <v>322.5</v>
      </c>
      <c r="P952" s="2">
        <f t="shared" si="93"/>
        <v>1.6633142503481357</v>
      </c>
      <c r="Q952" s="3">
        <f t="shared" si="94"/>
        <v>0.15030232558139534</v>
      </c>
    </row>
    <row r="953" spans="1:17" x14ac:dyDescent="0.25">
      <c r="A953" t="s">
        <v>1019</v>
      </c>
      <c r="B953" t="s">
        <v>23</v>
      </c>
      <c r="C953" t="s">
        <v>81</v>
      </c>
      <c r="D953" t="str">
        <f t="shared" si="90"/>
        <v>CO</v>
      </c>
      <c r="E953" t="str">
        <f t="shared" si="91"/>
        <v>West</v>
      </c>
      <c r="F953" t="s">
        <v>25</v>
      </c>
      <c r="G953" s="1">
        <v>45151</v>
      </c>
      <c r="H953" s="1">
        <v>45156</v>
      </c>
      <c r="I953" s="1">
        <f t="shared" si="89"/>
        <v>45156</v>
      </c>
      <c r="J953" s="2">
        <v>16.3</v>
      </c>
      <c r="K953" s="2">
        <v>25.2</v>
      </c>
      <c r="L953" t="s">
        <v>15</v>
      </c>
      <c r="M953" s="2">
        <v>2033</v>
      </c>
      <c r="N953" s="2">
        <v>5</v>
      </c>
      <c r="O953" s="2">
        <f t="shared" si="92"/>
        <v>406.6</v>
      </c>
      <c r="P953" s="2">
        <f t="shared" si="93"/>
        <v>16.134920634920636</v>
      </c>
      <c r="Q953" s="3">
        <f t="shared" si="94"/>
        <v>1.2395474667978357E-2</v>
      </c>
    </row>
    <row r="954" spans="1:17" hidden="1" x14ac:dyDescent="0.25">
      <c r="A954" t="s">
        <v>1020</v>
      </c>
      <c r="B954" t="s">
        <v>39</v>
      </c>
      <c r="C954" t="s">
        <v>21</v>
      </c>
      <c r="D954" t="str">
        <f t="shared" si="90"/>
        <v>TX</v>
      </c>
      <c r="E954" t="str">
        <f t="shared" si="91"/>
        <v>Southwest</v>
      </c>
      <c r="F954" t="s">
        <v>14</v>
      </c>
      <c r="G954" s="1">
        <v>45276</v>
      </c>
      <c r="H954" s="1">
        <v>45283</v>
      </c>
      <c r="I954" s="1">
        <f t="shared" si="89"/>
        <v>45283</v>
      </c>
      <c r="J954" s="2">
        <v>24.7</v>
      </c>
      <c r="K954" s="2">
        <v>179.53</v>
      </c>
      <c r="L954" t="s">
        <v>15</v>
      </c>
      <c r="M954" s="2">
        <v>974</v>
      </c>
      <c r="N954" s="2">
        <v>7</v>
      </c>
      <c r="O954" s="2">
        <f t="shared" si="92"/>
        <v>139.14285714285714</v>
      </c>
      <c r="P954" s="2">
        <f t="shared" si="93"/>
        <v>0.77503958749433044</v>
      </c>
      <c r="Q954" s="3">
        <f t="shared" si="94"/>
        <v>0.1843223819301848</v>
      </c>
    </row>
    <row r="955" spans="1:17" x14ac:dyDescent="0.25">
      <c r="A955" t="s">
        <v>1021</v>
      </c>
      <c r="B955" t="s">
        <v>12</v>
      </c>
      <c r="C955" t="s">
        <v>36</v>
      </c>
      <c r="D955" t="str">
        <f t="shared" si="90"/>
        <v>OR</v>
      </c>
      <c r="E955" t="str">
        <f t="shared" si="91"/>
        <v>West</v>
      </c>
      <c r="F955" t="s">
        <v>32</v>
      </c>
      <c r="G955" s="1">
        <v>45220</v>
      </c>
      <c r="H955" s="1">
        <v>45224</v>
      </c>
      <c r="I955" s="1">
        <f t="shared" si="89"/>
        <v>45224</v>
      </c>
      <c r="J955" s="2">
        <v>32.299999999999997</v>
      </c>
      <c r="K955" s="2">
        <v>233.32</v>
      </c>
      <c r="L955" t="s">
        <v>15</v>
      </c>
      <c r="M955" s="2">
        <v>1492</v>
      </c>
      <c r="N955" s="2">
        <v>4</v>
      </c>
      <c r="O955" s="2">
        <f t="shared" si="92"/>
        <v>373</v>
      </c>
      <c r="P955" s="2">
        <f t="shared" si="93"/>
        <v>1.5986627807303275</v>
      </c>
      <c r="Q955" s="3">
        <f t="shared" si="94"/>
        <v>0.15638069705093832</v>
      </c>
    </row>
    <row r="956" spans="1:17" hidden="1" x14ac:dyDescent="0.25">
      <c r="A956" t="s">
        <v>1022</v>
      </c>
      <c r="B956" t="s">
        <v>12</v>
      </c>
      <c r="C956" t="s">
        <v>54</v>
      </c>
      <c r="D956" t="str">
        <f t="shared" si="90"/>
        <v>FL</v>
      </c>
      <c r="E956" t="str">
        <f t="shared" si="91"/>
        <v>Southeast</v>
      </c>
      <c r="F956" t="s">
        <v>14</v>
      </c>
      <c r="G956" s="1">
        <v>45252</v>
      </c>
      <c r="H956" s="1">
        <v>45271</v>
      </c>
      <c r="I956" s="1">
        <f t="shared" si="89"/>
        <v>45271</v>
      </c>
      <c r="J956" s="2">
        <v>32</v>
      </c>
      <c r="K956" s="2">
        <v>348</v>
      </c>
      <c r="L956" t="s">
        <v>47</v>
      </c>
      <c r="M956" s="2">
        <v>2060</v>
      </c>
      <c r="N956" s="2">
        <v>8</v>
      </c>
      <c r="O956" s="2">
        <f t="shared" si="92"/>
        <v>257.5</v>
      </c>
      <c r="P956" s="2">
        <f t="shared" si="93"/>
        <v>0.73994252873563215</v>
      </c>
      <c r="Q956" s="3">
        <f t="shared" si="94"/>
        <v>0.16893203883495145</v>
      </c>
    </row>
    <row r="957" spans="1:17" hidden="1" x14ac:dyDescent="0.25">
      <c r="A957" t="s">
        <v>1023</v>
      </c>
      <c r="B957" t="s">
        <v>56</v>
      </c>
      <c r="C957" t="s">
        <v>31</v>
      </c>
      <c r="D957" t="str">
        <f t="shared" si="90"/>
        <v>NY</v>
      </c>
      <c r="E957" t="str">
        <f t="shared" si="91"/>
        <v>Northeast</v>
      </c>
      <c r="F957" t="s">
        <v>37</v>
      </c>
      <c r="G957" s="1">
        <v>45115</v>
      </c>
      <c r="H957" s="1">
        <v>45128</v>
      </c>
      <c r="I957" s="1">
        <f t="shared" si="89"/>
        <v>45128</v>
      </c>
      <c r="J957" s="2">
        <v>20.2</v>
      </c>
      <c r="K957" s="2">
        <v>248.02</v>
      </c>
      <c r="L957" t="s">
        <v>47</v>
      </c>
      <c r="M957" s="2">
        <v>2051</v>
      </c>
      <c r="N957" s="2">
        <v>5</v>
      </c>
      <c r="O957" s="2">
        <f t="shared" si="92"/>
        <v>410.2</v>
      </c>
      <c r="P957" s="2">
        <f t="shared" si="93"/>
        <v>1.6538988791226512</v>
      </c>
      <c r="Q957" s="3">
        <f t="shared" si="94"/>
        <v>0.12092637737688933</v>
      </c>
    </row>
    <row r="958" spans="1:17" hidden="1" x14ac:dyDescent="0.25">
      <c r="A958" t="s">
        <v>1024</v>
      </c>
      <c r="B958" t="s">
        <v>39</v>
      </c>
      <c r="C958" t="s">
        <v>31</v>
      </c>
      <c r="D958" t="str">
        <f t="shared" si="90"/>
        <v>NY</v>
      </c>
      <c r="E958" t="str">
        <f t="shared" si="91"/>
        <v>Northeast</v>
      </c>
      <c r="F958" t="s">
        <v>14</v>
      </c>
      <c r="G958" s="1">
        <v>45080</v>
      </c>
      <c r="H958" s="1">
        <v>45086</v>
      </c>
      <c r="I958" s="1">
        <f t="shared" si="89"/>
        <v>45086</v>
      </c>
      <c r="J958" s="2">
        <v>17.7</v>
      </c>
      <c r="K958" s="2">
        <v>309.3</v>
      </c>
      <c r="L958" t="s">
        <v>15</v>
      </c>
      <c r="M958" s="2">
        <v>2198</v>
      </c>
      <c r="N958" s="2">
        <v>6</v>
      </c>
      <c r="O958" s="2">
        <f t="shared" si="92"/>
        <v>366.33333333333331</v>
      </c>
      <c r="P958" s="2">
        <f t="shared" si="93"/>
        <v>1.1843948701368681</v>
      </c>
      <c r="Q958" s="3">
        <f t="shared" si="94"/>
        <v>0.14071883530482257</v>
      </c>
    </row>
    <row r="959" spans="1:17" hidden="1" x14ac:dyDescent="0.25">
      <c r="A959" t="s">
        <v>1025</v>
      </c>
      <c r="B959" t="s">
        <v>20</v>
      </c>
      <c r="C959" t="s">
        <v>28</v>
      </c>
      <c r="D959" t="str">
        <f t="shared" si="90"/>
        <v>TX</v>
      </c>
      <c r="E959" t="str">
        <f t="shared" si="91"/>
        <v>Southwest</v>
      </c>
      <c r="F959" t="s">
        <v>42</v>
      </c>
      <c r="G959" s="1">
        <v>45013</v>
      </c>
      <c r="H959" s="1">
        <v>45016</v>
      </c>
      <c r="I959" s="1">
        <f t="shared" si="89"/>
        <v>45016</v>
      </c>
      <c r="J959" s="2">
        <v>19.7</v>
      </c>
      <c r="K959" s="2">
        <v>199</v>
      </c>
      <c r="L959" t="s">
        <v>15</v>
      </c>
      <c r="M959" s="2">
        <v>1435</v>
      </c>
      <c r="N959" s="2">
        <v>3</v>
      </c>
      <c r="O959" s="2">
        <f t="shared" si="92"/>
        <v>478.33333333333331</v>
      </c>
      <c r="P959" s="2">
        <f t="shared" si="93"/>
        <v>2.403685092127303</v>
      </c>
      <c r="Q959" s="3">
        <f t="shared" si="94"/>
        <v>0.13867595818815331</v>
      </c>
    </row>
    <row r="960" spans="1:17" hidden="1" x14ac:dyDescent="0.25">
      <c r="A960" t="s">
        <v>1026</v>
      </c>
      <c r="B960" t="s">
        <v>56</v>
      </c>
      <c r="C960" t="s">
        <v>40</v>
      </c>
      <c r="D960" t="str">
        <f t="shared" si="90"/>
        <v>MI</v>
      </c>
      <c r="E960" t="str">
        <f t="shared" si="91"/>
        <v>Midwest</v>
      </c>
      <c r="F960" t="s">
        <v>37</v>
      </c>
      <c r="G960" s="1">
        <v>45273</v>
      </c>
      <c r="H960" s="1">
        <v>45277</v>
      </c>
      <c r="I960" s="1">
        <f t="shared" si="89"/>
        <v>45277</v>
      </c>
      <c r="J960" s="2">
        <v>23.1</v>
      </c>
      <c r="K960" s="2">
        <v>221.08</v>
      </c>
      <c r="L960" t="s">
        <v>15</v>
      </c>
      <c r="M960" s="2">
        <v>1280</v>
      </c>
      <c r="N960" s="2">
        <v>4</v>
      </c>
      <c r="O960" s="2">
        <f t="shared" si="92"/>
        <v>320</v>
      </c>
      <c r="P960" s="2">
        <f t="shared" si="93"/>
        <v>1.4474398407816174</v>
      </c>
      <c r="Q960" s="3">
        <f t="shared" si="94"/>
        <v>0.17271875</v>
      </c>
    </row>
    <row r="961" spans="1:17" hidden="1" x14ac:dyDescent="0.25">
      <c r="A961" t="s">
        <v>1027</v>
      </c>
      <c r="B961" t="s">
        <v>20</v>
      </c>
      <c r="C961" t="s">
        <v>31</v>
      </c>
      <c r="D961" t="str">
        <f t="shared" si="90"/>
        <v>NY</v>
      </c>
      <c r="E961" t="str">
        <f t="shared" si="91"/>
        <v>Northeast</v>
      </c>
      <c r="F961" t="s">
        <v>18</v>
      </c>
      <c r="G961" s="1">
        <v>45008</v>
      </c>
      <c r="H961" s="1">
        <v>45023</v>
      </c>
      <c r="I961" s="1">
        <f t="shared" si="89"/>
        <v>45023</v>
      </c>
      <c r="J961" s="2">
        <v>9.6</v>
      </c>
      <c r="K961" s="2">
        <v>82.64</v>
      </c>
      <c r="L961" t="s">
        <v>47</v>
      </c>
      <c r="M961" s="2">
        <v>490</v>
      </c>
      <c r="N961" s="2">
        <v>4</v>
      </c>
      <c r="O961" s="2">
        <f t="shared" si="92"/>
        <v>122.5</v>
      </c>
      <c r="P961" s="2">
        <f t="shared" si="93"/>
        <v>1.4823330106485963</v>
      </c>
      <c r="Q961" s="3">
        <f t="shared" si="94"/>
        <v>0.16865306122448981</v>
      </c>
    </row>
    <row r="962" spans="1:17" x14ac:dyDescent="0.25">
      <c r="A962" t="s">
        <v>1028</v>
      </c>
      <c r="B962" t="s">
        <v>49</v>
      </c>
      <c r="C962" t="s">
        <v>70</v>
      </c>
      <c r="D962" t="str">
        <f t="shared" si="90"/>
        <v>CA</v>
      </c>
      <c r="E962" t="str">
        <f t="shared" si="91"/>
        <v>West</v>
      </c>
      <c r="F962" t="s">
        <v>59</v>
      </c>
      <c r="G962" s="1">
        <v>45184</v>
      </c>
      <c r="H962" s="1">
        <v>45188</v>
      </c>
      <c r="I962" s="1">
        <f t="shared" ref="I962:I1025" si="95">IF(H962="", G962 + N962, H962)</f>
        <v>45188</v>
      </c>
      <c r="J962" s="2">
        <v>7.9</v>
      </c>
      <c r="K962" s="2">
        <v>161.43</v>
      </c>
      <c r="L962" t="s">
        <v>15</v>
      </c>
      <c r="M962" s="2">
        <v>1355</v>
      </c>
      <c r="N962" s="2">
        <v>4</v>
      </c>
      <c r="O962" s="2">
        <f t="shared" si="92"/>
        <v>338.75</v>
      </c>
      <c r="P962" s="2">
        <f t="shared" si="93"/>
        <v>2.0984327572322368</v>
      </c>
      <c r="Q962" s="3">
        <f t="shared" si="94"/>
        <v>0.11913653136531366</v>
      </c>
    </row>
    <row r="963" spans="1:17" x14ac:dyDescent="0.25">
      <c r="A963" t="s">
        <v>1029</v>
      </c>
      <c r="B963" t="s">
        <v>12</v>
      </c>
      <c r="C963" t="s">
        <v>36</v>
      </c>
      <c r="D963" t="str">
        <f t="shared" si="90"/>
        <v>OR</v>
      </c>
      <c r="E963" t="str">
        <f t="shared" si="91"/>
        <v>West</v>
      </c>
      <c r="F963" t="s">
        <v>32</v>
      </c>
      <c r="G963" s="1">
        <v>45007</v>
      </c>
      <c r="H963" s="1">
        <v>45010</v>
      </c>
      <c r="I963" s="1">
        <f t="shared" si="95"/>
        <v>45010</v>
      </c>
      <c r="J963" s="2">
        <v>16</v>
      </c>
      <c r="K963" s="2">
        <v>178.47</v>
      </c>
      <c r="L963" t="s">
        <v>15</v>
      </c>
      <c r="M963" s="2">
        <v>1288</v>
      </c>
      <c r="N963" s="2">
        <v>3</v>
      </c>
      <c r="O963" s="2">
        <f t="shared" si="92"/>
        <v>429.33333333333331</v>
      </c>
      <c r="P963" s="2">
        <f t="shared" si="93"/>
        <v>2.4056330662482956</v>
      </c>
      <c r="Q963" s="3">
        <f t="shared" si="94"/>
        <v>0.13856366459627328</v>
      </c>
    </row>
    <row r="964" spans="1:17" x14ac:dyDescent="0.25">
      <c r="A964" t="s">
        <v>1030</v>
      </c>
      <c r="B964" t="s">
        <v>12</v>
      </c>
      <c r="C964" t="s">
        <v>24</v>
      </c>
      <c r="D964" t="str">
        <f t="shared" si="90"/>
        <v>WA</v>
      </c>
      <c r="E964" t="str">
        <f t="shared" si="91"/>
        <v>West</v>
      </c>
      <c r="F964" t="s">
        <v>18</v>
      </c>
      <c r="G964" s="1">
        <v>45020</v>
      </c>
      <c r="H964" s="1">
        <v>45023</v>
      </c>
      <c r="I964" s="1">
        <f t="shared" si="95"/>
        <v>45023</v>
      </c>
      <c r="J964" s="2">
        <v>66.099999999999994</v>
      </c>
      <c r="K964" s="2">
        <v>217.51</v>
      </c>
      <c r="L964" t="s">
        <v>15</v>
      </c>
      <c r="M964" s="2">
        <v>779</v>
      </c>
      <c r="N964" s="2">
        <v>3</v>
      </c>
      <c r="O964" s="2">
        <f t="shared" si="92"/>
        <v>259.66666666666669</v>
      </c>
      <c r="P964" s="2">
        <f t="shared" si="93"/>
        <v>1.1938148437619727</v>
      </c>
      <c r="Q964" s="3">
        <f t="shared" si="94"/>
        <v>0.27921694480102693</v>
      </c>
    </row>
    <row r="965" spans="1:17" hidden="1" x14ac:dyDescent="0.25">
      <c r="A965" t="s">
        <v>1031</v>
      </c>
      <c r="B965" t="s">
        <v>12</v>
      </c>
      <c r="C965" t="s">
        <v>44</v>
      </c>
      <c r="D965" t="str">
        <f t="shared" si="90"/>
        <v>IL</v>
      </c>
      <c r="E965" t="str">
        <f t="shared" si="91"/>
        <v>Midwest</v>
      </c>
      <c r="F965" t="s">
        <v>59</v>
      </c>
      <c r="G965" s="1">
        <v>45149</v>
      </c>
      <c r="H965" s="1">
        <v>45155</v>
      </c>
      <c r="I965" s="1">
        <f t="shared" si="95"/>
        <v>45155</v>
      </c>
      <c r="J965" s="2">
        <v>27</v>
      </c>
      <c r="K965" s="2">
        <v>210.66</v>
      </c>
      <c r="L965" t="s">
        <v>60</v>
      </c>
      <c r="M965" s="2">
        <v>1555</v>
      </c>
      <c r="N965" s="2">
        <v>6</v>
      </c>
      <c r="O965" s="2">
        <f t="shared" si="92"/>
        <v>259.16666666666669</v>
      </c>
      <c r="P965" s="2">
        <f t="shared" si="93"/>
        <v>1.2302604512801039</v>
      </c>
      <c r="Q965" s="3">
        <f t="shared" si="94"/>
        <v>0.13547266881028938</v>
      </c>
    </row>
    <row r="966" spans="1:17" hidden="1" x14ac:dyDescent="0.25">
      <c r="A966" t="s">
        <v>1032</v>
      </c>
      <c r="B966" t="s">
        <v>39</v>
      </c>
      <c r="C966" t="s">
        <v>54</v>
      </c>
      <c r="D966" t="str">
        <f t="shared" si="90"/>
        <v>FL</v>
      </c>
      <c r="E966" t="str">
        <f t="shared" si="91"/>
        <v>Southeast</v>
      </c>
      <c r="F966" t="s">
        <v>18</v>
      </c>
      <c r="G966" s="1">
        <v>45203</v>
      </c>
      <c r="H966" s="1">
        <v>45207</v>
      </c>
      <c r="I966" s="1">
        <f t="shared" si="95"/>
        <v>45207</v>
      </c>
      <c r="J966" s="2">
        <v>20</v>
      </c>
      <c r="K966" s="2">
        <v>276.56</v>
      </c>
      <c r="L966" t="s">
        <v>15</v>
      </c>
      <c r="M966" s="2">
        <v>1631</v>
      </c>
      <c r="N966" s="2">
        <v>4</v>
      </c>
      <c r="O966" s="2">
        <f t="shared" si="92"/>
        <v>407.75</v>
      </c>
      <c r="P966" s="2">
        <f t="shared" si="93"/>
        <v>1.4743636100665316</v>
      </c>
      <c r="Q966" s="3">
        <f t="shared" si="94"/>
        <v>0.16956468424279583</v>
      </c>
    </row>
    <row r="967" spans="1:17" hidden="1" x14ac:dyDescent="0.25">
      <c r="A967" t="s">
        <v>1033</v>
      </c>
      <c r="B967" t="s">
        <v>35</v>
      </c>
      <c r="C967" t="s">
        <v>44</v>
      </c>
      <c r="D967" t="str">
        <f t="shared" si="90"/>
        <v>IL</v>
      </c>
      <c r="E967" t="str">
        <f t="shared" si="91"/>
        <v>Midwest</v>
      </c>
      <c r="F967" t="s">
        <v>14</v>
      </c>
      <c r="G967" s="1">
        <v>45119</v>
      </c>
      <c r="H967" s="1">
        <v>45123</v>
      </c>
      <c r="I967" s="1">
        <f t="shared" si="95"/>
        <v>45123</v>
      </c>
      <c r="J967" s="2">
        <v>45</v>
      </c>
      <c r="K967" s="2">
        <v>108.75</v>
      </c>
      <c r="L967" t="s">
        <v>15</v>
      </c>
      <c r="M967" s="2">
        <v>400</v>
      </c>
      <c r="N967" s="2">
        <v>4</v>
      </c>
      <c r="O967" s="2">
        <f t="shared" si="92"/>
        <v>100</v>
      </c>
      <c r="P967" s="2">
        <f t="shared" si="93"/>
        <v>0.91954022988505746</v>
      </c>
      <c r="Q967" s="3">
        <f t="shared" si="94"/>
        <v>0.27187499999999998</v>
      </c>
    </row>
    <row r="968" spans="1:17" x14ac:dyDescent="0.25">
      <c r="A968" t="s">
        <v>1034</v>
      </c>
      <c r="B968" t="s">
        <v>20</v>
      </c>
      <c r="C968" t="s">
        <v>70</v>
      </c>
      <c r="D968" t="str">
        <f t="shared" si="90"/>
        <v>CA</v>
      </c>
      <c r="E968" t="str">
        <f t="shared" si="91"/>
        <v>West</v>
      </c>
      <c r="F968" t="s">
        <v>25</v>
      </c>
      <c r="G968" s="1">
        <v>45278</v>
      </c>
      <c r="H968" s="1">
        <v>45284</v>
      </c>
      <c r="I968" s="1">
        <f t="shared" si="95"/>
        <v>45284</v>
      </c>
      <c r="J968" s="2">
        <v>42.1</v>
      </c>
      <c r="K968" s="2">
        <v>285.70999999999998</v>
      </c>
      <c r="L968" t="s">
        <v>15</v>
      </c>
      <c r="M968" s="2">
        <v>1460</v>
      </c>
      <c r="N968" s="2">
        <v>6</v>
      </c>
      <c r="O968" s="2">
        <f t="shared" si="92"/>
        <v>243.33333333333334</v>
      </c>
      <c r="P968" s="2">
        <f t="shared" si="93"/>
        <v>0.85167944185829458</v>
      </c>
      <c r="Q968" s="3">
        <f t="shared" si="94"/>
        <v>0.19569178082191779</v>
      </c>
    </row>
    <row r="969" spans="1:17" x14ac:dyDescent="0.25">
      <c r="A969" t="s">
        <v>1035</v>
      </c>
      <c r="B969" t="s">
        <v>49</v>
      </c>
      <c r="C969" t="s">
        <v>81</v>
      </c>
      <c r="D969" t="str">
        <f t="shared" si="90"/>
        <v>CO</v>
      </c>
      <c r="E969" t="str">
        <f t="shared" si="91"/>
        <v>West</v>
      </c>
      <c r="F969" t="s">
        <v>42</v>
      </c>
      <c r="G969" s="1">
        <v>45048</v>
      </c>
      <c r="H969" s="1">
        <v>45052</v>
      </c>
      <c r="I969" s="1">
        <f t="shared" si="95"/>
        <v>45052</v>
      </c>
      <c r="J969" s="2">
        <v>27.6</v>
      </c>
      <c r="K969" s="2">
        <v>151.22</v>
      </c>
      <c r="L969" t="s">
        <v>47</v>
      </c>
      <c r="M969" s="2">
        <v>1095</v>
      </c>
      <c r="N969" s="2">
        <v>3</v>
      </c>
      <c r="O969" s="2">
        <f t="shared" si="92"/>
        <v>365</v>
      </c>
      <c r="P969" s="2">
        <f t="shared" si="93"/>
        <v>2.4137018912842216</v>
      </c>
      <c r="Q969" s="3">
        <f t="shared" si="94"/>
        <v>0.13810045662100456</v>
      </c>
    </row>
    <row r="970" spans="1:17" hidden="1" x14ac:dyDescent="0.25">
      <c r="A970" t="s">
        <v>1036</v>
      </c>
      <c r="B970" t="s">
        <v>56</v>
      </c>
      <c r="C970" t="s">
        <v>17</v>
      </c>
      <c r="D970" t="str">
        <f t="shared" si="90"/>
        <v>GA</v>
      </c>
      <c r="E970" t="str">
        <f t="shared" si="91"/>
        <v>Southeast</v>
      </c>
      <c r="F970" t="s">
        <v>32</v>
      </c>
      <c r="G970" s="1">
        <v>45062</v>
      </c>
      <c r="H970" s="1">
        <v>45064</v>
      </c>
      <c r="I970" s="1">
        <f t="shared" si="95"/>
        <v>45064</v>
      </c>
      <c r="J970" s="2">
        <v>16</v>
      </c>
      <c r="K970" s="2">
        <v>70.650000000000006</v>
      </c>
      <c r="L970" t="s">
        <v>15</v>
      </c>
      <c r="M970" s="2">
        <v>336</v>
      </c>
      <c r="N970" s="2">
        <v>2</v>
      </c>
      <c r="O970" s="2">
        <f t="shared" si="92"/>
        <v>168</v>
      </c>
      <c r="P970" s="2">
        <f t="shared" si="93"/>
        <v>2.3779193205944797</v>
      </c>
      <c r="Q970" s="3">
        <f t="shared" si="94"/>
        <v>0.21026785714285717</v>
      </c>
    </row>
    <row r="971" spans="1:17" x14ac:dyDescent="0.25">
      <c r="A971" t="s">
        <v>1037</v>
      </c>
      <c r="B971" t="s">
        <v>20</v>
      </c>
      <c r="C971" t="s">
        <v>13</v>
      </c>
      <c r="D971" t="str">
        <f t="shared" si="90"/>
        <v>CA</v>
      </c>
      <c r="E971" t="str">
        <f t="shared" si="91"/>
        <v>West</v>
      </c>
      <c r="F971" t="s">
        <v>37</v>
      </c>
      <c r="G971" s="1">
        <v>45278</v>
      </c>
      <c r="H971" s="1">
        <v>45283</v>
      </c>
      <c r="I971" s="1">
        <f t="shared" si="95"/>
        <v>45283</v>
      </c>
      <c r="J971" s="2">
        <v>19</v>
      </c>
      <c r="K971" s="2">
        <v>224</v>
      </c>
      <c r="L971" t="s">
        <v>15</v>
      </c>
      <c r="M971" s="2">
        <v>1524</v>
      </c>
      <c r="N971" s="2">
        <v>5</v>
      </c>
      <c r="O971" s="2">
        <f t="shared" si="92"/>
        <v>304.8</v>
      </c>
      <c r="P971" s="2">
        <f t="shared" si="93"/>
        <v>1.3607142857142858</v>
      </c>
      <c r="Q971" s="3">
        <f t="shared" si="94"/>
        <v>0.14698162729658792</v>
      </c>
    </row>
    <row r="972" spans="1:17" x14ac:dyDescent="0.25">
      <c r="A972" t="s">
        <v>1038</v>
      </c>
      <c r="B972" t="s">
        <v>30</v>
      </c>
      <c r="C972" t="s">
        <v>13</v>
      </c>
      <c r="D972" t="str">
        <f t="shared" si="90"/>
        <v>CA</v>
      </c>
      <c r="E972" t="str">
        <f t="shared" si="91"/>
        <v>West</v>
      </c>
      <c r="F972" t="s">
        <v>25</v>
      </c>
      <c r="G972" s="1">
        <v>44949</v>
      </c>
      <c r="H972" s="1">
        <v>44952</v>
      </c>
      <c r="I972" s="1">
        <f t="shared" si="95"/>
        <v>44952</v>
      </c>
      <c r="J972" s="2">
        <v>10.4</v>
      </c>
      <c r="K972" s="2">
        <v>96.85</v>
      </c>
      <c r="L972" t="s">
        <v>15</v>
      </c>
      <c r="M972" s="2">
        <v>762</v>
      </c>
      <c r="N972" s="2">
        <v>3</v>
      </c>
      <c r="O972" s="2">
        <f t="shared" si="92"/>
        <v>254</v>
      </c>
      <c r="P972" s="2">
        <f t="shared" si="93"/>
        <v>2.6226122870418176</v>
      </c>
      <c r="Q972" s="3">
        <f t="shared" si="94"/>
        <v>0.1270997375328084</v>
      </c>
    </row>
    <row r="973" spans="1:17" x14ac:dyDescent="0.25">
      <c r="A973" t="s">
        <v>1039</v>
      </c>
      <c r="B973" t="s">
        <v>56</v>
      </c>
      <c r="C973" t="s">
        <v>24</v>
      </c>
      <c r="D973" t="str">
        <f t="shared" si="90"/>
        <v>WA</v>
      </c>
      <c r="E973" t="str">
        <f t="shared" si="91"/>
        <v>West</v>
      </c>
      <c r="F973" t="s">
        <v>32</v>
      </c>
      <c r="G973" s="1">
        <v>45066</v>
      </c>
      <c r="H973" s="1">
        <v>45072</v>
      </c>
      <c r="I973" s="1">
        <f t="shared" si="95"/>
        <v>45072</v>
      </c>
      <c r="J973" s="2">
        <v>24.2</v>
      </c>
      <c r="K973" s="2">
        <v>223.55</v>
      </c>
      <c r="L973" t="s">
        <v>62</v>
      </c>
      <c r="M973" s="2">
        <v>1524</v>
      </c>
      <c r="N973" s="2">
        <v>6</v>
      </c>
      <c r="O973" s="2">
        <f t="shared" si="92"/>
        <v>254</v>
      </c>
      <c r="P973" s="2">
        <f t="shared" si="93"/>
        <v>1.1362111384477744</v>
      </c>
      <c r="Q973" s="3">
        <f t="shared" si="94"/>
        <v>0.14668635170603675</v>
      </c>
    </row>
    <row r="974" spans="1:17" hidden="1" x14ac:dyDescent="0.25">
      <c r="A974" t="s">
        <v>1040</v>
      </c>
      <c r="B974" t="s">
        <v>39</v>
      </c>
      <c r="C974" t="s">
        <v>57</v>
      </c>
      <c r="D974" t="str">
        <f t="shared" si="90"/>
        <v>MN</v>
      </c>
      <c r="E974" t="str">
        <f t="shared" si="91"/>
        <v>Midwest</v>
      </c>
      <c r="F974" t="s">
        <v>59</v>
      </c>
      <c r="G974" s="1">
        <v>45180</v>
      </c>
      <c r="H974" s="1">
        <v>45182</v>
      </c>
      <c r="I974" s="1">
        <f t="shared" si="95"/>
        <v>45182</v>
      </c>
      <c r="J974" s="2">
        <v>25.5</v>
      </c>
      <c r="K974" s="2">
        <v>109.88</v>
      </c>
      <c r="L974" t="s">
        <v>15</v>
      </c>
      <c r="M974" s="2">
        <v>688</v>
      </c>
      <c r="N974" s="2">
        <v>2</v>
      </c>
      <c r="O974" s="2">
        <f t="shared" si="92"/>
        <v>344</v>
      </c>
      <c r="P974" s="2">
        <f t="shared" si="93"/>
        <v>3.1306880232981436</v>
      </c>
      <c r="Q974" s="3">
        <f t="shared" si="94"/>
        <v>0.15970930232558139</v>
      </c>
    </row>
    <row r="975" spans="1:17" hidden="1" x14ac:dyDescent="0.25">
      <c r="A975" t="s">
        <v>1041</v>
      </c>
      <c r="B975" t="s">
        <v>30</v>
      </c>
      <c r="C975" t="s">
        <v>40</v>
      </c>
      <c r="D975" t="str">
        <f t="shared" si="90"/>
        <v>MI</v>
      </c>
      <c r="E975" t="str">
        <f t="shared" si="91"/>
        <v>Midwest</v>
      </c>
      <c r="F975" t="s">
        <v>18</v>
      </c>
      <c r="G975" s="1">
        <v>45102</v>
      </c>
      <c r="H975" s="1">
        <v>45107</v>
      </c>
      <c r="I975" s="1">
        <f t="shared" si="95"/>
        <v>45107</v>
      </c>
      <c r="J975" s="2">
        <v>20</v>
      </c>
      <c r="K975" s="2">
        <v>357.86</v>
      </c>
      <c r="L975" t="s">
        <v>15</v>
      </c>
      <c r="M975" s="2">
        <v>2339</v>
      </c>
      <c r="N975" s="2">
        <v>5</v>
      </c>
      <c r="O975" s="2">
        <f t="shared" si="92"/>
        <v>467.8</v>
      </c>
      <c r="P975" s="2">
        <f t="shared" si="93"/>
        <v>1.3072151120549935</v>
      </c>
      <c r="Q975" s="3">
        <f t="shared" si="94"/>
        <v>0.15299700726806328</v>
      </c>
    </row>
    <row r="976" spans="1:17" x14ac:dyDescent="0.25">
      <c r="A976" t="s">
        <v>1042</v>
      </c>
      <c r="B976" t="s">
        <v>12</v>
      </c>
      <c r="C976" t="s">
        <v>36</v>
      </c>
      <c r="D976" t="str">
        <f t="shared" si="90"/>
        <v>OR</v>
      </c>
      <c r="E976" t="str">
        <f t="shared" si="91"/>
        <v>West</v>
      </c>
      <c r="F976" t="s">
        <v>18</v>
      </c>
      <c r="G976" s="1">
        <v>45039</v>
      </c>
      <c r="H976" s="1">
        <v>45045</v>
      </c>
      <c r="I976" s="1">
        <f t="shared" si="95"/>
        <v>45045</v>
      </c>
      <c r="J976" s="2">
        <v>19.100000000000001</v>
      </c>
      <c r="K976" s="2">
        <v>302.52</v>
      </c>
      <c r="L976" t="s">
        <v>15</v>
      </c>
      <c r="M976" s="2">
        <v>2132</v>
      </c>
      <c r="N976" s="2">
        <v>6</v>
      </c>
      <c r="O976" s="2">
        <f t="shared" si="92"/>
        <v>355.33333333333331</v>
      </c>
      <c r="P976" s="2">
        <f t="shared" si="93"/>
        <v>1.1745779893340385</v>
      </c>
      <c r="Q976" s="3">
        <f t="shared" si="94"/>
        <v>0.14189493433395872</v>
      </c>
    </row>
    <row r="977" spans="1:17" hidden="1" x14ac:dyDescent="0.25">
      <c r="A977" t="s">
        <v>1043</v>
      </c>
      <c r="B977" t="s">
        <v>23</v>
      </c>
      <c r="C977" t="s">
        <v>46</v>
      </c>
      <c r="D977" t="str">
        <f t="shared" si="90"/>
        <v>MA</v>
      </c>
      <c r="E977" t="str">
        <f t="shared" si="91"/>
        <v>Northeast</v>
      </c>
      <c r="F977" t="s">
        <v>25</v>
      </c>
      <c r="G977" s="1">
        <v>45287</v>
      </c>
      <c r="H977" s="1">
        <v>45291</v>
      </c>
      <c r="I977" s="1">
        <f t="shared" si="95"/>
        <v>45291</v>
      </c>
      <c r="J977" s="2">
        <v>8</v>
      </c>
      <c r="K977" s="2">
        <v>211.44</v>
      </c>
      <c r="L977" t="s">
        <v>15</v>
      </c>
      <c r="M977" s="2">
        <v>1257</v>
      </c>
      <c r="N977" s="2">
        <v>4</v>
      </c>
      <c r="O977" s="2">
        <f t="shared" si="92"/>
        <v>314.25</v>
      </c>
      <c r="P977" s="2">
        <f t="shared" si="93"/>
        <v>1.4862372304199774</v>
      </c>
      <c r="Q977" s="3">
        <f t="shared" si="94"/>
        <v>0.16821002386634845</v>
      </c>
    </row>
    <row r="978" spans="1:17" x14ac:dyDescent="0.25">
      <c r="A978" t="s">
        <v>1044</v>
      </c>
      <c r="B978" t="s">
        <v>49</v>
      </c>
      <c r="C978" t="s">
        <v>13</v>
      </c>
      <c r="D978" t="str">
        <f t="shared" si="90"/>
        <v>CA</v>
      </c>
      <c r="E978" t="str">
        <f t="shared" si="91"/>
        <v>West</v>
      </c>
      <c r="F978" t="s">
        <v>25</v>
      </c>
      <c r="G978" s="1">
        <v>45259</v>
      </c>
      <c r="H978" s="1">
        <v>45263</v>
      </c>
      <c r="I978" s="1">
        <f t="shared" si="95"/>
        <v>45263</v>
      </c>
      <c r="J978" s="2">
        <v>25.4</v>
      </c>
      <c r="K978" s="2">
        <v>145.24</v>
      </c>
      <c r="L978" t="s">
        <v>15</v>
      </c>
      <c r="M978" s="2">
        <v>749</v>
      </c>
      <c r="N978" s="2">
        <v>4</v>
      </c>
      <c r="O978" s="2">
        <f t="shared" si="92"/>
        <v>187.25</v>
      </c>
      <c r="P978" s="2">
        <f t="shared" si="93"/>
        <v>1.289245386945745</v>
      </c>
      <c r="Q978" s="3">
        <f t="shared" si="94"/>
        <v>0.19391188251001337</v>
      </c>
    </row>
    <row r="979" spans="1:17" hidden="1" x14ac:dyDescent="0.25">
      <c r="A979" t="s">
        <v>1045</v>
      </c>
      <c r="B979" t="s">
        <v>39</v>
      </c>
      <c r="C979" t="s">
        <v>31</v>
      </c>
      <c r="D979" t="str">
        <f t="shared" si="90"/>
        <v>NY</v>
      </c>
      <c r="E979" t="str">
        <f t="shared" si="91"/>
        <v>Northeast</v>
      </c>
      <c r="F979" t="s">
        <v>37</v>
      </c>
      <c r="G979" s="1">
        <v>44970</v>
      </c>
      <c r="H979" s="1">
        <v>44973</v>
      </c>
      <c r="I979" s="1">
        <f t="shared" si="95"/>
        <v>44973</v>
      </c>
      <c r="J979" s="2">
        <v>11.6</v>
      </c>
      <c r="K979" s="2">
        <v>99.14</v>
      </c>
      <c r="L979" t="s">
        <v>15</v>
      </c>
      <c r="M979" s="2">
        <v>773</v>
      </c>
      <c r="N979" s="2">
        <v>3</v>
      </c>
      <c r="O979" s="2">
        <f t="shared" si="92"/>
        <v>257.66666666666669</v>
      </c>
      <c r="P979" s="2">
        <f t="shared" si="93"/>
        <v>2.5990182233878021</v>
      </c>
      <c r="Q979" s="3">
        <f t="shared" si="94"/>
        <v>0.1282535575679172</v>
      </c>
    </row>
    <row r="980" spans="1:17" x14ac:dyDescent="0.25">
      <c r="A980" t="s">
        <v>1046</v>
      </c>
      <c r="B980" t="s">
        <v>30</v>
      </c>
      <c r="C980" t="s">
        <v>81</v>
      </c>
      <c r="D980" t="str">
        <f t="shared" si="90"/>
        <v>CO</v>
      </c>
      <c r="E980" t="str">
        <f t="shared" si="91"/>
        <v>West</v>
      </c>
      <c r="F980" t="s">
        <v>18</v>
      </c>
      <c r="G980" s="1">
        <v>45059</v>
      </c>
      <c r="H980" s="1">
        <v>45062</v>
      </c>
      <c r="I980" s="1">
        <f t="shared" si="95"/>
        <v>45062</v>
      </c>
      <c r="J980" s="2">
        <v>14.9</v>
      </c>
      <c r="K980" s="2">
        <v>55.89</v>
      </c>
      <c r="L980" t="s">
        <v>47</v>
      </c>
      <c r="M980" s="2">
        <v>228</v>
      </c>
      <c r="N980" s="2">
        <v>2</v>
      </c>
      <c r="O980" s="2">
        <f t="shared" si="92"/>
        <v>114</v>
      </c>
      <c r="P980" s="2">
        <f t="shared" si="93"/>
        <v>2.0397208803005906</v>
      </c>
      <c r="Q980" s="3">
        <f t="shared" si="94"/>
        <v>0.24513157894736842</v>
      </c>
    </row>
    <row r="981" spans="1:17" hidden="1" x14ac:dyDescent="0.25">
      <c r="A981" t="s">
        <v>1047</v>
      </c>
      <c r="B981" t="s">
        <v>39</v>
      </c>
      <c r="C981" t="s">
        <v>31</v>
      </c>
      <c r="D981" t="str">
        <f t="shared" si="90"/>
        <v>NY</v>
      </c>
      <c r="E981" t="str">
        <f t="shared" si="91"/>
        <v>Northeast</v>
      </c>
      <c r="F981" t="s">
        <v>42</v>
      </c>
      <c r="G981" s="1">
        <v>45244</v>
      </c>
      <c r="H981" s="1">
        <v>45251</v>
      </c>
      <c r="I981" s="1">
        <f t="shared" si="95"/>
        <v>45251</v>
      </c>
      <c r="J981" s="2">
        <v>19.399999999999999</v>
      </c>
      <c r="K981" s="2">
        <v>348.76</v>
      </c>
      <c r="L981" t="s">
        <v>15</v>
      </c>
      <c r="M981" s="2">
        <v>2417</v>
      </c>
      <c r="N981" s="2">
        <v>7</v>
      </c>
      <c r="O981" s="2">
        <f t="shared" si="92"/>
        <v>345.28571428571428</v>
      </c>
      <c r="P981" s="2">
        <f t="shared" si="93"/>
        <v>0.99003817606868416</v>
      </c>
      <c r="Q981" s="3">
        <f t="shared" si="94"/>
        <v>0.14429458005792303</v>
      </c>
    </row>
    <row r="982" spans="1:17" hidden="1" x14ac:dyDescent="0.25">
      <c r="A982" t="s">
        <v>1048</v>
      </c>
      <c r="B982" t="s">
        <v>56</v>
      </c>
      <c r="C982" t="s">
        <v>44</v>
      </c>
      <c r="D982" t="str">
        <f t="shared" si="90"/>
        <v>IL</v>
      </c>
      <c r="E982" t="str">
        <f t="shared" si="91"/>
        <v>Midwest</v>
      </c>
      <c r="F982" t="s">
        <v>32</v>
      </c>
      <c r="G982" s="1">
        <v>45225</v>
      </c>
      <c r="H982" s="1">
        <v>45228</v>
      </c>
      <c r="I982" s="1">
        <f t="shared" si="95"/>
        <v>45228</v>
      </c>
      <c r="J982" s="2">
        <v>3.4</v>
      </c>
      <c r="K982" s="2">
        <v>77.16</v>
      </c>
      <c r="L982" t="s">
        <v>15</v>
      </c>
      <c r="M982" s="2">
        <v>500</v>
      </c>
      <c r="N982" s="2">
        <v>3</v>
      </c>
      <c r="O982" s="2">
        <f t="shared" si="92"/>
        <v>166.66666666666666</v>
      </c>
      <c r="P982" s="2">
        <f t="shared" si="93"/>
        <v>2.1600138240884741</v>
      </c>
      <c r="Q982" s="3">
        <f t="shared" si="94"/>
        <v>0.15431999999999998</v>
      </c>
    </row>
    <row r="983" spans="1:17" hidden="1" x14ac:dyDescent="0.25">
      <c r="A983" t="s">
        <v>1049</v>
      </c>
      <c r="B983" t="s">
        <v>23</v>
      </c>
      <c r="C983" t="s">
        <v>40</v>
      </c>
      <c r="D983" t="str">
        <f t="shared" si="90"/>
        <v>MI</v>
      </c>
      <c r="E983" t="str">
        <f t="shared" si="91"/>
        <v>Midwest</v>
      </c>
      <c r="F983" t="s">
        <v>59</v>
      </c>
      <c r="G983" s="1">
        <v>44942</v>
      </c>
      <c r="H983" s="1">
        <v>44945</v>
      </c>
      <c r="I983" s="1">
        <f t="shared" si="95"/>
        <v>44945</v>
      </c>
      <c r="J983" s="2">
        <v>50.5</v>
      </c>
      <c r="K983" s="2">
        <v>116.2</v>
      </c>
      <c r="L983" t="s">
        <v>15</v>
      </c>
      <c r="M983" s="2">
        <v>493</v>
      </c>
      <c r="N983" s="2">
        <v>3</v>
      </c>
      <c r="O983" s="2">
        <f t="shared" si="92"/>
        <v>164.33333333333334</v>
      </c>
      <c r="P983" s="2">
        <f t="shared" si="93"/>
        <v>1.4142283419391855</v>
      </c>
      <c r="Q983" s="3">
        <f t="shared" si="94"/>
        <v>0.23569979716024342</v>
      </c>
    </row>
    <row r="984" spans="1:17" hidden="1" x14ac:dyDescent="0.25">
      <c r="A984" t="s">
        <v>1050</v>
      </c>
      <c r="B984" t="s">
        <v>30</v>
      </c>
      <c r="C984" t="s">
        <v>57</v>
      </c>
      <c r="D984" t="str">
        <f t="shared" si="90"/>
        <v>MN</v>
      </c>
      <c r="E984" t="str">
        <f t="shared" si="91"/>
        <v>Midwest</v>
      </c>
      <c r="F984" t="s">
        <v>18</v>
      </c>
      <c r="G984" s="1">
        <v>45143</v>
      </c>
      <c r="H984" s="1">
        <v>45157</v>
      </c>
      <c r="I984" s="1">
        <f t="shared" si="95"/>
        <v>45157</v>
      </c>
      <c r="J984" s="2">
        <v>29.7</v>
      </c>
      <c r="K984" s="2">
        <v>98.25</v>
      </c>
      <c r="L984" t="s">
        <v>47</v>
      </c>
      <c r="M984" s="2">
        <v>456</v>
      </c>
      <c r="N984" s="2">
        <v>1</v>
      </c>
      <c r="O984" s="2">
        <f t="shared" si="92"/>
        <v>456</v>
      </c>
      <c r="P984" s="2">
        <f t="shared" si="93"/>
        <v>4.6412213740458013</v>
      </c>
      <c r="Q984" s="3">
        <f t="shared" si="94"/>
        <v>0.21546052631578946</v>
      </c>
    </row>
    <row r="985" spans="1:17" x14ac:dyDescent="0.25">
      <c r="A985" t="s">
        <v>1051</v>
      </c>
      <c r="B985" t="s">
        <v>12</v>
      </c>
      <c r="C985" t="s">
        <v>70</v>
      </c>
      <c r="D985" t="str">
        <f t="shared" si="90"/>
        <v>CA</v>
      </c>
      <c r="E985" t="str">
        <f t="shared" si="91"/>
        <v>West</v>
      </c>
      <c r="F985" t="s">
        <v>37</v>
      </c>
      <c r="G985" s="1">
        <v>45291</v>
      </c>
      <c r="H985" s="1">
        <v>45296</v>
      </c>
      <c r="I985" s="1">
        <f t="shared" si="95"/>
        <v>45296</v>
      </c>
      <c r="J985" s="2">
        <v>11.7</v>
      </c>
      <c r="K985" s="2">
        <v>108.46</v>
      </c>
      <c r="L985" t="s">
        <v>15</v>
      </c>
      <c r="M985" s="2">
        <v>612</v>
      </c>
      <c r="N985" s="2">
        <v>5</v>
      </c>
      <c r="O985" s="2">
        <f t="shared" si="92"/>
        <v>122.4</v>
      </c>
      <c r="P985" s="2">
        <f t="shared" si="93"/>
        <v>1.1285266457680252</v>
      </c>
      <c r="Q985" s="3">
        <f t="shared" si="94"/>
        <v>0.17722222222222223</v>
      </c>
    </row>
    <row r="986" spans="1:17" hidden="1" x14ac:dyDescent="0.25">
      <c r="A986" t="s">
        <v>1052</v>
      </c>
      <c r="B986" t="s">
        <v>30</v>
      </c>
      <c r="C986" t="s">
        <v>17</v>
      </c>
      <c r="D986" t="str">
        <f t="shared" si="90"/>
        <v>GA</v>
      </c>
      <c r="E986" t="str">
        <f t="shared" si="91"/>
        <v>Southeast</v>
      </c>
      <c r="F986" t="s">
        <v>25</v>
      </c>
      <c r="G986" s="1">
        <v>45209</v>
      </c>
      <c r="H986" s="1">
        <v>45214</v>
      </c>
      <c r="I986" s="1">
        <f t="shared" si="95"/>
        <v>45214</v>
      </c>
      <c r="J986" s="2">
        <v>0.3</v>
      </c>
      <c r="K986" s="2">
        <v>281.60000000000002</v>
      </c>
      <c r="L986" t="s">
        <v>15</v>
      </c>
      <c r="M986" s="2">
        <v>2137</v>
      </c>
      <c r="N986" s="2">
        <v>5</v>
      </c>
      <c r="O986" s="2">
        <f t="shared" si="92"/>
        <v>427.4</v>
      </c>
      <c r="P986" s="2">
        <f t="shared" si="93"/>
        <v>1.5177556818181817</v>
      </c>
      <c r="Q986" s="3">
        <f t="shared" si="94"/>
        <v>0.13177351427234441</v>
      </c>
    </row>
    <row r="987" spans="1:17" hidden="1" x14ac:dyDescent="0.25">
      <c r="A987" t="s">
        <v>1053</v>
      </c>
      <c r="B987" t="s">
        <v>49</v>
      </c>
      <c r="C987" t="s">
        <v>17</v>
      </c>
      <c r="D987" t="str">
        <f t="shared" si="90"/>
        <v>GA</v>
      </c>
      <c r="E987" t="str">
        <f t="shared" si="91"/>
        <v>Southeast</v>
      </c>
      <c r="F987" t="s">
        <v>18</v>
      </c>
      <c r="G987" s="1">
        <v>45226</v>
      </c>
      <c r="H987" s="1">
        <v>45229</v>
      </c>
      <c r="I987" s="1">
        <f t="shared" si="95"/>
        <v>45229</v>
      </c>
      <c r="J987" s="2">
        <v>27.6</v>
      </c>
      <c r="K987" s="2">
        <v>157</v>
      </c>
      <c r="L987" t="s">
        <v>15</v>
      </c>
      <c r="M987" s="2">
        <v>850</v>
      </c>
      <c r="N987" s="2">
        <v>3</v>
      </c>
      <c r="O987" s="2">
        <f t="shared" si="92"/>
        <v>283.33333333333331</v>
      </c>
      <c r="P987" s="2">
        <f t="shared" si="93"/>
        <v>1.8046709129511675</v>
      </c>
      <c r="Q987" s="3">
        <f t="shared" si="94"/>
        <v>0.18470588235294116</v>
      </c>
    </row>
    <row r="988" spans="1:17" hidden="1" x14ac:dyDescent="0.25">
      <c r="A988" t="s">
        <v>1054</v>
      </c>
      <c r="B988" t="s">
        <v>35</v>
      </c>
      <c r="C988" t="s">
        <v>40</v>
      </c>
      <c r="D988" t="str">
        <f t="shared" si="90"/>
        <v>MI</v>
      </c>
      <c r="E988" t="str">
        <f t="shared" si="91"/>
        <v>Midwest</v>
      </c>
      <c r="F988" t="s">
        <v>37</v>
      </c>
      <c r="G988" s="1">
        <v>45158</v>
      </c>
      <c r="H988" s="1">
        <v>45163</v>
      </c>
      <c r="I988" s="1">
        <f t="shared" si="95"/>
        <v>45163</v>
      </c>
      <c r="J988" s="2">
        <v>6.9</v>
      </c>
      <c r="K988" s="2">
        <v>39.81</v>
      </c>
      <c r="L988" t="s">
        <v>47</v>
      </c>
      <c r="M988" s="2">
        <v>283</v>
      </c>
      <c r="N988" s="2">
        <v>3</v>
      </c>
      <c r="O988" s="2">
        <f t="shared" si="92"/>
        <v>94.333333333333329</v>
      </c>
      <c r="P988" s="2">
        <f t="shared" si="93"/>
        <v>2.3695888805157832</v>
      </c>
      <c r="Q988" s="3">
        <f t="shared" si="94"/>
        <v>0.1406713780918728</v>
      </c>
    </row>
    <row r="989" spans="1:17" hidden="1" x14ac:dyDescent="0.25">
      <c r="A989" t="s">
        <v>1055</v>
      </c>
      <c r="B989" t="s">
        <v>56</v>
      </c>
      <c r="C989" t="s">
        <v>57</v>
      </c>
      <c r="D989" t="str">
        <f t="shared" si="90"/>
        <v>MN</v>
      </c>
      <c r="E989" t="str">
        <f t="shared" si="91"/>
        <v>Midwest</v>
      </c>
      <c r="F989" t="s">
        <v>32</v>
      </c>
      <c r="G989" s="1">
        <v>44992</v>
      </c>
      <c r="H989" s="1">
        <v>45004</v>
      </c>
      <c r="I989" s="1">
        <f t="shared" si="95"/>
        <v>45004</v>
      </c>
      <c r="J989" s="2">
        <v>5.4</v>
      </c>
      <c r="K989" s="2">
        <v>184.97</v>
      </c>
      <c r="L989" t="s">
        <v>47</v>
      </c>
      <c r="M989" s="2">
        <v>1364</v>
      </c>
      <c r="N989" s="2">
        <v>6</v>
      </c>
      <c r="O989" s="2">
        <f t="shared" si="92"/>
        <v>227.33333333333334</v>
      </c>
      <c r="P989" s="2">
        <f t="shared" si="93"/>
        <v>1.2290281306878594</v>
      </c>
      <c r="Q989" s="3">
        <f t="shared" si="94"/>
        <v>0.13560850439882699</v>
      </c>
    </row>
    <row r="990" spans="1:17" hidden="1" x14ac:dyDescent="0.25">
      <c r="A990" t="s">
        <v>1056</v>
      </c>
      <c r="B990" t="s">
        <v>23</v>
      </c>
      <c r="C990" t="s">
        <v>52</v>
      </c>
      <c r="D990" t="str">
        <f t="shared" si="90"/>
        <v>AZ</v>
      </c>
      <c r="E990" t="str">
        <f t="shared" si="91"/>
        <v>Southwest</v>
      </c>
      <c r="F990" t="s">
        <v>18</v>
      </c>
      <c r="G990" s="1">
        <v>45147</v>
      </c>
      <c r="H990" s="1">
        <v>45153</v>
      </c>
      <c r="I990" s="1">
        <f t="shared" si="95"/>
        <v>45153</v>
      </c>
      <c r="J990" s="2">
        <v>20.6</v>
      </c>
      <c r="K990" s="2">
        <v>317.60000000000002</v>
      </c>
      <c r="L990" t="s">
        <v>15</v>
      </c>
      <c r="M990" s="2">
        <v>1975</v>
      </c>
      <c r="N990" s="2">
        <v>6</v>
      </c>
      <c r="O990" s="2">
        <f t="shared" si="92"/>
        <v>329.16666666666669</v>
      </c>
      <c r="P990" s="2">
        <f t="shared" si="93"/>
        <v>1.0364189756507136</v>
      </c>
      <c r="Q990" s="3">
        <f t="shared" si="94"/>
        <v>0.1608101265822785</v>
      </c>
    </row>
    <row r="991" spans="1:17" hidden="1" x14ac:dyDescent="0.25">
      <c r="A991" t="s">
        <v>1057</v>
      </c>
      <c r="B991" t="s">
        <v>51</v>
      </c>
      <c r="C991" t="s">
        <v>44</v>
      </c>
      <c r="D991" t="str">
        <f t="shared" si="90"/>
        <v>IL</v>
      </c>
      <c r="E991" t="str">
        <f t="shared" si="91"/>
        <v>Midwest</v>
      </c>
      <c r="F991" t="s">
        <v>42</v>
      </c>
      <c r="G991" s="1">
        <v>45035</v>
      </c>
      <c r="H991" s="1">
        <v>45038</v>
      </c>
      <c r="I991" s="1">
        <f t="shared" si="95"/>
        <v>45038</v>
      </c>
      <c r="J991" s="2">
        <v>10.1</v>
      </c>
      <c r="K991" s="2">
        <v>104.49</v>
      </c>
      <c r="L991" t="s">
        <v>15</v>
      </c>
      <c r="M991" s="2">
        <v>790</v>
      </c>
      <c r="N991" s="2">
        <v>3</v>
      </c>
      <c r="O991" s="2">
        <f t="shared" si="92"/>
        <v>263.33333333333331</v>
      </c>
      <c r="P991" s="2">
        <f t="shared" si="93"/>
        <v>2.5201773694452418</v>
      </c>
      <c r="Q991" s="3">
        <f t="shared" si="94"/>
        <v>0.13226582278481011</v>
      </c>
    </row>
    <row r="992" spans="1:17" hidden="1" x14ac:dyDescent="0.25">
      <c r="A992" t="s">
        <v>1058</v>
      </c>
      <c r="B992" t="s">
        <v>12</v>
      </c>
      <c r="C992" t="s">
        <v>31</v>
      </c>
      <c r="D992" t="str">
        <f t="shared" si="90"/>
        <v>NY</v>
      </c>
      <c r="E992" t="str">
        <f t="shared" si="91"/>
        <v>Northeast</v>
      </c>
      <c r="F992" t="s">
        <v>18</v>
      </c>
      <c r="G992" s="1">
        <v>45229</v>
      </c>
      <c r="H992" s="1">
        <v>45234</v>
      </c>
      <c r="I992" s="1">
        <f t="shared" si="95"/>
        <v>45234</v>
      </c>
      <c r="J992" s="2">
        <v>17</v>
      </c>
      <c r="K992" s="2">
        <v>252.92</v>
      </c>
      <c r="L992" t="s">
        <v>15</v>
      </c>
      <c r="M992" s="2">
        <v>1685</v>
      </c>
      <c r="N992" s="2">
        <v>5</v>
      </c>
      <c r="O992" s="2">
        <f t="shared" si="92"/>
        <v>337</v>
      </c>
      <c r="P992" s="2">
        <f t="shared" si="93"/>
        <v>1.3324371342717065</v>
      </c>
      <c r="Q992" s="3">
        <f t="shared" si="94"/>
        <v>0.15010089020771514</v>
      </c>
    </row>
    <row r="993" spans="1:17" x14ac:dyDescent="0.25">
      <c r="A993" t="s">
        <v>1059</v>
      </c>
      <c r="B993" t="s">
        <v>35</v>
      </c>
      <c r="C993" t="s">
        <v>81</v>
      </c>
      <c r="D993" t="str">
        <f t="shared" si="90"/>
        <v>CO</v>
      </c>
      <c r="E993" t="str">
        <f t="shared" si="91"/>
        <v>West</v>
      </c>
      <c r="F993" t="s">
        <v>32</v>
      </c>
      <c r="G993" s="1">
        <v>45184</v>
      </c>
      <c r="H993" s="1">
        <v>45187</v>
      </c>
      <c r="I993" s="1">
        <f t="shared" si="95"/>
        <v>45187</v>
      </c>
      <c r="J993" s="2">
        <v>30.9</v>
      </c>
      <c r="K993" s="2">
        <v>179.89</v>
      </c>
      <c r="L993" t="s">
        <v>15</v>
      </c>
      <c r="M993" s="2">
        <v>1000</v>
      </c>
      <c r="N993" s="2">
        <v>3</v>
      </c>
      <c r="O993" s="2">
        <f t="shared" si="92"/>
        <v>333.33333333333331</v>
      </c>
      <c r="P993" s="2">
        <f t="shared" si="93"/>
        <v>1.8529842311041933</v>
      </c>
      <c r="Q993" s="3">
        <f t="shared" si="94"/>
        <v>0.17988999999999999</v>
      </c>
    </row>
    <row r="994" spans="1:17" hidden="1" x14ac:dyDescent="0.25">
      <c r="A994" t="s">
        <v>1060</v>
      </c>
      <c r="B994" t="s">
        <v>49</v>
      </c>
      <c r="C994" t="s">
        <v>21</v>
      </c>
      <c r="D994" t="str">
        <f t="shared" si="90"/>
        <v>TX</v>
      </c>
      <c r="E994" t="str">
        <f t="shared" si="91"/>
        <v>Southwest</v>
      </c>
      <c r="F994" t="s">
        <v>25</v>
      </c>
      <c r="G994" s="1">
        <v>45042</v>
      </c>
      <c r="H994" s="1">
        <v>45048</v>
      </c>
      <c r="I994" s="1">
        <f t="shared" si="95"/>
        <v>45048</v>
      </c>
      <c r="J994" s="2">
        <v>8.1999999999999993</v>
      </c>
      <c r="K994" s="2">
        <v>306.04000000000002</v>
      </c>
      <c r="L994" t="s">
        <v>15</v>
      </c>
      <c r="M994" s="2">
        <v>2254</v>
      </c>
      <c r="N994" s="2">
        <v>6</v>
      </c>
      <c r="O994" s="2">
        <f t="shared" si="92"/>
        <v>375.66666666666669</v>
      </c>
      <c r="P994" s="2">
        <f t="shared" si="93"/>
        <v>1.2275083867032632</v>
      </c>
      <c r="Q994" s="3">
        <f t="shared" si="94"/>
        <v>0.13577639751552795</v>
      </c>
    </row>
    <row r="995" spans="1:17" hidden="1" x14ac:dyDescent="0.25">
      <c r="A995" t="s">
        <v>1061</v>
      </c>
      <c r="B995" t="s">
        <v>20</v>
      </c>
      <c r="C995" t="s">
        <v>17</v>
      </c>
      <c r="D995" t="str">
        <f t="shared" si="90"/>
        <v>GA</v>
      </c>
      <c r="E995" t="str">
        <f t="shared" si="91"/>
        <v>Southeast</v>
      </c>
      <c r="F995" t="s">
        <v>32</v>
      </c>
      <c r="G995" s="1">
        <v>45088</v>
      </c>
      <c r="H995" s="1">
        <v>45093</v>
      </c>
      <c r="I995" s="1">
        <f t="shared" si="95"/>
        <v>45093</v>
      </c>
      <c r="J995" s="2">
        <v>37.6</v>
      </c>
      <c r="K995" s="2">
        <v>305.62</v>
      </c>
      <c r="L995" t="s">
        <v>15</v>
      </c>
      <c r="M995" s="2">
        <v>1761</v>
      </c>
      <c r="N995" s="2">
        <v>5</v>
      </c>
      <c r="O995" s="2">
        <f t="shared" si="92"/>
        <v>352.2</v>
      </c>
      <c r="P995" s="2">
        <f t="shared" si="93"/>
        <v>1.1524114913945422</v>
      </c>
      <c r="Q995" s="3">
        <f t="shared" si="94"/>
        <v>0.17354911981828508</v>
      </c>
    </row>
    <row r="996" spans="1:17" x14ac:dyDescent="0.25">
      <c r="A996" t="s">
        <v>1062</v>
      </c>
      <c r="B996" t="s">
        <v>30</v>
      </c>
      <c r="C996" t="s">
        <v>81</v>
      </c>
      <c r="D996" t="str">
        <f t="shared" si="90"/>
        <v>CO</v>
      </c>
      <c r="E996" t="str">
        <f t="shared" si="91"/>
        <v>West</v>
      </c>
      <c r="F996" t="s">
        <v>32</v>
      </c>
      <c r="G996" s="1">
        <v>45074</v>
      </c>
      <c r="H996" s="1">
        <v>45080</v>
      </c>
      <c r="I996" s="1">
        <f t="shared" si="95"/>
        <v>45080</v>
      </c>
      <c r="J996" s="2">
        <v>78.7</v>
      </c>
      <c r="K996" s="2">
        <v>309.33</v>
      </c>
      <c r="L996" t="s">
        <v>15</v>
      </c>
      <c r="M996" s="2">
        <v>1394</v>
      </c>
      <c r="N996" s="2">
        <v>6</v>
      </c>
      <c r="O996" s="2">
        <f t="shared" si="92"/>
        <v>232.33333333333334</v>
      </c>
      <c r="P996" s="2">
        <f t="shared" si="93"/>
        <v>0.75108567980258412</v>
      </c>
      <c r="Q996" s="3">
        <f t="shared" si="94"/>
        <v>0.22190100430416068</v>
      </c>
    </row>
    <row r="997" spans="1:17" x14ac:dyDescent="0.25">
      <c r="A997" t="s">
        <v>1063</v>
      </c>
      <c r="B997" t="s">
        <v>35</v>
      </c>
      <c r="C997" t="s">
        <v>70</v>
      </c>
      <c r="D997" t="str">
        <f t="shared" si="90"/>
        <v>CA</v>
      </c>
      <c r="E997" t="str">
        <f t="shared" si="91"/>
        <v>West</v>
      </c>
      <c r="F997" t="s">
        <v>59</v>
      </c>
      <c r="G997" s="1">
        <v>45256</v>
      </c>
      <c r="H997" s="1">
        <v>45260</v>
      </c>
      <c r="I997" s="1">
        <f t="shared" si="95"/>
        <v>45260</v>
      </c>
      <c r="J997" s="2">
        <v>59.8</v>
      </c>
      <c r="K997" s="2">
        <v>203.1</v>
      </c>
      <c r="L997" t="s">
        <v>15</v>
      </c>
      <c r="M997" s="2">
        <v>789</v>
      </c>
      <c r="N997" s="2">
        <v>4</v>
      </c>
      <c r="O997" s="2">
        <f t="shared" si="92"/>
        <v>197.25</v>
      </c>
      <c r="P997" s="2">
        <f t="shared" si="93"/>
        <v>0.97119645494830131</v>
      </c>
      <c r="Q997" s="3">
        <f t="shared" si="94"/>
        <v>0.25741444866920149</v>
      </c>
    </row>
    <row r="998" spans="1:17" hidden="1" x14ac:dyDescent="0.25">
      <c r="A998" t="s">
        <v>1064</v>
      </c>
      <c r="B998" t="s">
        <v>12</v>
      </c>
      <c r="C998" t="s">
        <v>21</v>
      </c>
      <c r="D998" t="str">
        <f t="shared" si="90"/>
        <v>TX</v>
      </c>
      <c r="E998" t="str">
        <f t="shared" si="91"/>
        <v>Southwest</v>
      </c>
      <c r="F998" t="s">
        <v>42</v>
      </c>
      <c r="G998" s="1">
        <v>45152</v>
      </c>
      <c r="H998" s="1">
        <v>45157</v>
      </c>
      <c r="I998" s="1">
        <f t="shared" si="95"/>
        <v>45157</v>
      </c>
      <c r="J998" s="2">
        <v>21.4</v>
      </c>
      <c r="K998" s="2">
        <v>113.32</v>
      </c>
      <c r="L998" t="s">
        <v>60</v>
      </c>
      <c r="M998" s="2">
        <v>790</v>
      </c>
      <c r="N998" s="2">
        <v>5</v>
      </c>
      <c r="O998" s="2">
        <f t="shared" si="92"/>
        <v>158</v>
      </c>
      <c r="P998" s="2">
        <f t="shared" si="93"/>
        <v>1.3942816801976703</v>
      </c>
      <c r="Q998" s="3">
        <f t="shared" si="94"/>
        <v>0.14344303797468352</v>
      </c>
    </row>
    <row r="999" spans="1:17" hidden="1" x14ac:dyDescent="0.25">
      <c r="A999" t="s">
        <v>1065</v>
      </c>
      <c r="B999" t="s">
        <v>30</v>
      </c>
      <c r="C999" t="s">
        <v>28</v>
      </c>
      <c r="D999" t="str">
        <f t="shared" si="90"/>
        <v>TX</v>
      </c>
      <c r="E999" t="str">
        <f t="shared" si="91"/>
        <v>Southwest</v>
      </c>
      <c r="F999" t="s">
        <v>25</v>
      </c>
      <c r="G999" s="1">
        <v>45058</v>
      </c>
      <c r="H999" s="1">
        <v>45064</v>
      </c>
      <c r="I999" s="1">
        <f t="shared" si="95"/>
        <v>45064</v>
      </c>
      <c r="J999" s="2">
        <v>50.3</v>
      </c>
      <c r="K999" s="2">
        <v>257.68</v>
      </c>
      <c r="L999" t="s">
        <v>15</v>
      </c>
      <c r="M999" s="2">
        <v>1485</v>
      </c>
      <c r="N999" s="2">
        <v>6</v>
      </c>
      <c r="O999" s="2">
        <f t="shared" si="92"/>
        <v>247.5</v>
      </c>
      <c r="P999" s="2">
        <f t="shared" si="93"/>
        <v>0.96049363551692024</v>
      </c>
      <c r="Q999" s="3">
        <f t="shared" si="94"/>
        <v>0.17352188552188552</v>
      </c>
    </row>
    <row r="1000" spans="1:17" x14ac:dyDescent="0.25">
      <c r="A1000" t="s">
        <v>1066</v>
      </c>
      <c r="B1000" t="s">
        <v>49</v>
      </c>
      <c r="C1000" t="s">
        <v>13</v>
      </c>
      <c r="D1000" t="str">
        <f t="shared" si="90"/>
        <v>CA</v>
      </c>
      <c r="E1000" t="str">
        <f t="shared" si="91"/>
        <v>West</v>
      </c>
      <c r="F1000" t="s">
        <v>37</v>
      </c>
      <c r="G1000" s="1">
        <v>45144</v>
      </c>
      <c r="H1000" s="1">
        <v>45148</v>
      </c>
      <c r="I1000" s="1">
        <f t="shared" si="95"/>
        <v>45148</v>
      </c>
      <c r="J1000" s="2">
        <v>23.7</v>
      </c>
      <c r="K1000" s="2">
        <v>280.45</v>
      </c>
      <c r="L1000" t="s">
        <v>67</v>
      </c>
      <c r="M1000" s="2">
        <v>2017</v>
      </c>
      <c r="N1000" s="2">
        <v>4</v>
      </c>
      <c r="O1000" s="2">
        <f t="shared" si="92"/>
        <v>504.25</v>
      </c>
      <c r="P1000" s="2">
        <f t="shared" si="93"/>
        <v>1.798003209128187</v>
      </c>
      <c r="Q1000" s="3">
        <f t="shared" si="94"/>
        <v>0.13904313336638571</v>
      </c>
    </row>
    <row r="1001" spans="1:17" hidden="1" x14ac:dyDescent="0.25">
      <c r="A1001" t="s">
        <v>1067</v>
      </c>
      <c r="B1001" t="s">
        <v>12</v>
      </c>
      <c r="C1001" t="s">
        <v>40</v>
      </c>
      <c r="D1001" t="str">
        <f t="shared" si="90"/>
        <v>MI</v>
      </c>
      <c r="E1001" t="str">
        <f t="shared" si="91"/>
        <v>Midwest</v>
      </c>
      <c r="F1001" t="s">
        <v>14</v>
      </c>
      <c r="G1001" s="1">
        <v>44979</v>
      </c>
      <c r="H1001" s="1">
        <v>44984</v>
      </c>
      <c r="I1001" s="1">
        <f t="shared" si="95"/>
        <v>44984</v>
      </c>
      <c r="J1001" s="2">
        <v>43.5</v>
      </c>
      <c r="K1001" s="2">
        <v>324.49</v>
      </c>
      <c r="L1001" t="s">
        <v>15</v>
      </c>
      <c r="M1001" s="2">
        <v>2021</v>
      </c>
      <c r="N1001" s="2">
        <v>5</v>
      </c>
      <c r="O1001" s="2">
        <f t="shared" si="92"/>
        <v>404.2</v>
      </c>
      <c r="P1001" s="2">
        <f t="shared" si="93"/>
        <v>1.2456470153163426</v>
      </c>
      <c r="Q1001" s="3">
        <f t="shared" si="94"/>
        <v>0.16055912914398812</v>
      </c>
    </row>
    <row r="1002" spans="1:17" x14ac:dyDescent="0.25">
      <c r="A1002" t="s">
        <v>1069</v>
      </c>
      <c r="B1002" t="s">
        <v>51</v>
      </c>
      <c r="C1002" t="s">
        <v>81</v>
      </c>
      <c r="D1002" t="str">
        <f t="shared" si="90"/>
        <v>CO</v>
      </c>
      <c r="E1002" t="str">
        <f t="shared" si="91"/>
        <v>West</v>
      </c>
      <c r="F1002" t="s">
        <v>25</v>
      </c>
      <c r="G1002" s="1">
        <v>45013</v>
      </c>
      <c r="H1002" s="1">
        <v>45020</v>
      </c>
      <c r="I1002" s="1">
        <f t="shared" si="95"/>
        <v>45020</v>
      </c>
      <c r="J1002" s="2">
        <v>16.7</v>
      </c>
      <c r="K1002" s="2">
        <v>200.43</v>
      </c>
      <c r="L1002" t="s">
        <v>15</v>
      </c>
      <c r="M1002" s="2">
        <v>1466</v>
      </c>
      <c r="N1002" s="2">
        <v>7</v>
      </c>
      <c r="O1002" s="2">
        <f t="shared" si="92"/>
        <v>209.42857142857142</v>
      </c>
      <c r="P1002" s="2">
        <f t="shared" si="93"/>
        <v>1.0448963300332854</v>
      </c>
      <c r="Q1002" s="3">
        <f t="shared" si="94"/>
        <v>0.13671896316507504</v>
      </c>
    </row>
    <row r="1003" spans="1:17" hidden="1" x14ac:dyDescent="0.25">
      <c r="A1003" t="s">
        <v>1070</v>
      </c>
      <c r="B1003" t="s">
        <v>23</v>
      </c>
      <c r="C1003" t="s">
        <v>46</v>
      </c>
      <c r="D1003" t="str">
        <f t="shared" si="90"/>
        <v>MA</v>
      </c>
      <c r="E1003" t="str">
        <f t="shared" si="91"/>
        <v>Northeast</v>
      </c>
      <c r="F1003" t="s">
        <v>32</v>
      </c>
      <c r="G1003" s="1">
        <v>45000</v>
      </c>
      <c r="H1003" s="1">
        <v>45002</v>
      </c>
      <c r="I1003" s="1">
        <f t="shared" si="95"/>
        <v>45002</v>
      </c>
      <c r="J1003" s="2">
        <v>12.8</v>
      </c>
      <c r="K1003" s="2">
        <v>94.48</v>
      </c>
      <c r="L1003" t="s">
        <v>15</v>
      </c>
      <c r="M1003" s="2">
        <v>626</v>
      </c>
      <c r="N1003" s="2">
        <v>2</v>
      </c>
      <c r="O1003" s="2">
        <f t="shared" si="92"/>
        <v>313</v>
      </c>
      <c r="P1003" s="2">
        <f t="shared" si="93"/>
        <v>3.3128704487722267</v>
      </c>
      <c r="Q1003" s="3">
        <f t="shared" si="94"/>
        <v>0.15092651757188499</v>
      </c>
    </row>
    <row r="1004" spans="1:17" hidden="1" x14ac:dyDescent="0.25">
      <c r="A1004" t="s">
        <v>1071</v>
      </c>
      <c r="B1004" t="s">
        <v>56</v>
      </c>
      <c r="C1004" t="s">
        <v>17</v>
      </c>
      <c r="D1004" t="str">
        <f t="shared" si="90"/>
        <v>GA</v>
      </c>
      <c r="E1004" t="str">
        <f t="shared" si="91"/>
        <v>Southeast</v>
      </c>
      <c r="F1004" t="s">
        <v>25</v>
      </c>
      <c r="G1004" s="1">
        <v>44977</v>
      </c>
      <c r="H1004" s="1">
        <v>44980</v>
      </c>
      <c r="I1004" s="1">
        <f t="shared" si="95"/>
        <v>44980</v>
      </c>
      <c r="J1004" s="2">
        <v>3.5</v>
      </c>
      <c r="K1004" s="2">
        <v>138.85</v>
      </c>
      <c r="L1004" t="s">
        <v>15</v>
      </c>
      <c r="M1004" s="2">
        <v>1063</v>
      </c>
      <c r="N1004" s="2">
        <v>3</v>
      </c>
      <c r="O1004" s="2">
        <f t="shared" si="92"/>
        <v>354.33333333333331</v>
      </c>
      <c r="P1004" s="2">
        <f t="shared" si="93"/>
        <v>2.5519145360700994</v>
      </c>
      <c r="Q1004" s="3">
        <f t="shared" si="94"/>
        <v>0.130620884289746</v>
      </c>
    </row>
    <row r="1005" spans="1:17" hidden="1" x14ac:dyDescent="0.25">
      <c r="A1005" t="s">
        <v>1072</v>
      </c>
      <c r="B1005" t="s">
        <v>51</v>
      </c>
      <c r="C1005" t="s">
        <v>17</v>
      </c>
      <c r="D1005" t="str">
        <f t="shared" si="90"/>
        <v>GA</v>
      </c>
      <c r="E1005" t="str">
        <f t="shared" si="91"/>
        <v>Southeast</v>
      </c>
      <c r="F1005" t="s">
        <v>14</v>
      </c>
      <c r="G1005" s="1">
        <v>45032</v>
      </c>
      <c r="H1005" s="1">
        <v>45034</v>
      </c>
      <c r="I1005" s="1">
        <f t="shared" si="95"/>
        <v>45034</v>
      </c>
      <c r="J1005" s="2">
        <v>166.1</v>
      </c>
      <c r="K1005" s="2">
        <v>337.18</v>
      </c>
      <c r="L1005" t="s">
        <v>15</v>
      </c>
      <c r="M1005" s="2">
        <v>870</v>
      </c>
      <c r="N1005" s="2">
        <v>2</v>
      </c>
      <c r="O1005" s="2">
        <f t="shared" si="92"/>
        <v>435</v>
      </c>
      <c r="P1005" s="2">
        <f t="shared" si="93"/>
        <v>1.2901121062933745</v>
      </c>
      <c r="Q1005" s="3">
        <f t="shared" si="94"/>
        <v>0.3875632183908046</v>
      </c>
    </row>
    <row r="1006" spans="1:17" hidden="1" x14ac:dyDescent="0.25">
      <c r="A1006" t="s">
        <v>1073</v>
      </c>
      <c r="B1006" t="s">
        <v>23</v>
      </c>
      <c r="C1006" t="s">
        <v>44</v>
      </c>
      <c r="D1006" t="str">
        <f t="shared" ref="D1006:D1069" si="96">IF(C1006="Atlanta","GA",
IF(C1006="Boston","MA",
IF(C1006="Chicago","IL",
IF(C1006="Dallas","TX",
IF(C1006="Denver","CO",
IF(C1006="Detroit","MI",
IF(C1006="Houston","TX",
IF(C1006="Los Angeles","CA",
IF(C1006="Miami","FL",
IF(C1006="Minneapolis","MN",
IF(C1006="New York","NY",
IF(C1006="Phoenix","AZ",
IF(C1006="Portland","OR",
IF(C1006="San Francisco","CA",
IF(C1006="Seattle","WA","Unknown")))))))))))))))</f>
        <v>IL</v>
      </c>
      <c r="E1006" t="str">
        <f t="shared" ref="E1006:E1069" si="97">IF(OR(D1006="NY",D1006="NJ",D1006="PA",D1006="MA",D1006="CT",D1006="RI",D1006="VT",D1006="NH",D1006="ME"),"Northeast",
IF(OR(D1006="FL",D1006="GA",D1006="AL",D1006="MS",D1006="SC",D1006="NC",D1006="TN",D1006="KY"),"Southeast",
IF(OR(D1006="IL",D1006="IN",D1006="OH",D1006="MI",D1006="WI",D1006="MN",D1006="IA",D1006="MO",D1006="KS",D1006="NE",D1006="ND",D1006="SD"),"Midwest",
IF(OR(D1006="TX",D1006="OK",D1006="NM",D1006="AZ"),"Southwest",
IF(OR(D1006="CA",D1006="OR",D1006="WA",D1006="NV",D1006="CO",D1006="UT",D1006="ID",D1006="MT",D1006="WY",D1006="AK",D1006="HI"),"West","Other")))))</f>
        <v>Midwest</v>
      </c>
      <c r="F1006" t="s">
        <v>32</v>
      </c>
      <c r="G1006" s="1">
        <v>45161</v>
      </c>
      <c r="H1006" s="1">
        <v>45166</v>
      </c>
      <c r="I1006" s="1">
        <f t="shared" si="95"/>
        <v>45166</v>
      </c>
      <c r="J1006" s="2">
        <v>21.8</v>
      </c>
      <c r="K1006" s="2">
        <v>325.08999999999997</v>
      </c>
      <c r="L1006" t="s">
        <v>15</v>
      </c>
      <c r="M1006" s="2">
        <v>2387</v>
      </c>
      <c r="N1006" s="2">
        <v>5</v>
      </c>
      <c r="O1006" s="2">
        <f t="shared" ref="O1006:O1069" si="98">M1006/N1006</f>
        <v>477.4</v>
      </c>
      <c r="P1006" s="2">
        <f t="shared" ref="P1006:P1069" si="99">O1006/K1006</f>
        <v>1.468516410840075</v>
      </c>
      <c r="Q1006" s="3">
        <f t="shared" ref="Q1006:Q1069" si="100">K1006/M1006</f>
        <v>0.13619187264348553</v>
      </c>
    </row>
    <row r="1007" spans="1:17" x14ac:dyDescent="0.25">
      <c r="A1007" t="s">
        <v>1074</v>
      </c>
      <c r="B1007" t="s">
        <v>20</v>
      </c>
      <c r="C1007" t="s">
        <v>13</v>
      </c>
      <c r="D1007" t="str">
        <f t="shared" si="96"/>
        <v>CA</v>
      </c>
      <c r="E1007" t="str">
        <f t="shared" si="97"/>
        <v>West</v>
      </c>
      <c r="F1007" t="s">
        <v>37</v>
      </c>
      <c r="G1007" s="1">
        <v>45045</v>
      </c>
      <c r="H1007" s="1">
        <v>45049</v>
      </c>
      <c r="I1007" s="1">
        <f t="shared" si="95"/>
        <v>45049</v>
      </c>
      <c r="J1007" s="2">
        <v>25.3</v>
      </c>
      <c r="K1007" s="2">
        <v>172.77</v>
      </c>
      <c r="L1007" t="s">
        <v>15</v>
      </c>
      <c r="M1007" s="2">
        <v>1260</v>
      </c>
      <c r="N1007" s="2">
        <v>4</v>
      </c>
      <c r="O1007" s="2">
        <f t="shared" si="98"/>
        <v>315</v>
      </c>
      <c r="P1007" s="2">
        <f t="shared" si="99"/>
        <v>1.8232332002083693</v>
      </c>
      <c r="Q1007" s="3">
        <f t="shared" si="100"/>
        <v>0.13711904761904764</v>
      </c>
    </row>
    <row r="1008" spans="1:17" hidden="1" x14ac:dyDescent="0.25">
      <c r="A1008" t="s">
        <v>1075</v>
      </c>
      <c r="B1008" t="s">
        <v>56</v>
      </c>
      <c r="C1008" t="s">
        <v>28</v>
      </c>
      <c r="D1008" t="str">
        <f t="shared" si="96"/>
        <v>TX</v>
      </c>
      <c r="E1008" t="str">
        <f t="shared" si="97"/>
        <v>Southwest</v>
      </c>
      <c r="F1008" t="s">
        <v>25</v>
      </c>
      <c r="G1008" s="1">
        <v>44973</v>
      </c>
      <c r="H1008" s="1">
        <v>44987</v>
      </c>
      <c r="I1008" s="1">
        <f t="shared" si="95"/>
        <v>44987</v>
      </c>
      <c r="J1008" s="2">
        <v>8.5</v>
      </c>
      <c r="K1008" s="2">
        <v>228.43</v>
      </c>
      <c r="L1008" t="s">
        <v>47</v>
      </c>
      <c r="M1008" s="2">
        <v>1754</v>
      </c>
      <c r="N1008" s="2">
        <v>4</v>
      </c>
      <c r="O1008" s="2">
        <f t="shared" si="98"/>
        <v>438.5</v>
      </c>
      <c r="P1008" s="2">
        <f t="shared" si="99"/>
        <v>1.9196252681346582</v>
      </c>
      <c r="Q1008" s="3">
        <f t="shared" si="100"/>
        <v>0.13023375142531357</v>
      </c>
    </row>
    <row r="1009" spans="1:17" hidden="1" x14ac:dyDescent="0.25">
      <c r="A1009" t="s">
        <v>1076</v>
      </c>
      <c r="B1009" t="s">
        <v>27</v>
      </c>
      <c r="C1009" t="s">
        <v>40</v>
      </c>
      <c r="D1009" t="str">
        <f t="shared" si="96"/>
        <v>MI</v>
      </c>
      <c r="E1009" t="str">
        <f t="shared" si="97"/>
        <v>Midwest</v>
      </c>
      <c r="F1009" t="s">
        <v>14</v>
      </c>
      <c r="G1009" s="1">
        <v>45167</v>
      </c>
      <c r="H1009" s="1">
        <v>45170</v>
      </c>
      <c r="I1009" s="1">
        <f t="shared" si="95"/>
        <v>45170</v>
      </c>
      <c r="J1009" s="2">
        <v>12.4</v>
      </c>
      <c r="K1009" s="2">
        <v>129.81</v>
      </c>
      <c r="L1009" t="s">
        <v>62</v>
      </c>
      <c r="M1009" s="2">
        <v>842</v>
      </c>
      <c r="N1009" s="2">
        <v>3</v>
      </c>
      <c r="O1009" s="2">
        <f t="shared" si="98"/>
        <v>280.66666666666669</v>
      </c>
      <c r="P1009" s="2">
        <f t="shared" si="99"/>
        <v>2.1621344015612562</v>
      </c>
      <c r="Q1009" s="3">
        <f t="shared" si="100"/>
        <v>0.15416864608076009</v>
      </c>
    </row>
    <row r="1010" spans="1:17" hidden="1" x14ac:dyDescent="0.25">
      <c r="A1010" t="s">
        <v>1077</v>
      </c>
      <c r="B1010" t="s">
        <v>27</v>
      </c>
      <c r="C1010" t="s">
        <v>31</v>
      </c>
      <c r="D1010" t="str">
        <f t="shared" si="96"/>
        <v>NY</v>
      </c>
      <c r="E1010" t="str">
        <f t="shared" si="97"/>
        <v>Northeast</v>
      </c>
      <c r="F1010" t="s">
        <v>32</v>
      </c>
      <c r="G1010" s="1">
        <v>45098</v>
      </c>
      <c r="H1010" s="1">
        <v>45102</v>
      </c>
      <c r="I1010" s="1">
        <f t="shared" si="95"/>
        <v>45102</v>
      </c>
      <c r="J1010" s="2">
        <v>40.700000000000003</v>
      </c>
      <c r="K1010" s="2">
        <v>240.08</v>
      </c>
      <c r="L1010" t="s">
        <v>15</v>
      </c>
      <c r="M1010" s="2">
        <v>1457</v>
      </c>
      <c r="N1010" s="2">
        <v>4</v>
      </c>
      <c r="O1010" s="2">
        <f t="shared" si="98"/>
        <v>364.25</v>
      </c>
      <c r="P1010" s="2">
        <f t="shared" si="99"/>
        <v>1.517202599133622</v>
      </c>
      <c r="Q1010" s="3">
        <f t="shared" si="100"/>
        <v>0.16477693891557996</v>
      </c>
    </row>
    <row r="1011" spans="1:17" hidden="1" x14ac:dyDescent="0.25">
      <c r="A1011" t="s">
        <v>1078</v>
      </c>
      <c r="B1011" t="s">
        <v>27</v>
      </c>
      <c r="C1011" t="s">
        <v>40</v>
      </c>
      <c r="D1011" t="str">
        <f t="shared" si="96"/>
        <v>MI</v>
      </c>
      <c r="E1011" t="str">
        <f t="shared" si="97"/>
        <v>Midwest</v>
      </c>
      <c r="F1011" t="s">
        <v>25</v>
      </c>
      <c r="G1011" s="1">
        <v>45087</v>
      </c>
      <c r="H1011" s="1">
        <v>45094</v>
      </c>
      <c r="I1011" s="1">
        <f t="shared" si="95"/>
        <v>45094</v>
      </c>
      <c r="J1011" s="2">
        <v>17.3</v>
      </c>
      <c r="K1011" s="2">
        <v>300.85000000000002</v>
      </c>
      <c r="L1011" t="s">
        <v>15</v>
      </c>
      <c r="M1011" s="2">
        <v>2372</v>
      </c>
      <c r="N1011" s="2">
        <v>7</v>
      </c>
      <c r="O1011" s="2">
        <f t="shared" si="98"/>
        <v>338.85714285714283</v>
      </c>
      <c r="P1011" s="2">
        <f t="shared" si="99"/>
        <v>1.1263325340107788</v>
      </c>
      <c r="Q1011" s="3">
        <f t="shared" si="100"/>
        <v>0.12683389544688028</v>
      </c>
    </row>
    <row r="1012" spans="1:17" x14ac:dyDescent="0.25">
      <c r="A1012" t="s">
        <v>1079</v>
      </c>
      <c r="B1012" t="s">
        <v>23</v>
      </c>
      <c r="C1012" t="s">
        <v>81</v>
      </c>
      <c r="D1012" t="str">
        <f t="shared" si="96"/>
        <v>CO</v>
      </c>
      <c r="E1012" t="str">
        <f t="shared" si="97"/>
        <v>West</v>
      </c>
      <c r="F1012" t="s">
        <v>25</v>
      </c>
      <c r="G1012" s="1">
        <v>45133</v>
      </c>
      <c r="H1012" s="1">
        <v>45138</v>
      </c>
      <c r="I1012" s="1">
        <f t="shared" si="95"/>
        <v>45138</v>
      </c>
      <c r="J1012" s="2">
        <v>12.9</v>
      </c>
      <c r="K1012" s="2">
        <v>276.52</v>
      </c>
      <c r="L1012" t="s">
        <v>15</v>
      </c>
      <c r="M1012" s="2">
        <v>1986</v>
      </c>
      <c r="N1012" s="2">
        <v>5</v>
      </c>
      <c r="O1012" s="2">
        <f t="shared" si="98"/>
        <v>397.2</v>
      </c>
      <c r="P1012" s="2">
        <f t="shared" si="99"/>
        <v>1.4364241284536381</v>
      </c>
      <c r="Q1012" s="3">
        <f t="shared" si="100"/>
        <v>0.13923464249748238</v>
      </c>
    </row>
    <row r="1013" spans="1:17" x14ac:dyDescent="0.25">
      <c r="A1013" t="s">
        <v>1080</v>
      </c>
      <c r="B1013" t="s">
        <v>27</v>
      </c>
      <c r="C1013" t="s">
        <v>24</v>
      </c>
      <c r="D1013" t="str">
        <f t="shared" si="96"/>
        <v>WA</v>
      </c>
      <c r="E1013" t="str">
        <f t="shared" si="97"/>
        <v>West</v>
      </c>
      <c r="F1013" t="s">
        <v>14</v>
      </c>
      <c r="G1013" s="1">
        <v>45087</v>
      </c>
      <c r="H1013" s="1">
        <v>45089</v>
      </c>
      <c r="I1013" s="1">
        <f t="shared" si="95"/>
        <v>45089</v>
      </c>
      <c r="J1013" s="2">
        <v>27.3</v>
      </c>
      <c r="K1013" s="2">
        <v>54.83</v>
      </c>
      <c r="L1013" t="s">
        <v>15</v>
      </c>
      <c r="M1013" s="2">
        <v>128</v>
      </c>
      <c r="N1013" s="2">
        <v>2</v>
      </c>
      <c r="O1013" s="2">
        <f t="shared" si="98"/>
        <v>64</v>
      </c>
      <c r="P1013" s="2">
        <f t="shared" si="99"/>
        <v>1.1672442093744302</v>
      </c>
      <c r="Q1013" s="3">
        <f t="shared" si="100"/>
        <v>0.42835937499999999</v>
      </c>
    </row>
    <row r="1014" spans="1:17" hidden="1" x14ac:dyDescent="0.25">
      <c r="A1014" t="s">
        <v>1081</v>
      </c>
      <c r="B1014" t="s">
        <v>51</v>
      </c>
      <c r="C1014" t="s">
        <v>52</v>
      </c>
      <c r="D1014" t="str">
        <f t="shared" si="96"/>
        <v>AZ</v>
      </c>
      <c r="E1014" t="str">
        <f t="shared" si="97"/>
        <v>Southwest</v>
      </c>
      <c r="F1014" t="s">
        <v>25</v>
      </c>
      <c r="G1014" s="1">
        <v>45283</v>
      </c>
      <c r="H1014" s="1">
        <v>45285</v>
      </c>
      <c r="I1014" s="1">
        <f t="shared" si="95"/>
        <v>45285</v>
      </c>
      <c r="J1014" s="2">
        <v>20.2</v>
      </c>
      <c r="K1014" s="2">
        <v>82.02</v>
      </c>
      <c r="L1014" t="s">
        <v>15</v>
      </c>
      <c r="M1014" s="2">
        <v>426</v>
      </c>
      <c r="N1014" s="2">
        <v>2</v>
      </c>
      <c r="O1014" s="2">
        <f t="shared" si="98"/>
        <v>213</v>
      </c>
      <c r="P1014" s="2">
        <f t="shared" si="99"/>
        <v>2.5969275786393564</v>
      </c>
      <c r="Q1014" s="3">
        <f t="shared" si="100"/>
        <v>0.19253521126760562</v>
      </c>
    </row>
    <row r="1015" spans="1:17" x14ac:dyDescent="0.25">
      <c r="A1015" t="s">
        <v>1082</v>
      </c>
      <c r="B1015" t="s">
        <v>56</v>
      </c>
      <c r="C1015" t="s">
        <v>13</v>
      </c>
      <c r="D1015" t="str">
        <f t="shared" si="96"/>
        <v>CA</v>
      </c>
      <c r="E1015" t="str">
        <f t="shared" si="97"/>
        <v>West</v>
      </c>
      <c r="F1015" t="s">
        <v>32</v>
      </c>
      <c r="G1015" s="1">
        <v>45068</v>
      </c>
      <c r="H1015" s="1">
        <v>45073</v>
      </c>
      <c r="I1015" s="1">
        <f t="shared" si="95"/>
        <v>45073</v>
      </c>
      <c r="J1015" s="2">
        <v>22.6</v>
      </c>
      <c r="K1015" s="2">
        <v>256.62</v>
      </c>
      <c r="L1015" t="s">
        <v>62</v>
      </c>
      <c r="M1015" s="2">
        <v>1708</v>
      </c>
      <c r="N1015" s="2">
        <v>5</v>
      </c>
      <c r="O1015" s="2">
        <f t="shared" si="98"/>
        <v>341.6</v>
      </c>
      <c r="P1015" s="2">
        <f t="shared" si="99"/>
        <v>1.331151118385161</v>
      </c>
      <c r="Q1015" s="3">
        <f t="shared" si="100"/>
        <v>0.15024590163934426</v>
      </c>
    </row>
    <row r="1016" spans="1:17" hidden="1" x14ac:dyDescent="0.25">
      <c r="A1016" t="s">
        <v>1083</v>
      </c>
      <c r="B1016" t="s">
        <v>23</v>
      </c>
      <c r="C1016" t="s">
        <v>31</v>
      </c>
      <c r="D1016" t="str">
        <f t="shared" si="96"/>
        <v>NY</v>
      </c>
      <c r="E1016" t="str">
        <f t="shared" si="97"/>
        <v>Northeast</v>
      </c>
      <c r="F1016" t="s">
        <v>25</v>
      </c>
      <c r="G1016" s="1">
        <v>45283</v>
      </c>
      <c r="H1016" s="1">
        <v>45292</v>
      </c>
      <c r="I1016" s="1">
        <f t="shared" si="95"/>
        <v>45292</v>
      </c>
      <c r="J1016" s="2">
        <v>15.2</v>
      </c>
      <c r="K1016" s="2">
        <v>261.44</v>
      </c>
      <c r="L1016" t="s">
        <v>47</v>
      </c>
      <c r="M1016" s="2">
        <v>1561</v>
      </c>
      <c r="N1016" s="2">
        <v>3</v>
      </c>
      <c r="O1016" s="2">
        <f t="shared" si="98"/>
        <v>520.33333333333337</v>
      </c>
      <c r="P1016" s="2">
        <f t="shared" si="99"/>
        <v>1.9902590779273768</v>
      </c>
      <c r="Q1016" s="3">
        <f t="shared" si="100"/>
        <v>0.16748238308776425</v>
      </c>
    </row>
    <row r="1017" spans="1:17" hidden="1" x14ac:dyDescent="0.25">
      <c r="A1017" t="s">
        <v>1084</v>
      </c>
      <c r="B1017" t="s">
        <v>35</v>
      </c>
      <c r="C1017" t="s">
        <v>52</v>
      </c>
      <c r="D1017" t="str">
        <f t="shared" si="96"/>
        <v>AZ</v>
      </c>
      <c r="E1017" t="str">
        <f t="shared" si="97"/>
        <v>Southwest</v>
      </c>
      <c r="F1017" t="s">
        <v>25</v>
      </c>
      <c r="G1017" s="1">
        <v>45086</v>
      </c>
      <c r="H1017" s="1">
        <v>45100</v>
      </c>
      <c r="I1017" s="1">
        <f t="shared" si="95"/>
        <v>45100</v>
      </c>
      <c r="J1017" s="2">
        <v>18.399999999999999</v>
      </c>
      <c r="K1017" s="2">
        <v>156.75</v>
      </c>
      <c r="L1017" t="s">
        <v>47</v>
      </c>
      <c r="M1017" s="2">
        <v>1064</v>
      </c>
      <c r="N1017" s="2">
        <v>5</v>
      </c>
      <c r="O1017" s="2">
        <f t="shared" si="98"/>
        <v>212.8</v>
      </c>
      <c r="P1017" s="2">
        <f t="shared" si="99"/>
        <v>1.3575757575757577</v>
      </c>
      <c r="Q1017" s="3">
        <f t="shared" si="100"/>
        <v>0.14732142857142858</v>
      </c>
    </row>
    <row r="1018" spans="1:17" hidden="1" x14ac:dyDescent="0.25">
      <c r="A1018" t="s">
        <v>1085</v>
      </c>
      <c r="B1018" t="s">
        <v>20</v>
      </c>
      <c r="C1018" t="s">
        <v>44</v>
      </c>
      <c r="D1018" t="str">
        <f t="shared" si="96"/>
        <v>IL</v>
      </c>
      <c r="E1018" t="str">
        <f t="shared" si="97"/>
        <v>Midwest</v>
      </c>
      <c r="F1018" t="s">
        <v>18</v>
      </c>
      <c r="G1018" s="1">
        <v>45000</v>
      </c>
      <c r="H1018" s="1">
        <v>45005</v>
      </c>
      <c r="I1018" s="1">
        <f t="shared" si="95"/>
        <v>45005</v>
      </c>
      <c r="J1018" s="2">
        <v>14.7</v>
      </c>
      <c r="K1018" s="2">
        <v>292.83</v>
      </c>
      <c r="L1018" t="s">
        <v>15</v>
      </c>
      <c r="M1018" s="2">
        <v>1842</v>
      </c>
      <c r="N1018" s="2">
        <v>5</v>
      </c>
      <c r="O1018" s="2">
        <f t="shared" si="98"/>
        <v>368.4</v>
      </c>
      <c r="P1018" s="2">
        <f t="shared" si="99"/>
        <v>1.2580678209199876</v>
      </c>
      <c r="Q1018" s="3">
        <f t="shared" si="100"/>
        <v>0.15897394136807816</v>
      </c>
    </row>
    <row r="1019" spans="1:17" x14ac:dyDescent="0.25">
      <c r="A1019" t="s">
        <v>1086</v>
      </c>
      <c r="B1019" t="s">
        <v>30</v>
      </c>
      <c r="C1019" t="s">
        <v>24</v>
      </c>
      <c r="D1019" t="str">
        <f t="shared" si="96"/>
        <v>WA</v>
      </c>
      <c r="E1019" t="str">
        <f t="shared" si="97"/>
        <v>West</v>
      </c>
      <c r="F1019" t="s">
        <v>42</v>
      </c>
      <c r="G1019" s="1">
        <v>45204</v>
      </c>
      <c r="H1019" s="1">
        <v>45210</v>
      </c>
      <c r="I1019" s="1">
        <f t="shared" si="95"/>
        <v>45210</v>
      </c>
      <c r="J1019" s="2">
        <v>41.9</v>
      </c>
      <c r="K1019" s="2">
        <v>129.63999999999999</v>
      </c>
      <c r="L1019" t="s">
        <v>15</v>
      </c>
      <c r="M1019" s="2">
        <v>670</v>
      </c>
      <c r="N1019" s="2">
        <v>6</v>
      </c>
      <c r="O1019" s="2">
        <f t="shared" si="98"/>
        <v>111.66666666666667</v>
      </c>
      <c r="P1019" s="2">
        <f t="shared" si="99"/>
        <v>0.86135966265555908</v>
      </c>
      <c r="Q1019" s="3">
        <f t="shared" si="100"/>
        <v>0.19349253731343283</v>
      </c>
    </row>
    <row r="1020" spans="1:17" hidden="1" x14ac:dyDescent="0.25">
      <c r="A1020" t="s">
        <v>1087</v>
      </c>
      <c r="B1020" t="s">
        <v>27</v>
      </c>
      <c r="C1020" t="s">
        <v>17</v>
      </c>
      <c r="D1020" t="str">
        <f t="shared" si="96"/>
        <v>GA</v>
      </c>
      <c r="E1020" t="str">
        <f t="shared" si="97"/>
        <v>Southeast</v>
      </c>
      <c r="F1020" t="s">
        <v>14</v>
      </c>
      <c r="G1020" s="1">
        <v>45203</v>
      </c>
      <c r="H1020" s="1">
        <v>45207</v>
      </c>
      <c r="I1020" s="1">
        <f t="shared" si="95"/>
        <v>45207</v>
      </c>
      <c r="J1020" s="2">
        <v>9.4</v>
      </c>
      <c r="K1020" s="2">
        <v>208.22</v>
      </c>
      <c r="L1020" t="s">
        <v>15</v>
      </c>
      <c r="M1020" s="2">
        <v>1675</v>
      </c>
      <c r="N1020" s="2">
        <v>4</v>
      </c>
      <c r="O1020" s="2">
        <f t="shared" si="98"/>
        <v>418.75</v>
      </c>
      <c r="P1020" s="2">
        <f t="shared" si="99"/>
        <v>2.0110940351551245</v>
      </c>
      <c r="Q1020" s="3">
        <f t="shared" si="100"/>
        <v>0.12431044776119403</v>
      </c>
    </row>
    <row r="1021" spans="1:17" hidden="1" x14ac:dyDescent="0.25">
      <c r="A1021" t="s">
        <v>1088</v>
      </c>
      <c r="B1021" t="s">
        <v>35</v>
      </c>
      <c r="C1021" t="s">
        <v>46</v>
      </c>
      <c r="D1021" t="str">
        <f t="shared" si="96"/>
        <v>MA</v>
      </c>
      <c r="E1021" t="str">
        <f t="shared" si="97"/>
        <v>Northeast</v>
      </c>
      <c r="F1021" t="s">
        <v>32</v>
      </c>
      <c r="G1021" s="1">
        <v>45174</v>
      </c>
      <c r="H1021" s="1">
        <v>45184</v>
      </c>
      <c r="I1021" s="1">
        <f t="shared" si="95"/>
        <v>45184</v>
      </c>
      <c r="J1021" s="2">
        <v>8.4</v>
      </c>
      <c r="K1021" s="2">
        <v>237.7</v>
      </c>
      <c r="L1021" t="s">
        <v>47</v>
      </c>
      <c r="M1021" s="2">
        <v>1854</v>
      </c>
      <c r="N1021" s="2">
        <v>5</v>
      </c>
      <c r="O1021" s="2">
        <f t="shared" si="98"/>
        <v>370.8</v>
      </c>
      <c r="P1021" s="2">
        <f t="shared" si="99"/>
        <v>1.559949516196887</v>
      </c>
      <c r="Q1021" s="3">
        <f t="shared" si="100"/>
        <v>0.12820927723840345</v>
      </c>
    </row>
    <row r="1022" spans="1:17" x14ac:dyDescent="0.25">
      <c r="A1022" t="s">
        <v>1089</v>
      </c>
      <c r="B1022" t="s">
        <v>12</v>
      </c>
      <c r="C1022" t="s">
        <v>13</v>
      </c>
      <c r="D1022" t="str">
        <f t="shared" si="96"/>
        <v>CA</v>
      </c>
      <c r="E1022" t="str">
        <f t="shared" si="97"/>
        <v>West</v>
      </c>
      <c r="F1022" t="s">
        <v>18</v>
      </c>
      <c r="G1022" s="1">
        <v>45024</v>
      </c>
      <c r="H1022" s="1">
        <v>45031</v>
      </c>
      <c r="I1022" s="1">
        <f t="shared" si="95"/>
        <v>45031</v>
      </c>
      <c r="J1022" s="2">
        <v>20.5</v>
      </c>
      <c r="K1022" s="2">
        <v>369.7</v>
      </c>
      <c r="L1022" t="s">
        <v>15</v>
      </c>
      <c r="M1022" s="2">
        <v>2249</v>
      </c>
      <c r="N1022" s="2">
        <v>7</v>
      </c>
      <c r="O1022" s="2">
        <f t="shared" si="98"/>
        <v>321.28571428571428</v>
      </c>
      <c r="P1022" s="2">
        <f t="shared" si="99"/>
        <v>0.86904439893349816</v>
      </c>
      <c r="Q1022" s="3">
        <f t="shared" si="100"/>
        <v>0.16438417074255224</v>
      </c>
    </row>
    <row r="1023" spans="1:17" hidden="1" x14ac:dyDescent="0.25">
      <c r="A1023" t="s">
        <v>1090</v>
      </c>
      <c r="B1023" t="s">
        <v>27</v>
      </c>
      <c r="C1023" t="s">
        <v>54</v>
      </c>
      <c r="D1023" t="str">
        <f t="shared" si="96"/>
        <v>FL</v>
      </c>
      <c r="E1023" t="str">
        <f t="shared" si="97"/>
        <v>Southeast</v>
      </c>
      <c r="F1023" t="s">
        <v>25</v>
      </c>
      <c r="G1023" s="1">
        <v>45092</v>
      </c>
      <c r="H1023" s="1">
        <v>45100</v>
      </c>
      <c r="I1023" s="1">
        <f t="shared" si="95"/>
        <v>45100</v>
      </c>
      <c r="J1023" s="2">
        <v>16.399999999999999</v>
      </c>
      <c r="K1023" s="2">
        <v>264.86</v>
      </c>
      <c r="L1023" t="s">
        <v>47</v>
      </c>
      <c r="M1023" s="2">
        <v>1947</v>
      </c>
      <c r="N1023" s="2">
        <v>4</v>
      </c>
      <c r="O1023" s="2">
        <f t="shared" si="98"/>
        <v>486.75</v>
      </c>
      <c r="P1023" s="2">
        <f t="shared" si="99"/>
        <v>1.8377633466737142</v>
      </c>
      <c r="Q1023" s="3">
        <f t="shared" si="100"/>
        <v>0.13603492552645097</v>
      </c>
    </row>
    <row r="1024" spans="1:17" x14ac:dyDescent="0.25">
      <c r="A1024" t="s">
        <v>1091</v>
      </c>
      <c r="B1024" t="s">
        <v>30</v>
      </c>
      <c r="C1024" t="s">
        <v>36</v>
      </c>
      <c r="D1024" t="str">
        <f t="shared" si="96"/>
        <v>OR</v>
      </c>
      <c r="E1024" t="str">
        <f t="shared" si="97"/>
        <v>West</v>
      </c>
      <c r="F1024" t="s">
        <v>14</v>
      </c>
      <c r="G1024" s="1">
        <v>45290</v>
      </c>
      <c r="H1024" s="1">
        <v>45291</v>
      </c>
      <c r="I1024" s="1">
        <f t="shared" si="95"/>
        <v>45291</v>
      </c>
      <c r="J1024" s="2">
        <v>19.899999999999999</v>
      </c>
      <c r="K1024" s="2">
        <v>66.41</v>
      </c>
      <c r="L1024" t="s">
        <v>15</v>
      </c>
      <c r="M1024" s="2">
        <v>229</v>
      </c>
      <c r="N1024" s="2">
        <v>1</v>
      </c>
      <c r="O1024" s="2">
        <f t="shared" si="98"/>
        <v>229</v>
      </c>
      <c r="P1024" s="2">
        <f t="shared" si="99"/>
        <v>3.4482758620689657</v>
      </c>
      <c r="Q1024" s="3">
        <f t="shared" si="100"/>
        <v>0.28999999999999998</v>
      </c>
    </row>
    <row r="1025" spans="1:17" hidden="1" x14ac:dyDescent="0.25">
      <c r="A1025" t="s">
        <v>1092</v>
      </c>
      <c r="B1025" t="s">
        <v>27</v>
      </c>
      <c r="C1025" t="s">
        <v>57</v>
      </c>
      <c r="D1025" t="str">
        <f t="shared" si="96"/>
        <v>MN</v>
      </c>
      <c r="E1025" t="str">
        <f t="shared" si="97"/>
        <v>Midwest</v>
      </c>
      <c r="F1025" t="s">
        <v>59</v>
      </c>
      <c r="G1025" s="1">
        <v>45011</v>
      </c>
      <c r="H1025" s="1">
        <v>45013</v>
      </c>
      <c r="I1025" s="1">
        <f t="shared" si="95"/>
        <v>45013</v>
      </c>
      <c r="J1025" s="2">
        <v>45.5</v>
      </c>
      <c r="K1025" s="2">
        <v>87.93</v>
      </c>
      <c r="L1025" t="s">
        <v>15</v>
      </c>
      <c r="M1025" s="2">
        <v>399</v>
      </c>
      <c r="N1025" s="2">
        <v>2</v>
      </c>
      <c r="O1025" s="2">
        <f t="shared" si="98"/>
        <v>199.5</v>
      </c>
      <c r="P1025" s="2">
        <f t="shared" si="99"/>
        <v>2.2688502217673148</v>
      </c>
      <c r="Q1025" s="3">
        <f t="shared" si="100"/>
        <v>0.22037593984962409</v>
      </c>
    </row>
    <row r="1026" spans="1:17" x14ac:dyDescent="0.25">
      <c r="A1026" t="s">
        <v>1093</v>
      </c>
      <c r="B1026" t="s">
        <v>49</v>
      </c>
      <c r="C1026" t="s">
        <v>70</v>
      </c>
      <c r="D1026" t="str">
        <f t="shared" si="96"/>
        <v>CA</v>
      </c>
      <c r="E1026" t="str">
        <f t="shared" si="97"/>
        <v>West</v>
      </c>
      <c r="F1026" t="s">
        <v>42</v>
      </c>
      <c r="G1026" s="1">
        <v>45161</v>
      </c>
      <c r="H1026" s="1">
        <v>45164</v>
      </c>
      <c r="I1026" s="1">
        <f t="shared" ref="I1026:I1089" si="101">IF(H1026="", G1026 + N1026, H1026)</f>
        <v>45164</v>
      </c>
      <c r="J1026" s="2">
        <v>31.8</v>
      </c>
      <c r="K1026" s="2">
        <v>101.3</v>
      </c>
      <c r="L1026" t="s">
        <v>62</v>
      </c>
      <c r="M1026" s="2">
        <v>519</v>
      </c>
      <c r="N1026" s="2">
        <v>3</v>
      </c>
      <c r="O1026" s="2">
        <f t="shared" si="98"/>
        <v>173</v>
      </c>
      <c r="P1026" s="2">
        <f t="shared" si="99"/>
        <v>1.7077986179664364</v>
      </c>
      <c r="Q1026" s="3">
        <f t="shared" si="100"/>
        <v>0.19518304431599229</v>
      </c>
    </row>
    <row r="1027" spans="1:17" hidden="1" x14ac:dyDescent="0.25">
      <c r="A1027" t="s">
        <v>1094</v>
      </c>
      <c r="B1027" t="s">
        <v>20</v>
      </c>
      <c r="C1027" t="s">
        <v>21</v>
      </c>
      <c r="D1027" t="str">
        <f t="shared" si="96"/>
        <v>TX</v>
      </c>
      <c r="E1027" t="str">
        <f t="shared" si="97"/>
        <v>Southwest</v>
      </c>
      <c r="F1027" t="s">
        <v>32</v>
      </c>
      <c r="G1027" s="1">
        <v>44977</v>
      </c>
      <c r="H1027" s="1">
        <v>44981</v>
      </c>
      <c r="I1027" s="1">
        <f t="shared" si="101"/>
        <v>44981</v>
      </c>
      <c r="J1027" s="2">
        <v>20.3</v>
      </c>
      <c r="K1027" s="2">
        <v>232.45</v>
      </c>
      <c r="L1027" t="s">
        <v>15</v>
      </c>
      <c r="M1027" s="2">
        <v>1505</v>
      </c>
      <c r="N1027" s="2">
        <v>4</v>
      </c>
      <c r="O1027" s="2">
        <f t="shared" si="98"/>
        <v>376.25</v>
      </c>
      <c r="P1027" s="2">
        <f t="shared" si="99"/>
        <v>1.6186276618627662</v>
      </c>
      <c r="Q1027" s="3">
        <f t="shared" si="100"/>
        <v>0.1544518272425249</v>
      </c>
    </row>
    <row r="1028" spans="1:17" x14ac:dyDescent="0.25">
      <c r="A1028" t="s">
        <v>1095</v>
      </c>
      <c r="B1028" t="s">
        <v>49</v>
      </c>
      <c r="C1028" t="s">
        <v>81</v>
      </c>
      <c r="D1028" t="str">
        <f t="shared" si="96"/>
        <v>CO</v>
      </c>
      <c r="E1028" t="str">
        <f t="shared" si="97"/>
        <v>West</v>
      </c>
      <c r="F1028" t="s">
        <v>14</v>
      </c>
      <c r="G1028" s="1">
        <v>45084</v>
      </c>
      <c r="H1028" s="1">
        <v>45089</v>
      </c>
      <c r="I1028" s="1">
        <f t="shared" si="101"/>
        <v>45089</v>
      </c>
      <c r="J1028" s="2">
        <v>34.299999999999997</v>
      </c>
      <c r="K1028" s="2">
        <v>295.73</v>
      </c>
      <c r="L1028" t="s">
        <v>15</v>
      </c>
      <c r="M1028" s="2">
        <v>2017</v>
      </c>
      <c r="N1028" s="2">
        <v>5</v>
      </c>
      <c r="O1028" s="2">
        <f t="shared" si="98"/>
        <v>403.4</v>
      </c>
      <c r="P1028" s="2">
        <f t="shared" si="99"/>
        <v>1.3640821019172893</v>
      </c>
      <c r="Q1028" s="3">
        <f t="shared" si="100"/>
        <v>0.14661874070401587</v>
      </c>
    </row>
    <row r="1029" spans="1:17" hidden="1" x14ac:dyDescent="0.25">
      <c r="A1029" t="s">
        <v>1096</v>
      </c>
      <c r="B1029" t="s">
        <v>51</v>
      </c>
      <c r="C1029" t="s">
        <v>52</v>
      </c>
      <c r="D1029" t="str">
        <f t="shared" si="96"/>
        <v>AZ</v>
      </c>
      <c r="E1029" t="str">
        <f t="shared" si="97"/>
        <v>Southwest</v>
      </c>
      <c r="F1029" t="s">
        <v>37</v>
      </c>
      <c r="G1029" s="1">
        <v>45027</v>
      </c>
      <c r="H1029" s="1">
        <v>45034</v>
      </c>
      <c r="I1029" s="1">
        <f t="shared" si="101"/>
        <v>45034</v>
      </c>
      <c r="J1029" s="2">
        <v>12.7</v>
      </c>
      <c r="K1029" s="2">
        <v>285.48</v>
      </c>
      <c r="L1029" t="s">
        <v>60</v>
      </c>
      <c r="M1029" s="2">
        <v>2264</v>
      </c>
      <c r="N1029" s="2">
        <v>7</v>
      </c>
      <c r="O1029" s="2">
        <f t="shared" si="98"/>
        <v>323.42857142857144</v>
      </c>
      <c r="P1029" s="2">
        <f t="shared" si="99"/>
        <v>1.1329290017814608</v>
      </c>
      <c r="Q1029" s="3">
        <f t="shared" si="100"/>
        <v>0.12609540636042404</v>
      </c>
    </row>
    <row r="1030" spans="1:17" x14ac:dyDescent="0.25">
      <c r="A1030" t="s">
        <v>1097</v>
      </c>
      <c r="B1030" t="s">
        <v>27</v>
      </c>
      <c r="C1030" t="s">
        <v>13</v>
      </c>
      <c r="D1030" t="str">
        <f t="shared" si="96"/>
        <v>CA</v>
      </c>
      <c r="E1030" t="str">
        <f t="shared" si="97"/>
        <v>West</v>
      </c>
      <c r="F1030" t="s">
        <v>59</v>
      </c>
      <c r="G1030" s="1">
        <v>45236</v>
      </c>
      <c r="H1030" s="1">
        <v>45241</v>
      </c>
      <c r="I1030" s="1">
        <f t="shared" si="101"/>
        <v>45241</v>
      </c>
      <c r="J1030" s="2">
        <v>53.3</v>
      </c>
      <c r="K1030" s="2">
        <v>343.47</v>
      </c>
      <c r="L1030" t="s">
        <v>15</v>
      </c>
      <c r="M1030" s="2">
        <v>2222</v>
      </c>
      <c r="N1030" s="2">
        <v>5</v>
      </c>
      <c r="O1030" s="2">
        <f t="shared" si="98"/>
        <v>444.4</v>
      </c>
      <c r="P1030" s="2">
        <f t="shared" si="99"/>
        <v>1.2938539028153839</v>
      </c>
      <c r="Q1030" s="3">
        <f t="shared" si="100"/>
        <v>0.1545769576957696</v>
      </c>
    </row>
    <row r="1031" spans="1:17" hidden="1" x14ac:dyDescent="0.25">
      <c r="A1031" t="s">
        <v>1098</v>
      </c>
      <c r="B1031" t="s">
        <v>56</v>
      </c>
      <c r="C1031" t="s">
        <v>28</v>
      </c>
      <c r="D1031" t="str">
        <f t="shared" si="96"/>
        <v>TX</v>
      </c>
      <c r="E1031" t="str">
        <f t="shared" si="97"/>
        <v>Southwest</v>
      </c>
      <c r="F1031" t="s">
        <v>25</v>
      </c>
      <c r="G1031" s="1">
        <v>45203</v>
      </c>
      <c r="H1031" s="1">
        <v>45209</v>
      </c>
      <c r="I1031" s="1">
        <f t="shared" si="101"/>
        <v>45209</v>
      </c>
      <c r="J1031" s="2">
        <v>85.3</v>
      </c>
      <c r="K1031" s="2">
        <v>406.22</v>
      </c>
      <c r="L1031" t="s">
        <v>15</v>
      </c>
      <c r="M1031" s="2">
        <v>2470</v>
      </c>
      <c r="N1031" s="2">
        <v>6</v>
      </c>
      <c r="O1031" s="2">
        <f t="shared" si="98"/>
        <v>411.66666666666669</v>
      </c>
      <c r="P1031" s="2">
        <f t="shared" si="99"/>
        <v>1.0134081696289368</v>
      </c>
      <c r="Q1031" s="3">
        <f t="shared" si="100"/>
        <v>0.16446153846153846</v>
      </c>
    </row>
    <row r="1032" spans="1:17" x14ac:dyDescent="0.25">
      <c r="A1032" t="s">
        <v>1099</v>
      </c>
      <c r="B1032" t="s">
        <v>27</v>
      </c>
      <c r="C1032" t="s">
        <v>81</v>
      </c>
      <c r="D1032" t="str">
        <f t="shared" si="96"/>
        <v>CO</v>
      </c>
      <c r="E1032" t="str">
        <f t="shared" si="97"/>
        <v>West</v>
      </c>
      <c r="F1032" t="s">
        <v>18</v>
      </c>
      <c r="G1032" s="1">
        <v>45154</v>
      </c>
      <c r="H1032" s="1">
        <v>45158</v>
      </c>
      <c r="I1032" s="1">
        <f t="shared" si="101"/>
        <v>45158</v>
      </c>
      <c r="J1032" s="2">
        <v>18.100000000000001</v>
      </c>
      <c r="K1032" s="2">
        <v>205.49</v>
      </c>
      <c r="L1032" t="s">
        <v>15</v>
      </c>
      <c r="M1032" s="2">
        <v>1418</v>
      </c>
      <c r="N1032" s="2">
        <v>4</v>
      </c>
      <c r="O1032" s="2">
        <f t="shared" si="98"/>
        <v>354.5</v>
      </c>
      <c r="P1032" s="2">
        <f t="shared" si="99"/>
        <v>1.7251447759015037</v>
      </c>
      <c r="Q1032" s="3">
        <f t="shared" si="100"/>
        <v>0.14491537376586744</v>
      </c>
    </row>
    <row r="1033" spans="1:17" hidden="1" x14ac:dyDescent="0.25">
      <c r="A1033" t="s">
        <v>1100</v>
      </c>
      <c r="B1033" t="s">
        <v>51</v>
      </c>
      <c r="C1033" t="s">
        <v>28</v>
      </c>
      <c r="D1033" t="str">
        <f t="shared" si="96"/>
        <v>TX</v>
      </c>
      <c r="E1033" t="str">
        <f t="shared" si="97"/>
        <v>Southwest</v>
      </c>
      <c r="F1033" t="s">
        <v>18</v>
      </c>
      <c r="G1033" s="1">
        <v>45154</v>
      </c>
      <c r="H1033" s="1">
        <v>45161</v>
      </c>
      <c r="I1033" s="1">
        <f t="shared" si="101"/>
        <v>45161</v>
      </c>
      <c r="J1033" s="2">
        <v>8.1999999999999993</v>
      </c>
      <c r="K1033" s="2">
        <v>257.45</v>
      </c>
      <c r="L1033" t="s">
        <v>15</v>
      </c>
      <c r="M1033" s="2">
        <v>1838</v>
      </c>
      <c r="N1033" s="2">
        <v>7</v>
      </c>
      <c r="O1033" s="2">
        <f t="shared" si="98"/>
        <v>262.57142857142856</v>
      </c>
      <c r="P1033" s="2">
        <f t="shared" si="99"/>
        <v>1.0198929056959742</v>
      </c>
      <c r="Q1033" s="3">
        <f t="shared" si="100"/>
        <v>0.14007072905331883</v>
      </c>
    </row>
    <row r="1034" spans="1:17" hidden="1" x14ac:dyDescent="0.25">
      <c r="A1034" t="s">
        <v>1101</v>
      </c>
      <c r="B1034" t="s">
        <v>56</v>
      </c>
      <c r="C1034" t="s">
        <v>17</v>
      </c>
      <c r="D1034" t="str">
        <f t="shared" si="96"/>
        <v>GA</v>
      </c>
      <c r="E1034" t="str">
        <f t="shared" si="97"/>
        <v>Southeast</v>
      </c>
      <c r="F1034" t="s">
        <v>42</v>
      </c>
      <c r="G1034" s="1">
        <v>44940</v>
      </c>
      <c r="H1034" s="1">
        <v>44941</v>
      </c>
      <c r="I1034" s="1">
        <f t="shared" si="101"/>
        <v>44941</v>
      </c>
      <c r="J1034" s="2">
        <v>14.4</v>
      </c>
      <c r="K1034" s="2">
        <v>50.76</v>
      </c>
      <c r="L1034" t="s">
        <v>15</v>
      </c>
      <c r="M1034" s="2">
        <v>253</v>
      </c>
      <c r="N1034" s="2">
        <v>1</v>
      </c>
      <c r="O1034" s="2">
        <f t="shared" si="98"/>
        <v>253</v>
      </c>
      <c r="P1034" s="2">
        <f t="shared" si="99"/>
        <v>4.9842395587076442</v>
      </c>
      <c r="Q1034" s="3">
        <f t="shared" si="100"/>
        <v>0.20063241106719368</v>
      </c>
    </row>
    <row r="1035" spans="1:17" hidden="1" x14ac:dyDescent="0.25">
      <c r="A1035" t="s">
        <v>1102</v>
      </c>
      <c r="B1035" t="s">
        <v>56</v>
      </c>
      <c r="C1035" t="s">
        <v>21</v>
      </c>
      <c r="D1035" t="str">
        <f t="shared" si="96"/>
        <v>TX</v>
      </c>
      <c r="E1035" t="str">
        <f t="shared" si="97"/>
        <v>Southwest</v>
      </c>
      <c r="F1035" t="s">
        <v>42</v>
      </c>
      <c r="G1035" s="1">
        <v>45283</v>
      </c>
      <c r="H1035" s="1">
        <v>45287</v>
      </c>
      <c r="I1035" s="1">
        <f t="shared" si="101"/>
        <v>45287</v>
      </c>
      <c r="J1035" s="2">
        <v>4.3</v>
      </c>
      <c r="K1035" s="2">
        <v>218.11</v>
      </c>
      <c r="L1035" t="s">
        <v>15</v>
      </c>
      <c r="M1035" s="2">
        <v>1565</v>
      </c>
      <c r="N1035" s="2">
        <v>4</v>
      </c>
      <c r="O1035" s="2">
        <f t="shared" si="98"/>
        <v>391.25</v>
      </c>
      <c r="P1035" s="2">
        <f t="shared" si="99"/>
        <v>1.7938196322956306</v>
      </c>
      <c r="Q1035" s="3">
        <f t="shared" si="100"/>
        <v>0.13936741214057508</v>
      </c>
    </row>
    <row r="1036" spans="1:17" hidden="1" x14ac:dyDescent="0.25">
      <c r="A1036" t="s">
        <v>1103</v>
      </c>
      <c r="B1036" t="s">
        <v>30</v>
      </c>
      <c r="C1036" t="s">
        <v>17</v>
      </c>
      <c r="D1036" t="str">
        <f t="shared" si="96"/>
        <v>GA</v>
      </c>
      <c r="E1036" t="str">
        <f t="shared" si="97"/>
        <v>Southeast</v>
      </c>
      <c r="F1036" t="s">
        <v>25</v>
      </c>
      <c r="G1036" s="1">
        <v>45179</v>
      </c>
      <c r="H1036" s="1">
        <v>45183</v>
      </c>
      <c r="I1036" s="1">
        <f t="shared" si="101"/>
        <v>45183</v>
      </c>
      <c r="J1036" s="2">
        <v>57.1</v>
      </c>
      <c r="K1036" s="2">
        <v>259.94</v>
      </c>
      <c r="L1036" t="s">
        <v>15</v>
      </c>
      <c r="M1036" s="2">
        <v>1447</v>
      </c>
      <c r="N1036" s="2">
        <v>4</v>
      </c>
      <c r="O1036" s="2">
        <f t="shared" si="98"/>
        <v>361.75</v>
      </c>
      <c r="P1036" s="2">
        <f t="shared" si="99"/>
        <v>1.3916673078402708</v>
      </c>
      <c r="Q1036" s="3">
        <f t="shared" si="100"/>
        <v>0.17964063579820319</v>
      </c>
    </row>
    <row r="1037" spans="1:17" hidden="1" x14ac:dyDescent="0.25">
      <c r="A1037" t="s">
        <v>1104</v>
      </c>
      <c r="B1037" t="s">
        <v>23</v>
      </c>
      <c r="C1037" t="s">
        <v>31</v>
      </c>
      <c r="D1037" t="str">
        <f t="shared" si="96"/>
        <v>NY</v>
      </c>
      <c r="E1037" t="str">
        <f t="shared" si="97"/>
        <v>Northeast</v>
      </c>
      <c r="F1037" t="s">
        <v>14</v>
      </c>
      <c r="G1037" s="1">
        <v>45143</v>
      </c>
      <c r="H1037" s="1">
        <v>45146</v>
      </c>
      <c r="I1037" s="1">
        <f t="shared" si="101"/>
        <v>45146</v>
      </c>
      <c r="J1037" s="2">
        <v>18</v>
      </c>
      <c r="K1037" s="2">
        <v>63.23</v>
      </c>
      <c r="L1037" t="s">
        <v>15</v>
      </c>
      <c r="M1037" s="2">
        <v>312</v>
      </c>
      <c r="N1037" s="2">
        <v>3</v>
      </c>
      <c r="O1037" s="2">
        <f t="shared" si="98"/>
        <v>104</v>
      </c>
      <c r="P1037" s="2">
        <f t="shared" si="99"/>
        <v>1.6447888660445991</v>
      </c>
      <c r="Q1037" s="3">
        <f t="shared" si="100"/>
        <v>0.2026602564102564</v>
      </c>
    </row>
    <row r="1038" spans="1:17" hidden="1" x14ac:dyDescent="0.25">
      <c r="A1038" t="s">
        <v>1105</v>
      </c>
      <c r="B1038" t="s">
        <v>23</v>
      </c>
      <c r="C1038" t="s">
        <v>52</v>
      </c>
      <c r="D1038" t="str">
        <f t="shared" si="96"/>
        <v>AZ</v>
      </c>
      <c r="E1038" t="str">
        <f t="shared" si="97"/>
        <v>Southwest</v>
      </c>
      <c r="F1038" t="s">
        <v>42</v>
      </c>
      <c r="G1038" s="1">
        <v>45125</v>
      </c>
      <c r="H1038" s="1">
        <v>45126</v>
      </c>
      <c r="I1038" s="1">
        <f t="shared" si="101"/>
        <v>45126</v>
      </c>
      <c r="J1038" s="2">
        <v>27.5</v>
      </c>
      <c r="K1038" s="2">
        <v>41.66</v>
      </c>
      <c r="L1038" t="s">
        <v>15</v>
      </c>
      <c r="M1038" s="2">
        <v>101</v>
      </c>
      <c r="N1038" s="2">
        <v>1</v>
      </c>
      <c r="O1038" s="2">
        <f t="shared" si="98"/>
        <v>101</v>
      </c>
      <c r="P1038" s="2">
        <f t="shared" si="99"/>
        <v>2.4243879020643306</v>
      </c>
      <c r="Q1038" s="3">
        <f t="shared" si="100"/>
        <v>0.41247524752475245</v>
      </c>
    </row>
    <row r="1039" spans="1:17" x14ac:dyDescent="0.25">
      <c r="A1039" t="s">
        <v>1106</v>
      </c>
      <c r="B1039" t="s">
        <v>56</v>
      </c>
      <c r="C1039" t="s">
        <v>81</v>
      </c>
      <c r="D1039" t="str">
        <f t="shared" si="96"/>
        <v>CO</v>
      </c>
      <c r="E1039" t="str">
        <f t="shared" si="97"/>
        <v>West</v>
      </c>
      <c r="F1039" t="s">
        <v>25</v>
      </c>
      <c r="G1039" s="1">
        <v>44943</v>
      </c>
      <c r="H1039" s="1">
        <v>44947</v>
      </c>
      <c r="I1039" s="1">
        <f t="shared" si="101"/>
        <v>44947</v>
      </c>
      <c r="J1039" s="2">
        <v>20.7</v>
      </c>
      <c r="K1039" s="2">
        <v>179.54</v>
      </c>
      <c r="L1039" t="s">
        <v>15</v>
      </c>
      <c r="M1039" s="2">
        <v>1413</v>
      </c>
      <c r="N1039" s="2">
        <v>4</v>
      </c>
      <c r="O1039" s="2">
        <f t="shared" si="98"/>
        <v>353.25</v>
      </c>
      <c r="P1039" s="2">
        <f t="shared" si="99"/>
        <v>1.9675281274367831</v>
      </c>
      <c r="Q1039" s="3">
        <f t="shared" si="100"/>
        <v>0.1270629865534324</v>
      </c>
    </row>
    <row r="1040" spans="1:17" x14ac:dyDescent="0.25">
      <c r="A1040" t="s">
        <v>1107</v>
      </c>
      <c r="B1040" t="s">
        <v>39</v>
      </c>
      <c r="C1040" t="s">
        <v>24</v>
      </c>
      <c r="D1040" t="str">
        <f t="shared" si="96"/>
        <v>WA</v>
      </c>
      <c r="E1040" t="str">
        <f t="shared" si="97"/>
        <v>West</v>
      </c>
      <c r="F1040" t="s">
        <v>32</v>
      </c>
      <c r="G1040" s="1">
        <v>45048</v>
      </c>
      <c r="H1040" s="1">
        <v>45052</v>
      </c>
      <c r="I1040" s="1">
        <f t="shared" si="101"/>
        <v>45052</v>
      </c>
      <c r="J1040" s="2">
        <v>14.5</v>
      </c>
      <c r="K1040" s="2">
        <v>88.92</v>
      </c>
      <c r="L1040" t="s">
        <v>15</v>
      </c>
      <c r="M1040" s="2">
        <v>581</v>
      </c>
      <c r="N1040" s="2">
        <v>4</v>
      </c>
      <c r="O1040" s="2">
        <f t="shared" si="98"/>
        <v>145.25</v>
      </c>
      <c r="P1040" s="2">
        <f t="shared" si="99"/>
        <v>1.6334907782276202</v>
      </c>
      <c r="Q1040" s="3">
        <f t="shared" si="100"/>
        <v>0.15304647160068846</v>
      </c>
    </row>
    <row r="1041" spans="1:17" hidden="1" x14ac:dyDescent="0.25">
      <c r="A1041" t="s">
        <v>1108</v>
      </c>
      <c r="B1041" t="s">
        <v>51</v>
      </c>
      <c r="C1041" t="s">
        <v>21</v>
      </c>
      <c r="D1041" t="str">
        <f t="shared" si="96"/>
        <v>TX</v>
      </c>
      <c r="E1041" t="str">
        <f t="shared" si="97"/>
        <v>Southwest</v>
      </c>
      <c r="F1041" t="s">
        <v>18</v>
      </c>
      <c r="G1041" s="1">
        <v>45285</v>
      </c>
      <c r="H1041" s="1">
        <v>45294</v>
      </c>
      <c r="I1041" s="1">
        <f t="shared" si="101"/>
        <v>45294</v>
      </c>
      <c r="J1041" s="2">
        <v>9.3000000000000007</v>
      </c>
      <c r="K1041" s="2">
        <v>223.05</v>
      </c>
      <c r="L1041" t="s">
        <v>47</v>
      </c>
      <c r="M1041" s="2">
        <v>1331</v>
      </c>
      <c r="N1041" s="2">
        <v>3</v>
      </c>
      <c r="O1041" s="2">
        <f t="shared" si="98"/>
        <v>443.66666666666669</v>
      </c>
      <c r="P1041" s="2">
        <f t="shared" si="99"/>
        <v>1.9890906373757753</v>
      </c>
      <c r="Q1041" s="3">
        <f t="shared" si="100"/>
        <v>0.16758076634109692</v>
      </c>
    </row>
    <row r="1042" spans="1:17" hidden="1" x14ac:dyDescent="0.25">
      <c r="A1042" t="s">
        <v>1109</v>
      </c>
      <c r="B1042" t="s">
        <v>27</v>
      </c>
      <c r="C1042" t="s">
        <v>28</v>
      </c>
      <c r="D1042" t="str">
        <f t="shared" si="96"/>
        <v>TX</v>
      </c>
      <c r="E1042" t="str">
        <f t="shared" si="97"/>
        <v>Southwest</v>
      </c>
      <c r="F1042" t="s">
        <v>14</v>
      </c>
      <c r="G1042" s="1">
        <v>44948</v>
      </c>
      <c r="H1042" s="1">
        <v>44953</v>
      </c>
      <c r="I1042" s="1">
        <f t="shared" si="101"/>
        <v>44953</v>
      </c>
      <c r="J1042" s="2">
        <v>10.3</v>
      </c>
      <c r="K1042" s="2">
        <v>237.92</v>
      </c>
      <c r="L1042" t="s">
        <v>15</v>
      </c>
      <c r="M1042" s="2">
        <v>1737</v>
      </c>
      <c r="N1042" s="2">
        <v>5</v>
      </c>
      <c r="O1042" s="2">
        <f t="shared" si="98"/>
        <v>347.4</v>
      </c>
      <c r="P1042" s="2">
        <f t="shared" si="99"/>
        <v>1.4601546738399462</v>
      </c>
      <c r="Q1042" s="3">
        <f t="shared" si="100"/>
        <v>0.13697179044329302</v>
      </c>
    </row>
    <row r="1043" spans="1:17" hidden="1" x14ac:dyDescent="0.25">
      <c r="A1043" t="s">
        <v>1110</v>
      </c>
      <c r="B1043" t="s">
        <v>39</v>
      </c>
      <c r="C1043" t="s">
        <v>40</v>
      </c>
      <c r="D1043" t="str">
        <f t="shared" si="96"/>
        <v>MI</v>
      </c>
      <c r="E1043" t="str">
        <f t="shared" si="97"/>
        <v>Midwest</v>
      </c>
      <c r="F1043" t="s">
        <v>18</v>
      </c>
      <c r="G1043" s="1">
        <v>45056</v>
      </c>
      <c r="H1043" s="1">
        <v>45068</v>
      </c>
      <c r="I1043" s="1">
        <f t="shared" si="101"/>
        <v>45068</v>
      </c>
      <c r="J1043" s="2">
        <v>31.3</v>
      </c>
      <c r="K1043" s="2">
        <v>323.10000000000002</v>
      </c>
      <c r="L1043" t="s">
        <v>47</v>
      </c>
      <c r="M1043" s="2">
        <v>1873</v>
      </c>
      <c r="N1043" s="2">
        <v>5</v>
      </c>
      <c r="O1043" s="2">
        <f t="shared" si="98"/>
        <v>374.6</v>
      </c>
      <c r="P1043" s="2">
        <f t="shared" si="99"/>
        <v>1.1593933766635716</v>
      </c>
      <c r="Q1043" s="3">
        <f t="shared" si="100"/>
        <v>0.17250400427122264</v>
      </c>
    </row>
    <row r="1044" spans="1:17" x14ac:dyDescent="0.25">
      <c r="A1044" t="s">
        <v>1111</v>
      </c>
      <c r="B1044" t="s">
        <v>12</v>
      </c>
      <c r="C1044" t="s">
        <v>81</v>
      </c>
      <c r="D1044" t="str">
        <f t="shared" si="96"/>
        <v>CO</v>
      </c>
      <c r="E1044" t="str">
        <f t="shared" si="97"/>
        <v>West</v>
      </c>
      <c r="F1044" t="s">
        <v>42</v>
      </c>
      <c r="G1044" s="1">
        <v>45272</v>
      </c>
      <c r="H1044" s="1">
        <v>45275</v>
      </c>
      <c r="I1044" s="1">
        <f t="shared" si="101"/>
        <v>45275</v>
      </c>
      <c r="J1044" s="2">
        <v>14.3</v>
      </c>
      <c r="K1044" s="2">
        <v>88.88</v>
      </c>
      <c r="L1044" t="s">
        <v>15</v>
      </c>
      <c r="M1044" s="2">
        <v>489</v>
      </c>
      <c r="N1044" s="2">
        <v>3</v>
      </c>
      <c r="O1044" s="2">
        <f t="shared" si="98"/>
        <v>163</v>
      </c>
      <c r="P1044" s="2">
        <f t="shared" si="99"/>
        <v>1.833933393339334</v>
      </c>
      <c r="Q1044" s="3">
        <f t="shared" si="100"/>
        <v>0.18175869120654395</v>
      </c>
    </row>
    <row r="1045" spans="1:17" hidden="1" x14ac:dyDescent="0.25">
      <c r="A1045" t="s">
        <v>1112</v>
      </c>
      <c r="B1045" t="s">
        <v>30</v>
      </c>
      <c r="C1045" t="s">
        <v>54</v>
      </c>
      <c r="D1045" t="str">
        <f t="shared" si="96"/>
        <v>FL</v>
      </c>
      <c r="E1045" t="str">
        <f t="shared" si="97"/>
        <v>Southeast</v>
      </c>
      <c r="F1045" t="s">
        <v>42</v>
      </c>
      <c r="G1045" s="1">
        <v>45113</v>
      </c>
      <c r="H1045" s="1">
        <v>45119</v>
      </c>
      <c r="I1045" s="1">
        <f t="shared" si="101"/>
        <v>45119</v>
      </c>
      <c r="J1045" s="2">
        <v>42.3</v>
      </c>
      <c r="K1045" s="2">
        <v>297.39999999999998</v>
      </c>
      <c r="L1045" t="s">
        <v>15</v>
      </c>
      <c r="M1045" s="2">
        <v>2310</v>
      </c>
      <c r="N1045" s="2">
        <v>6</v>
      </c>
      <c r="O1045" s="2">
        <f t="shared" si="98"/>
        <v>385</v>
      </c>
      <c r="P1045" s="2">
        <f t="shared" si="99"/>
        <v>1.2945527908540686</v>
      </c>
      <c r="Q1045" s="3">
        <f t="shared" si="100"/>
        <v>0.12874458874458874</v>
      </c>
    </row>
    <row r="1046" spans="1:17" hidden="1" x14ac:dyDescent="0.25">
      <c r="A1046" t="s">
        <v>1113</v>
      </c>
      <c r="B1046" t="s">
        <v>20</v>
      </c>
      <c r="C1046" t="s">
        <v>17</v>
      </c>
      <c r="D1046" t="str">
        <f t="shared" si="96"/>
        <v>GA</v>
      </c>
      <c r="E1046" t="str">
        <f t="shared" si="97"/>
        <v>Southeast</v>
      </c>
      <c r="F1046" t="s">
        <v>18</v>
      </c>
      <c r="G1046" s="1">
        <v>44930</v>
      </c>
      <c r="H1046" s="1">
        <v>44935</v>
      </c>
      <c r="I1046" s="1">
        <f t="shared" si="101"/>
        <v>44935</v>
      </c>
      <c r="J1046" s="2">
        <v>55.9</v>
      </c>
      <c r="K1046" s="2">
        <v>321.41000000000003</v>
      </c>
      <c r="L1046" t="s">
        <v>15</v>
      </c>
      <c r="M1046" s="2">
        <v>1931</v>
      </c>
      <c r="N1046" s="2">
        <v>5</v>
      </c>
      <c r="O1046" s="2">
        <f t="shared" si="98"/>
        <v>386.2</v>
      </c>
      <c r="P1046" s="2">
        <f t="shared" si="99"/>
        <v>1.2015805357642886</v>
      </c>
      <c r="Q1046" s="3">
        <f t="shared" si="100"/>
        <v>0.16644743656136718</v>
      </c>
    </row>
    <row r="1047" spans="1:17" x14ac:dyDescent="0.25">
      <c r="A1047" t="s">
        <v>1114</v>
      </c>
      <c r="B1047" t="s">
        <v>35</v>
      </c>
      <c r="C1047" t="s">
        <v>36</v>
      </c>
      <c r="D1047" t="str">
        <f t="shared" si="96"/>
        <v>OR</v>
      </c>
      <c r="E1047" t="str">
        <f t="shared" si="97"/>
        <v>West</v>
      </c>
      <c r="F1047" t="s">
        <v>37</v>
      </c>
      <c r="G1047" s="1">
        <v>45213</v>
      </c>
      <c r="H1047" s="1">
        <v>45216</v>
      </c>
      <c r="I1047" s="1">
        <f t="shared" si="101"/>
        <v>45216</v>
      </c>
      <c r="J1047" s="2">
        <v>8</v>
      </c>
      <c r="K1047" s="2">
        <v>33.03</v>
      </c>
      <c r="L1047" t="s">
        <v>15</v>
      </c>
      <c r="M1047" s="2">
        <v>207</v>
      </c>
      <c r="N1047" s="2">
        <v>3</v>
      </c>
      <c r="O1047" s="2">
        <f t="shared" si="98"/>
        <v>69</v>
      </c>
      <c r="P1047" s="2">
        <f t="shared" si="99"/>
        <v>2.0890099909173476</v>
      </c>
      <c r="Q1047" s="3">
        <f t="shared" si="100"/>
        <v>0.15956521739130436</v>
      </c>
    </row>
    <row r="1048" spans="1:17" x14ac:dyDescent="0.25">
      <c r="A1048" t="s">
        <v>1115</v>
      </c>
      <c r="B1048" t="s">
        <v>23</v>
      </c>
      <c r="C1048" t="s">
        <v>81</v>
      </c>
      <c r="D1048" t="str">
        <f t="shared" si="96"/>
        <v>CO</v>
      </c>
      <c r="E1048" t="str">
        <f t="shared" si="97"/>
        <v>West</v>
      </c>
      <c r="F1048" t="s">
        <v>14</v>
      </c>
      <c r="G1048" s="1">
        <v>45126</v>
      </c>
      <c r="H1048" s="1">
        <v>45139</v>
      </c>
      <c r="I1048" s="1">
        <f t="shared" si="101"/>
        <v>45139</v>
      </c>
      <c r="J1048" s="2">
        <v>25.9</v>
      </c>
      <c r="K1048" s="2">
        <v>323.47000000000003</v>
      </c>
      <c r="L1048" t="s">
        <v>47</v>
      </c>
      <c r="M1048" s="2">
        <v>2279</v>
      </c>
      <c r="N1048" s="2">
        <v>7</v>
      </c>
      <c r="O1048" s="2">
        <f t="shared" si="98"/>
        <v>325.57142857142856</v>
      </c>
      <c r="P1048" s="2">
        <f t="shared" si="99"/>
        <v>1.0064965176722063</v>
      </c>
      <c r="Q1048" s="3">
        <f t="shared" si="100"/>
        <v>0.14193505923650726</v>
      </c>
    </row>
    <row r="1049" spans="1:17" hidden="1" x14ac:dyDescent="0.25">
      <c r="A1049" t="s">
        <v>1116</v>
      </c>
      <c r="B1049" t="s">
        <v>49</v>
      </c>
      <c r="C1049" t="s">
        <v>28</v>
      </c>
      <c r="D1049" t="str">
        <f t="shared" si="96"/>
        <v>TX</v>
      </c>
      <c r="E1049" t="str">
        <f t="shared" si="97"/>
        <v>Southwest</v>
      </c>
      <c r="F1049" t="s">
        <v>14</v>
      </c>
      <c r="G1049" s="1">
        <v>45050</v>
      </c>
      <c r="H1049" s="1">
        <v>45055</v>
      </c>
      <c r="I1049" s="1">
        <f t="shared" si="101"/>
        <v>45055</v>
      </c>
      <c r="J1049" s="2">
        <v>11.6</v>
      </c>
      <c r="K1049" s="2">
        <v>196.42</v>
      </c>
      <c r="L1049" t="s">
        <v>15</v>
      </c>
      <c r="M1049" s="2">
        <v>1463</v>
      </c>
      <c r="N1049" s="2">
        <v>5</v>
      </c>
      <c r="O1049" s="2">
        <f t="shared" si="98"/>
        <v>292.60000000000002</v>
      </c>
      <c r="P1049" s="2">
        <f t="shared" si="99"/>
        <v>1.4896650035637922</v>
      </c>
      <c r="Q1049" s="3">
        <f t="shared" si="100"/>
        <v>0.1342583732057416</v>
      </c>
    </row>
    <row r="1050" spans="1:17" x14ac:dyDescent="0.25">
      <c r="A1050" t="s">
        <v>1117</v>
      </c>
      <c r="B1050" t="s">
        <v>35</v>
      </c>
      <c r="C1050" t="s">
        <v>36</v>
      </c>
      <c r="D1050" t="str">
        <f t="shared" si="96"/>
        <v>OR</v>
      </c>
      <c r="E1050" t="str">
        <f t="shared" si="97"/>
        <v>West</v>
      </c>
      <c r="F1050" t="s">
        <v>37</v>
      </c>
      <c r="G1050" s="1">
        <v>45109</v>
      </c>
      <c r="H1050" s="1">
        <v>45111</v>
      </c>
      <c r="I1050" s="1">
        <f t="shared" si="101"/>
        <v>45111</v>
      </c>
      <c r="J1050" s="2">
        <v>20.2</v>
      </c>
      <c r="K1050" s="2">
        <v>129.06</v>
      </c>
      <c r="L1050" t="s">
        <v>15</v>
      </c>
      <c r="M1050" s="2">
        <v>780</v>
      </c>
      <c r="N1050" s="2">
        <v>2</v>
      </c>
      <c r="O1050" s="2">
        <f t="shared" si="98"/>
        <v>390</v>
      </c>
      <c r="P1050" s="2">
        <f t="shared" si="99"/>
        <v>3.02185030218503</v>
      </c>
      <c r="Q1050" s="3">
        <f t="shared" si="100"/>
        <v>0.16546153846153847</v>
      </c>
    </row>
    <row r="1051" spans="1:17" hidden="1" x14ac:dyDescent="0.25">
      <c r="A1051" t="s">
        <v>1118</v>
      </c>
      <c r="B1051" t="s">
        <v>30</v>
      </c>
      <c r="C1051" t="s">
        <v>57</v>
      </c>
      <c r="D1051" t="str">
        <f t="shared" si="96"/>
        <v>MN</v>
      </c>
      <c r="E1051" t="str">
        <f t="shared" si="97"/>
        <v>Midwest</v>
      </c>
      <c r="F1051" t="s">
        <v>32</v>
      </c>
      <c r="G1051" s="1">
        <v>45055</v>
      </c>
      <c r="H1051" s="1">
        <v>45057</v>
      </c>
      <c r="I1051" s="1">
        <f t="shared" si="101"/>
        <v>45057</v>
      </c>
      <c r="J1051" s="2">
        <v>21.9</v>
      </c>
      <c r="K1051" s="2">
        <v>101.98</v>
      </c>
      <c r="L1051" t="s">
        <v>15</v>
      </c>
      <c r="M1051" s="2">
        <v>506</v>
      </c>
      <c r="N1051" s="2">
        <v>2</v>
      </c>
      <c r="O1051" s="2">
        <f t="shared" si="98"/>
        <v>253</v>
      </c>
      <c r="P1051" s="2">
        <f t="shared" si="99"/>
        <v>2.4808786036477741</v>
      </c>
      <c r="Q1051" s="3">
        <f t="shared" si="100"/>
        <v>0.20154150197628459</v>
      </c>
    </row>
    <row r="1052" spans="1:17" hidden="1" x14ac:dyDescent="0.25">
      <c r="A1052" t="s">
        <v>1119</v>
      </c>
      <c r="B1052" t="s">
        <v>56</v>
      </c>
      <c r="C1052" t="s">
        <v>28</v>
      </c>
      <c r="D1052" t="str">
        <f t="shared" si="96"/>
        <v>TX</v>
      </c>
      <c r="E1052" t="str">
        <f t="shared" si="97"/>
        <v>Southwest</v>
      </c>
      <c r="F1052" t="s">
        <v>37</v>
      </c>
      <c r="G1052" s="1">
        <v>44946</v>
      </c>
      <c r="H1052" s="1">
        <v>44955</v>
      </c>
      <c r="I1052" s="1">
        <f t="shared" si="101"/>
        <v>44955</v>
      </c>
      <c r="J1052" s="2">
        <v>10.3</v>
      </c>
      <c r="K1052" s="2">
        <v>310.92</v>
      </c>
      <c r="L1052" t="s">
        <v>15</v>
      </c>
      <c r="M1052" s="2">
        <v>2349</v>
      </c>
      <c r="N1052" s="2">
        <v>9</v>
      </c>
      <c r="O1052" s="2">
        <f t="shared" si="98"/>
        <v>261</v>
      </c>
      <c r="P1052" s="2">
        <f t="shared" si="99"/>
        <v>0.83944423002701651</v>
      </c>
      <c r="Q1052" s="3">
        <f t="shared" si="100"/>
        <v>0.13236270753512133</v>
      </c>
    </row>
    <row r="1053" spans="1:17" hidden="1" x14ac:dyDescent="0.25">
      <c r="A1053" t="s">
        <v>1120</v>
      </c>
      <c r="B1053" t="s">
        <v>30</v>
      </c>
      <c r="C1053" t="s">
        <v>31</v>
      </c>
      <c r="D1053" t="str">
        <f t="shared" si="96"/>
        <v>NY</v>
      </c>
      <c r="E1053" t="str">
        <f t="shared" si="97"/>
        <v>Northeast</v>
      </c>
      <c r="F1053" t="s">
        <v>42</v>
      </c>
      <c r="G1053" s="1">
        <v>45265</v>
      </c>
      <c r="H1053" s="1">
        <v>45267</v>
      </c>
      <c r="I1053" s="1">
        <f t="shared" si="101"/>
        <v>45267</v>
      </c>
      <c r="J1053" s="2">
        <v>7</v>
      </c>
      <c r="K1053" s="2">
        <v>114.15</v>
      </c>
      <c r="L1053" t="s">
        <v>15</v>
      </c>
      <c r="M1053" s="2">
        <v>704</v>
      </c>
      <c r="N1053" s="2">
        <v>2</v>
      </c>
      <c r="O1053" s="2">
        <f t="shared" si="98"/>
        <v>352</v>
      </c>
      <c r="P1053" s="2">
        <f t="shared" si="99"/>
        <v>3.0836618484450282</v>
      </c>
      <c r="Q1053" s="3">
        <f t="shared" si="100"/>
        <v>0.16214488636363636</v>
      </c>
    </row>
    <row r="1054" spans="1:17" x14ac:dyDescent="0.25">
      <c r="A1054" t="s">
        <v>1121</v>
      </c>
      <c r="B1054" t="s">
        <v>51</v>
      </c>
      <c r="C1054" t="s">
        <v>36</v>
      </c>
      <c r="D1054" t="str">
        <f t="shared" si="96"/>
        <v>OR</v>
      </c>
      <c r="E1054" t="str">
        <f t="shared" si="97"/>
        <v>West</v>
      </c>
      <c r="F1054" t="s">
        <v>59</v>
      </c>
      <c r="G1054" s="1">
        <v>45200</v>
      </c>
      <c r="H1054" s="1">
        <v>45206</v>
      </c>
      <c r="I1054" s="1">
        <f t="shared" si="101"/>
        <v>45206</v>
      </c>
      <c r="J1054" s="2">
        <v>37.4</v>
      </c>
      <c r="K1054" s="2">
        <v>165.48</v>
      </c>
      <c r="L1054" t="s">
        <v>15</v>
      </c>
      <c r="M1054" s="2">
        <v>1209</v>
      </c>
      <c r="N1054" s="2">
        <v>6</v>
      </c>
      <c r="O1054" s="2">
        <f t="shared" si="98"/>
        <v>201.5</v>
      </c>
      <c r="P1054" s="2">
        <f t="shared" si="99"/>
        <v>1.2176698090403675</v>
      </c>
      <c r="Q1054" s="3">
        <f t="shared" si="100"/>
        <v>0.13687344913151364</v>
      </c>
    </row>
    <row r="1055" spans="1:17" hidden="1" x14ac:dyDescent="0.25">
      <c r="A1055" t="s">
        <v>1122</v>
      </c>
      <c r="B1055" t="s">
        <v>35</v>
      </c>
      <c r="C1055" t="s">
        <v>54</v>
      </c>
      <c r="D1055" t="str">
        <f t="shared" si="96"/>
        <v>FL</v>
      </c>
      <c r="E1055" t="str">
        <f t="shared" si="97"/>
        <v>Southeast</v>
      </c>
      <c r="F1055" t="s">
        <v>37</v>
      </c>
      <c r="G1055" s="1">
        <v>45161</v>
      </c>
      <c r="H1055" s="1">
        <v>45165</v>
      </c>
      <c r="I1055" s="1">
        <f t="shared" si="101"/>
        <v>45165</v>
      </c>
      <c r="J1055" s="2">
        <v>13.9</v>
      </c>
      <c r="K1055" s="2">
        <v>163.87</v>
      </c>
      <c r="L1055" t="s">
        <v>15</v>
      </c>
      <c r="M1055" s="2">
        <v>1350</v>
      </c>
      <c r="N1055" s="2">
        <v>4</v>
      </c>
      <c r="O1055" s="2">
        <f t="shared" si="98"/>
        <v>337.5</v>
      </c>
      <c r="P1055" s="2">
        <f t="shared" si="99"/>
        <v>2.059559406846891</v>
      </c>
      <c r="Q1055" s="3">
        <f t="shared" si="100"/>
        <v>0.12138518518518519</v>
      </c>
    </row>
    <row r="1056" spans="1:17" hidden="1" x14ac:dyDescent="0.25">
      <c r="A1056" t="s">
        <v>1123</v>
      </c>
      <c r="B1056" t="s">
        <v>20</v>
      </c>
      <c r="C1056" t="s">
        <v>46</v>
      </c>
      <c r="D1056" t="str">
        <f t="shared" si="96"/>
        <v>MA</v>
      </c>
      <c r="E1056" t="str">
        <f t="shared" si="97"/>
        <v>Northeast</v>
      </c>
      <c r="F1056" t="s">
        <v>37</v>
      </c>
      <c r="G1056" s="1">
        <v>45214</v>
      </c>
      <c r="H1056" s="1">
        <v>45220</v>
      </c>
      <c r="I1056" s="1">
        <f t="shared" si="101"/>
        <v>45220</v>
      </c>
      <c r="J1056" s="2">
        <v>6</v>
      </c>
      <c r="K1056" s="2">
        <v>162.4</v>
      </c>
      <c r="L1056" t="s">
        <v>15</v>
      </c>
      <c r="M1056" s="2">
        <v>1231</v>
      </c>
      <c r="N1056" s="2">
        <v>6</v>
      </c>
      <c r="O1056" s="2">
        <f t="shared" si="98"/>
        <v>205.16666666666666</v>
      </c>
      <c r="P1056" s="2">
        <f t="shared" si="99"/>
        <v>1.2633415435139572</v>
      </c>
      <c r="Q1056" s="3">
        <f t="shared" si="100"/>
        <v>0.13192526401299756</v>
      </c>
    </row>
    <row r="1057" spans="1:17" hidden="1" x14ac:dyDescent="0.25">
      <c r="A1057" t="s">
        <v>1124</v>
      </c>
      <c r="B1057" t="s">
        <v>51</v>
      </c>
      <c r="C1057" t="s">
        <v>28</v>
      </c>
      <c r="D1057" t="str">
        <f t="shared" si="96"/>
        <v>TX</v>
      </c>
      <c r="E1057" t="str">
        <f t="shared" si="97"/>
        <v>Southwest</v>
      </c>
      <c r="F1057" t="s">
        <v>25</v>
      </c>
      <c r="G1057" s="1">
        <v>45033</v>
      </c>
      <c r="H1057" s="1">
        <v>45035</v>
      </c>
      <c r="I1057" s="1">
        <f t="shared" si="101"/>
        <v>45035</v>
      </c>
      <c r="J1057" s="2">
        <v>32.4</v>
      </c>
      <c r="K1057" s="2">
        <v>81.150000000000006</v>
      </c>
      <c r="L1057" t="s">
        <v>15</v>
      </c>
      <c r="M1057" s="2">
        <v>415</v>
      </c>
      <c r="N1057" s="2">
        <v>2</v>
      </c>
      <c r="O1057" s="2">
        <f t="shared" si="98"/>
        <v>207.5</v>
      </c>
      <c r="P1057" s="2">
        <f t="shared" si="99"/>
        <v>2.5569932224276029</v>
      </c>
      <c r="Q1057" s="3">
        <f t="shared" si="100"/>
        <v>0.19554216867469881</v>
      </c>
    </row>
    <row r="1058" spans="1:17" hidden="1" x14ac:dyDescent="0.25">
      <c r="A1058" t="s">
        <v>1125</v>
      </c>
      <c r="B1058" t="s">
        <v>30</v>
      </c>
      <c r="C1058" t="s">
        <v>52</v>
      </c>
      <c r="D1058" t="str">
        <f t="shared" si="96"/>
        <v>AZ</v>
      </c>
      <c r="E1058" t="str">
        <f t="shared" si="97"/>
        <v>Southwest</v>
      </c>
      <c r="F1058" t="s">
        <v>59</v>
      </c>
      <c r="G1058" s="1">
        <v>45077</v>
      </c>
      <c r="H1058" s="1">
        <v>45079</v>
      </c>
      <c r="I1058" s="1">
        <f t="shared" si="101"/>
        <v>45079</v>
      </c>
      <c r="J1058" s="2">
        <v>21.1</v>
      </c>
      <c r="K1058" s="2">
        <v>49.8</v>
      </c>
      <c r="L1058" t="s">
        <v>15</v>
      </c>
      <c r="M1058" s="2">
        <v>270</v>
      </c>
      <c r="N1058" s="2">
        <v>2</v>
      </c>
      <c r="O1058" s="2">
        <f t="shared" si="98"/>
        <v>135</v>
      </c>
      <c r="P1058" s="2">
        <f t="shared" si="99"/>
        <v>2.7108433734939759</v>
      </c>
      <c r="Q1058" s="3">
        <f t="shared" si="100"/>
        <v>0.18444444444444444</v>
      </c>
    </row>
    <row r="1059" spans="1:17" hidden="1" x14ac:dyDescent="0.25">
      <c r="A1059" t="s">
        <v>1126</v>
      </c>
      <c r="B1059" t="s">
        <v>30</v>
      </c>
      <c r="C1059" t="s">
        <v>21</v>
      </c>
      <c r="D1059" t="str">
        <f t="shared" si="96"/>
        <v>TX</v>
      </c>
      <c r="E1059" t="str">
        <f t="shared" si="97"/>
        <v>Southwest</v>
      </c>
      <c r="F1059" t="s">
        <v>37</v>
      </c>
      <c r="G1059" s="1">
        <v>45112</v>
      </c>
      <c r="H1059" s="1">
        <v>45117</v>
      </c>
      <c r="I1059" s="1">
        <f t="shared" si="101"/>
        <v>45117</v>
      </c>
      <c r="J1059" s="2">
        <v>66.5</v>
      </c>
      <c r="K1059" s="2">
        <v>94.15</v>
      </c>
      <c r="L1059" t="s">
        <v>15</v>
      </c>
      <c r="M1059" s="2">
        <v>155</v>
      </c>
      <c r="N1059" s="2">
        <v>5</v>
      </c>
      <c r="O1059" s="2">
        <f t="shared" si="98"/>
        <v>31</v>
      </c>
      <c r="P1059" s="2">
        <f t="shared" si="99"/>
        <v>0.32926181625066381</v>
      </c>
      <c r="Q1059" s="3">
        <f t="shared" si="100"/>
        <v>0.60741935483870968</v>
      </c>
    </row>
    <row r="1060" spans="1:17" hidden="1" x14ac:dyDescent="0.25">
      <c r="A1060" t="s">
        <v>1127</v>
      </c>
      <c r="B1060" t="s">
        <v>51</v>
      </c>
      <c r="C1060" t="s">
        <v>40</v>
      </c>
      <c r="D1060" t="str">
        <f t="shared" si="96"/>
        <v>MI</v>
      </c>
      <c r="E1060" t="str">
        <f t="shared" si="97"/>
        <v>Midwest</v>
      </c>
      <c r="F1060" t="s">
        <v>14</v>
      </c>
      <c r="G1060" s="1">
        <v>45275</v>
      </c>
      <c r="H1060" s="1">
        <v>45281</v>
      </c>
      <c r="I1060" s="1">
        <f t="shared" si="101"/>
        <v>45281</v>
      </c>
      <c r="J1060" s="2">
        <v>19.5</v>
      </c>
      <c r="K1060" s="2">
        <v>354.28</v>
      </c>
      <c r="L1060" t="s">
        <v>15</v>
      </c>
      <c r="M1060" s="2">
        <v>2393</v>
      </c>
      <c r="N1060" s="2">
        <v>6</v>
      </c>
      <c r="O1060" s="2">
        <f t="shared" si="98"/>
        <v>398.83333333333331</v>
      </c>
      <c r="P1060" s="2">
        <f t="shared" si="99"/>
        <v>1.1257574046893231</v>
      </c>
      <c r="Q1060" s="3">
        <f t="shared" si="100"/>
        <v>0.14804847471792729</v>
      </c>
    </row>
    <row r="1061" spans="1:17" hidden="1" x14ac:dyDescent="0.25">
      <c r="A1061" t="s">
        <v>1128</v>
      </c>
      <c r="B1061" t="s">
        <v>39</v>
      </c>
      <c r="C1061" t="s">
        <v>28</v>
      </c>
      <c r="D1061" t="str">
        <f t="shared" si="96"/>
        <v>TX</v>
      </c>
      <c r="E1061" t="str">
        <f t="shared" si="97"/>
        <v>Southwest</v>
      </c>
      <c r="F1061" t="s">
        <v>14</v>
      </c>
      <c r="G1061" s="1">
        <v>45208</v>
      </c>
      <c r="H1061" s="1">
        <v>45213</v>
      </c>
      <c r="I1061" s="1">
        <f t="shared" si="101"/>
        <v>45213</v>
      </c>
      <c r="J1061" s="2">
        <v>7.6</v>
      </c>
      <c r="K1061" s="2">
        <v>108.9</v>
      </c>
      <c r="L1061" t="s">
        <v>15</v>
      </c>
      <c r="M1061" s="2">
        <v>772</v>
      </c>
      <c r="N1061" s="2">
        <v>5</v>
      </c>
      <c r="O1061" s="2">
        <f t="shared" si="98"/>
        <v>154.4</v>
      </c>
      <c r="P1061" s="2">
        <f t="shared" si="99"/>
        <v>1.4178145087235996</v>
      </c>
      <c r="Q1061" s="3">
        <f t="shared" si="100"/>
        <v>0.1410621761658031</v>
      </c>
    </row>
    <row r="1062" spans="1:17" hidden="1" x14ac:dyDescent="0.25">
      <c r="A1062" t="s">
        <v>1129</v>
      </c>
      <c r="B1062" t="s">
        <v>35</v>
      </c>
      <c r="C1062" t="s">
        <v>54</v>
      </c>
      <c r="D1062" t="str">
        <f t="shared" si="96"/>
        <v>FL</v>
      </c>
      <c r="E1062" t="str">
        <f t="shared" si="97"/>
        <v>Southeast</v>
      </c>
      <c r="F1062" t="s">
        <v>37</v>
      </c>
      <c r="G1062" s="1">
        <v>45130</v>
      </c>
      <c r="H1062" s="1">
        <v>45133</v>
      </c>
      <c r="I1062" s="1">
        <f t="shared" si="101"/>
        <v>45133</v>
      </c>
      <c r="J1062" s="2">
        <v>84.6</v>
      </c>
      <c r="K1062" s="2">
        <v>260.77999999999997</v>
      </c>
      <c r="L1062" t="s">
        <v>62</v>
      </c>
      <c r="M1062" s="2">
        <v>1350</v>
      </c>
      <c r="N1062" s="2">
        <v>3</v>
      </c>
      <c r="O1062" s="2">
        <f t="shared" si="98"/>
        <v>450</v>
      </c>
      <c r="P1062" s="2">
        <f t="shared" si="99"/>
        <v>1.7255924534090039</v>
      </c>
      <c r="Q1062" s="3">
        <f t="shared" si="100"/>
        <v>0.19317037037037035</v>
      </c>
    </row>
    <row r="1063" spans="1:17" x14ac:dyDescent="0.25">
      <c r="A1063" t="s">
        <v>1130</v>
      </c>
      <c r="B1063" t="s">
        <v>56</v>
      </c>
      <c r="C1063" t="s">
        <v>13</v>
      </c>
      <c r="D1063" t="str">
        <f t="shared" si="96"/>
        <v>CA</v>
      </c>
      <c r="E1063" t="str">
        <f t="shared" si="97"/>
        <v>West</v>
      </c>
      <c r="F1063" t="s">
        <v>18</v>
      </c>
      <c r="G1063" s="1">
        <v>45174</v>
      </c>
      <c r="H1063" s="1">
        <v>45185</v>
      </c>
      <c r="I1063" s="1">
        <f t="shared" si="101"/>
        <v>45185</v>
      </c>
      <c r="J1063" s="2">
        <v>26.7</v>
      </c>
      <c r="K1063" s="2">
        <v>243.13</v>
      </c>
      <c r="L1063" t="s">
        <v>47</v>
      </c>
      <c r="M1063" s="2">
        <v>1505</v>
      </c>
      <c r="N1063" s="2">
        <v>5</v>
      </c>
      <c r="O1063" s="2">
        <f t="shared" si="98"/>
        <v>301</v>
      </c>
      <c r="P1063" s="2">
        <f t="shared" si="99"/>
        <v>1.2380208119113232</v>
      </c>
      <c r="Q1063" s="3">
        <f t="shared" si="100"/>
        <v>0.16154817275747507</v>
      </c>
    </row>
    <row r="1064" spans="1:17" x14ac:dyDescent="0.25">
      <c r="A1064" t="s">
        <v>1131</v>
      </c>
      <c r="B1064" t="s">
        <v>27</v>
      </c>
      <c r="C1064" t="s">
        <v>36</v>
      </c>
      <c r="D1064" t="str">
        <f t="shared" si="96"/>
        <v>OR</v>
      </c>
      <c r="E1064" t="str">
        <f t="shared" si="97"/>
        <v>West</v>
      </c>
      <c r="F1064" t="s">
        <v>37</v>
      </c>
      <c r="G1064" s="1">
        <v>45106</v>
      </c>
      <c r="H1064" s="1">
        <v>45108</v>
      </c>
      <c r="I1064" s="1">
        <f t="shared" si="101"/>
        <v>45108</v>
      </c>
      <c r="J1064" s="2">
        <v>22.6</v>
      </c>
      <c r="K1064" s="2">
        <v>115.12</v>
      </c>
      <c r="L1064" t="s">
        <v>15</v>
      </c>
      <c r="M1064" s="2">
        <v>719</v>
      </c>
      <c r="N1064" s="2">
        <v>2</v>
      </c>
      <c r="O1064" s="2">
        <f t="shared" si="98"/>
        <v>359.5</v>
      </c>
      <c r="P1064" s="2">
        <f t="shared" si="99"/>
        <v>3.1228283530229324</v>
      </c>
      <c r="Q1064" s="3">
        <f t="shared" si="100"/>
        <v>0.16011126564673159</v>
      </c>
    </row>
    <row r="1065" spans="1:17" hidden="1" x14ac:dyDescent="0.25">
      <c r="A1065" t="s">
        <v>1132</v>
      </c>
      <c r="B1065" t="s">
        <v>56</v>
      </c>
      <c r="C1065" t="s">
        <v>52</v>
      </c>
      <c r="D1065" t="str">
        <f t="shared" si="96"/>
        <v>AZ</v>
      </c>
      <c r="E1065" t="str">
        <f t="shared" si="97"/>
        <v>Southwest</v>
      </c>
      <c r="F1065" t="s">
        <v>32</v>
      </c>
      <c r="G1065" s="1">
        <v>45278</v>
      </c>
      <c r="H1065" s="1">
        <v>45281</v>
      </c>
      <c r="I1065" s="1">
        <f t="shared" si="101"/>
        <v>45281</v>
      </c>
      <c r="J1065" s="2">
        <v>31</v>
      </c>
      <c r="K1065" s="2">
        <v>227.94</v>
      </c>
      <c r="L1065" t="s">
        <v>15</v>
      </c>
      <c r="M1065" s="2">
        <v>1045</v>
      </c>
      <c r="N1065" s="2">
        <v>3</v>
      </c>
      <c r="O1065" s="2">
        <f t="shared" si="98"/>
        <v>348.33333333333331</v>
      </c>
      <c r="P1065" s="2">
        <f t="shared" si="99"/>
        <v>1.5281799303910386</v>
      </c>
      <c r="Q1065" s="3">
        <f t="shared" si="100"/>
        <v>0.21812440191387561</v>
      </c>
    </row>
    <row r="1066" spans="1:17" hidden="1" x14ac:dyDescent="0.25">
      <c r="A1066" t="s">
        <v>1133</v>
      </c>
      <c r="B1066" t="s">
        <v>27</v>
      </c>
      <c r="C1066" t="s">
        <v>17</v>
      </c>
      <c r="D1066" t="str">
        <f t="shared" si="96"/>
        <v>GA</v>
      </c>
      <c r="E1066" t="str">
        <f t="shared" si="97"/>
        <v>Southeast</v>
      </c>
      <c r="F1066" t="s">
        <v>32</v>
      </c>
      <c r="G1066" s="1">
        <v>45216</v>
      </c>
      <c r="H1066" s="1">
        <v>45220</v>
      </c>
      <c r="I1066" s="1">
        <f t="shared" si="101"/>
        <v>45220</v>
      </c>
      <c r="J1066" s="2">
        <v>22.9</v>
      </c>
      <c r="K1066" s="2">
        <v>178.45</v>
      </c>
      <c r="L1066" t="s">
        <v>15</v>
      </c>
      <c r="M1066" s="2">
        <v>1185</v>
      </c>
      <c r="N1066" s="2">
        <v>4</v>
      </c>
      <c r="O1066" s="2">
        <f t="shared" si="98"/>
        <v>296.25</v>
      </c>
      <c r="P1066" s="2">
        <f t="shared" si="99"/>
        <v>1.6601288876435978</v>
      </c>
      <c r="Q1066" s="3">
        <f t="shared" si="100"/>
        <v>0.15059071729957804</v>
      </c>
    </row>
    <row r="1067" spans="1:17" hidden="1" x14ac:dyDescent="0.25">
      <c r="A1067" t="s">
        <v>1134</v>
      </c>
      <c r="B1067" t="s">
        <v>30</v>
      </c>
      <c r="C1067" t="s">
        <v>46</v>
      </c>
      <c r="D1067" t="str">
        <f t="shared" si="96"/>
        <v>MA</v>
      </c>
      <c r="E1067" t="str">
        <f t="shared" si="97"/>
        <v>Northeast</v>
      </c>
      <c r="F1067" t="s">
        <v>14</v>
      </c>
      <c r="G1067" s="1">
        <v>45180</v>
      </c>
      <c r="H1067" s="1">
        <v>45186</v>
      </c>
      <c r="I1067" s="1">
        <f t="shared" si="101"/>
        <v>45186</v>
      </c>
      <c r="J1067" s="2">
        <v>41.5</v>
      </c>
      <c r="K1067" s="2">
        <v>338.34</v>
      </c>
      <c r="L1067" t="s">
        <v>15</v>
      </c>
      <c r="M1067" s="2">
        <v>2120</v>
      </c>
      <c r="N1067" s="2">
        <v>6</v>
      </c>
      <c r="O1067" s="2">
        <f t="shared" si="98"/>
        <v>353.33333333333331</v>
      </c>
      <c r="P1067" s="2">
        <f t="shared" si="99"/>
        <v>1.0443143977458573</v>
      </c>
      <c r="Q1067" s="3">
        <f t="shared" si="100"/>
        <v>0.1595943396226415</v>
      </c>
    </row>
    <row r="1068" spans="1:17" x14ac:dyDescent="0.25">
      <c r="A1068" t="s">
        <v>1135</v>
      </c>
      <c r="B1068" t="s">
        <v>23</v>
      </c>
      <c r="C1068" t="s">
        <v>36</v>
      </c>
      <c r="D1068" t="str">
        <f t="shared" si="96"/>
        <v>OR</v>
      </c>
      <c r="E1068" t="str">
        <f t="shared" si="97"/>
        <v>West</v>
      </c>
      <c r="F1068" t="s">
        <v>25</v>
      </c>
      <c r="G1068" s="1">
        <v>45237</v>
      </c>
      <c r="H1068" s="1">
        <v>45242</v>
      </c>
      <c r="I1068" s="1">
        <f t="shared" si="101"/>
        <v>45242</v>
      </c>
      <c r="J1068" s="2">
        <v>40</v>
      </c>
      <c r="K1068" s="2">
        <v>437.26</v>
      </c>
      <c r="L1068" t="s">
        <v>15</v>
      </c>
      <c r="M1068" s="2">
        <v>2431</v>
      </c>
      <c r="N1068" s="2">
        <v>5</v>
      </c>
      <c r="O1068" s="2">
        <f t="shared" si="98"/>
        <v>486.2</v>
      </c>
      <c r="P1068" s="2">
        <f t="shared" si="99"/>
        <v>1.1119242555916389</v>
      </c>
      <c r="Q1068" s="3">
        <f t="shared" si="100"/>
        <v>0.17986836692719047</v>
      </c>
    </row>
    <row r="1069" spans="1:17" hidden="1" x14ac:dyDescent="0.25">
      <c r="A1069" t="s">
        <v>1136</v>
      </c>
      <c r="B1069" t="s">
        <v>23</v>
      </c>
      <c r="C1069" t="s">
        <v>31</v>
      </c>
      <c r="D1069" t="str">
        <f t="shared" si="96"/>
        <v>NY</v>
      </c>
      <c r="E1069" t="str">
        <f t="shared" si="97"/>
        <v>Northeast</v>
      </c>
      <c r="F1069" t="s">
        <v>18</v>
      </c>
      <c r="G1069" s="1">
        <v>45223</v>
      </c>
      <c r="H1069" s="1">
        <v>45225</v>
      </c>
      <c r="I1069" s="1">
        <f t="shared" si="101"/>
        <v>45225</v>
      </c>
      <c r="J1069" s="2">
        <v>3.5</v>
      </c>
      <c r="K1069" s="2">
        <v>105.56</v>
      </c>
      <c r="L1069" t="s">
        <v>15</v>
      </c>
      <c r="M1069" s="2">
        <v>799</v>
      </c>
      <c r="N1069" s="2">
        <v>2</v>
      </c>
      <c r="O1069" s="2">
        <f t="shared" si="98"/>
        <v>399.5</v>
      </c>
      <c r="P1069" s="2">
        <f t="shared" si="99"/>
        <v>3.7845774914740433</v>
      </c>
      <c r="Q1069" s="3">
        <f t="shared" si="100"/>
        <v>0.13211514392991239</v>
      </c>
    </row>
    <row r="1070" spans="1:17" hidden="1" x14ac:dyDescent="0.25">
      <c r="A1070" t="s">
        <v>1137</v>
      </c>
      <c r="B1070" t="s">
        <v>20</v>
      </c>
      <c r="C1070" t="s">
        <v>40</v>
      </c>
      <c r="D1070" t="str">
        <f t="shared" ref="D1070:D1132" si="102">IF(C1070="Atlanta","GA",
IF(C1070="Boston","MA",
IF(C1070="Chicago","IL",
IF(C1070="Dallas","TX",
IF(C1070="Denver","CO",
IF(C1070="Detroit","MI",
IF(C1070="Houston","TX",
IF(C1070="Los Angeles","CA",
IF(C1070="Miami","FL",
IF(C1070="Minneapolis","MN",
IF(C1070="New York","NY",
IF(C1070="Phoenix","AZ",
IF(C1070="Portland","OR",
IF(C1070="San Francisco","CA",
IF(C1070="Seattle","WA","Unknown")))))))))))))))</f>
        <v>MI</v>
      </c>
      <c r="E1070" t="str">
        <f t="shared" ref="E1070:E1132" si="103">IF(OR(D1070="NY",D1070="NJ",D1070="PA",D1070="MA",D1070="CT",D1070="RI",D1070="VT",D1070="NH",D1070="ME"),"Northeast",
IF(OR(D1070="FL",D1070="GA",D1070="AL",D1070="MS",D1070="SC",D1070="NC",D1070="TN",D1070="KY"),"Southeast",
IF(OR(D1070="IL",D1070="IN",D1070="OH",D1070="MI",D1070="WI",D1070="MN",D1070="IA",D1070="MO",D1070="KS",D1070="NE",D1070="ND",D1070="SD"),"Midwest",
IF(OR(D1070="TX",D1070="OK",D1070="NM",D1070="AZ"),"Southwest",
IF(OR(D1070="CA",D1070="OR",D1070="WA",D1070="NV",D1070="CO",D1070="UT",D1070="ID",D1070="MT",D1070="WY",D1070="AK",D1070="HI"),"West","Other")))))</f>
        <v>Midwest</v>
      </c>
      <c r="F1070" t="s">
        <v>42</v>
      </c>
      <c r="G1070" s="1">
        <v>45227</v>
      </c>
      <c r="H1070" s="1">
        <v>45230</v>
      </c>
      <c r="I1070" s="1">
        <f t="shared" si="101"/>
        <v>45230</v>
      </c>
      <c r="J1070" s="2">
        <v>70.400000000000006</v>
      </c>
      <c r="K1070" s="2">
        <v>166.43</v>
      </c>
      <c r="L1070" t="s">
        <v>15</v>
      </c>
      <c r="M1070" s="2">
        <v>795</v>
      </c>
      <c r="N1070" s="2">
        <v>3</v>
      </c>
      <c r="O1070" s="2">
        <f t="shared" ref="O1070:O1132" si="104">M1070/N1070</f>
        <v>265</v>
      </c>
      <c r="P1070" s="2">
        <f t="shared" ref="P1070:P1132" si="105">O1070/K1070</f>
        <v>1.5922610106351018</v>
      </c>
      <c r="Q1070" s="3">
        <f t="shared" ref="Q1070:Q1132" si="106">K1070/M1070</f>
        <v>0.20934591194968555</v>
      </c>
    </row>
    <row r="1071" spans="1:17" hidden="1" x14ac:dyDescent="0.25">
      <c r="A1071" t="s">
        <v>1138</v>
      </c>
      <c r="B1071" t="s">
        <v>20</v>
      </c>
      <c r="C1071" t="s">
        <v>40</v>
      </c>
      <c r="D1071" t="str">
        <f t="shared" si="102"/>
        <v>MI</v>
      </c>
      <c r="E1071" t="str">
        <f t="shared" si="103"/>
        <v>Midwest</v>
      </c>
      <c r="F1071" t="s">
        <v>18</v>
      </c>
      <c r="G1071" s="1">
        <v>45282</v>
      </c>
      <c r="H1071" s="1">
        <v>45285</v>
      </c>
      <c r="I1071" s="1">
        <f t="shared" si="101"/>
        <v>45285</v>
      </c>
      <c r="J1071" s="2">
        <v>17.5</v>
      </c>
      <c r="K1071" s="2">
        <v>100.77</v>
      </c>
      <c r="L1071" t="s">
        <v>15</v>
      </c>
      <c r="M1071" s="2">
        <v>427</v>
      </c>
      <c r="N1071" s="2">
        <v>3</v>
      </c>
      <c r="O1071" s="2">
        <f t="shared" si="104"/>
        <v>142.33333333333334</v>
      </c>
      <c r="P1071" s="2">
        <f t="shared" si="105"/>
        <v>1.4124574112665809</v>
      </c>
      <c r="Q1071" s="3">
        <f t="shared" si="106"/>
        <v>0.23599531615925057</v>
      </c>
    </row>
    <row r="1072" spans="1:17" hidden="1" x14ac:dyDescent="0.25">
      <c r="A1072" t="s">
        <v>1139</v>
      </c>
      <c r="B1072" t="s">
        <v>27</v>
      </c>
      <c r="C1072" t="s">
        <v>17</v>
      </c>
      <c r="D1072" t="str">
        <f t="shared" si="102"/>
        <v>GA</v>
      </c>
      <c r="E1072" t="str">
        <f t="shared" si="103"/>
        <v>Southeast</v>
      </c>
      <c r="F1072" t="s">
        <v>42</v>
      </c>
      <c r="G1072" s="1">
        <v>45133</v>
      </c>
      <c r="H1072" s="1">
        <v>45145</v>
      </c>
      <c r="I1072" s="1">
        <f t="shared" si="101"/>
        <v>45145</v>
      </c>
      <c r="J1072" s="2">
        <v>15.5</v>
      </c>
      <c r="K1072" s="2">
        <v>130.66999999999999</v>
      </c>
      <c r="L1072" t="s">
        <v>47</v>
      </c>
      <c r="M1072" s="2">
        <v>1035</v>
      </c>
      <c r="N1072" s="2">
        <v>3</v>
      </c>
      <c r="O1072" s="2">
        <f t="shared" si="104"/>
        <v>345</v>
      </c>
      <c r="P1072" s="2">
        <f t="shared" si="105"/>
        <v>2.6402387694191476</v>
      </c>
      <c r="Q1072" s="3">
        <f t="shared" si="106"/>
        <v>0.1262512077294686</v>
      </c>
    </row>
    <row r="1073" spans="1:17" x14ac:dyDescent="0.25">
      <c r="A1073" t="s">
        <v>1140</v>
      </c>
      <c r="B1073" t="s">
        <v>51</v>
      </c>
      <c r="C1073" t="s">
        <v>36</v>
      </c>
      <c r="D1073" t="str">
        <f t="shared" si="102"/>
        <v>OR</v>
      </c>
      <c r="E1073" t="str">
        <f t="shared" si="103"/>
        <v>West</v>
      </c>
      <c r="F1073" t="s">
        <v>18</v>
      </c>
      <c r="G1073" s="1">
        <v>45136</v>
      </c>
      <c r="H1073" s="1">
        <v>45140</v>
      </c>
      <c r="I1073" s="1">
        <f t="shared" si="101"/>
        <v>45140</v>
      </c>
      <c r="J1073" s="2">
        <v>26.5</v>
      </c>
      <c r="K1073" s="2">
        <v>292.13</v>
      </c>
      <c r="L1073" t="s">
        <v>15</v>
      </c>
      <c r="M1073" s="2">
        <v>1670</v>
      </c>
      <c r="N1073" s="2">
        <v>4</v>
      </c>
      <c r="O1073" s="2">
        <f t="shared" si="104"/>
        <v>417.5</v>
      </c>
      <c r="P1073" s="2">
        <f t="shared" si="105"/>
        <v>1.4291582514633896</v>
      </c>
      <c r="Q1073" s="3">
        <f t="shared" si="106"/>
        <v>0.17492814371257484</v>
      </c>
    </row>
    <row r="1074" spans="1:17" x14ac:dyDescent="0.25">
      <c r="A1074" t="s">
        <v>1141</v>
      </c>
      <c r="B1074" t="s">
        <v>23</v>
      </c>
      <c r="C1074" t="s">
        <v>36</v>
      </c>
      <c r="D1074" t="str">
        <f t="shared" si="102"/>
        <v>OR</v>
      </c>
      <c r="E1074" t="str">
        <f t="shared" si="103"/>
        <v>West</v>
      </c>
      <c r="F1074" t="s">
        <v>37</v>
      </c>
      <c r="G1074" s="1">
        <v>45049</v>
      </c>
      <c r="H1074" s="1">
        <v>45061</v>
      </c>
      <c r="I1074" s="1">
        <f t="shared" si="101"/>
        <v>45061</v>
      </c>
      <c r="J1074" s="2">
        <v>7.7</v>
      </c>
      <c r="K1074" s="2">
        <v>226.92</v>
      </c>
      <c r="L1074" t="s">
        <v>15</v>
      </c>
      <c r="M1074" s="2">
        <v>1895</v>
      </c>
      <c r="N1074" s="2">
        <v>12</v>
      </c>
      <c r="O1074" s="2">
        <f t="shared" si="104"/>
        <v>157.91666666666666</v>
      </c>
      <c r="P1074" s="2">
        <f t="shared" si="105"/>
        <v>0.69591339091603499</v>
      </c>
      <c r="Q1074" s="3">
        <f t="shared" si="106"/>
        <v>0.11974670184696569</v>
      </c>
    </row>
    <row r="1075" spans="1:17" hidden="1" x14ac:dyDescent="0.25">
      <c r="A1075" t="s">
        <v>1142</v>
      </c>
      <c r="B1075" t="s">
        <v>30</v>
      </c>
      <c r="C1075" t="s">
        <v>54</v>
      </c>
      <c r="D1075" t="str">
        <f t="shared" si="102"/>
        <v>FL</v>
      </c>
      <c r="E1075" t="str">
        <f t="shared" si="103"/>
        <v>Southeast</v>
      </c>
      <c r="F1075" t="s">
        <v>37</v>
      </c>
      <c r="G1075" s="1">
        <v>45070</v>
      </c>
      <c r="H1075" s="1">
        <v>45074</v>
      </c>
      <c r="I1075" s="1">
        <f t="shared" si="101"/>
        <v>45074</v>
      </c>
      <c r="J1075" s="2">
        <v>31.7</v>
      </c>
      <c r="K1075" s="2">
        <v>134.57</v>
      </c>
      <c r="L1075" t="s">
        <v>15</v>
      </c>
      <c r="M1075" s="2">
        <v>862</v>
      </c>
      <c r="N1075" s="2">
        <v>4</v>
      </c>
      <c r="O1075" s="2">
        <f t="shared" si="104"/>
        <v>215.5</v>
      </c>
      <c r="P1075" s="2">
        <f t="shared" si="105"/>
        <v>1.6013970424314483</v>
      </c>
      <c r="Q1075" s="3">
        <f t="shared" si="106"/>
        <v>0.1561136890951276</v>
      </c>
    </row>
    <row r="1076" spans="1:17" hidden="1" x14ac:dyDescent="0.25">
      <c r="A1076" t="s">
        <v>1143</v>
      </c>
      <c r="B1076" t="s">
        <v>27</v>
      </c>
      <c r="C1076" t="s">
        <v>31</v>
      </c>
      <c r="D1076" t="str">
        <f t="shared" si="102"/>
        <v>NY</v>
      </c>
      <c r="E1076" t="str">
        <f t="shared" si="103"/>
        <v>Northeast</v>
      </c>
      <c r="F1076" t="s">
        <v>18</v>
      </c>
      <c r="G1076" s="1">
        <v>45070</v>
      </c>
      <c r="H1076" s="1">
        <v>45074</v>
      </c>
      <c r="I1076" s="1">
        <f t="shared" si="101"/>
        <v>45074</v>
      </c>
      <c r="J1076" s="2">
        <v>15.3</v>
      </c>
      <c r="K1076" s="2">
        <v>271.25</v>
      </c>
      <c r="L1076" t="s">
        <v>15</v>
      </c>
      <c r="M1076" s="2">
        <v>1709</v>
      </c>
      <c r="N1076" s="2">
        <v>4</v>
      </c>
      <c r="O1076" s="2">
        <f t="shared" si="104"/>
        <v>427.25</v>
      </c>
      <c r="P1076" s="2">
        <f t="shared" si="105"/>
        <v>1.5751152073732719</v>
      </c>
      <c r="Q1076" s="3">
        <f t="shared" si="106"/>
        <v>0.15871854885898187</v>
      </c>
    </row>
    <row r="1077" spans="1:17" hidden="1" x14ac:dyDescent="0.25">
      <c r="A1077" t="s">
        <v>1144</v>
      </c>
      <c r="B1077" t="s">
        <v>51</v>
      </c>
      <c r="C1077" t="s">
        <v>52</v>
      </c>
      <c r="D1077" t="str">
        <f t="shared" si="102"/>
        <v>AZ</v>
      </c>
      <c r="E1077" t="str">
        <f t="shared" si="103"/>
        <v>Southwest</v>
      </c>
      <c r="F1077" t="s">
        <v>32</v>
      </c>
      <c r="G1077" s="1">
        <v>45061</v>
      </c>
      <c r="H1077" s="1">
        <v>45067</v>
      </c>
      <c r="I1077" s="1">
        <f t="shared" si="101"/>
        <v>45067</v>
      </c>
      <c r="J1077" s="2">
        <v>7.1</v>
      </c>
      <c r="K1077" s="2">
        <v>304.95999999999998</v>
      </c>
      <c r="L1077" t="s">
        <v>15</v>
      </c>
      <c r="M1077" s="2">
        <v>2397</v>
      </c>
      <c r="N1077" s="2">
        <v>6</v>
      </c>
      <c r="O1077" s="2">
        <f t="shared" si="104"/>
        <v>399.5</v>
      </c>
      <c r="P1077" s="2">
        <f t="shared" si="105"/>
        <v>1.3100078698845752</v>
      </c>
      <c r="Q1077" s="3">
        <f t="shared" si="106"/>
        <v>0.12722569879015436</v>
      </c>
    </row>
    <row r="1078" spans="1:17" x14ac:dyDescent="0.25">
      <c r="A1078" t="s">
        <v>1145</v>
      </c>
      <c r="B1078" t="s">
        <v>39</v>
      </c>
      <c r="C1078" t="s">
        <v>36</v>
      </c>
      <c r="D1078" t="str">
        <f t="shared" si="102"/>
        <v>OR</v>
      </c>
      <c r="E1078" t="str">
        <f t="shared" si="103"/>
        <v>West</v>
      </c>
      <c r="F1078" t="s">
        <v>32</v>
      </c>
      <c r="G1078" s="1">
        <v>44937</v>
      </c>
      <c r="H1078" s="1">
        <v>44943</v>
      </c>
      <c r="I1078" s="1">
        <f t="shared" si="101"/>
        <v>44943</v>
      </c>
      <c r="J1078" s="2">
        <v>90.3</v>
      </c>
      <c r="K1078" s="2">
        <v>248.01</v>
      </c>
      <c r="L1078" t="s">
        <v>15</v>
      </c>
      <c r="M1078" s="2">
        <v>1076</v>
      </c>
      <c r="N1078" s="2">
        <v>6</v>
      </c>
      <c r="O1078" s="2">
        <f t="shared" si="104"/>
        <v>179.33333333333334</v>
      </c>
      <c r="P1078" s="2">
        <f t="shared" si="105"/>
        <v>0.7230891227504268</v>
      </c>
      <c r="Q1078" s="3">
        <f t="shared" si="106"/>
        <v>0.23049256505576207</v>
      </c>
    </row>
    <row r="1079" spans="1:17" x14ac:dyDescent="0.25">
      <c r="A1079" t="s">
        <v>1146</v>
      </c>
      <c r="B1079" t="s">
        <v>20</v>
      </c>
      <c r="C1079" t="s">
        <v>13</v>
      </c>
      <c r="D1079" t="str">
        <f t="shared" si="102"/>
        <v>CA</v>
      </c>
      <c r="E1079" t="str">
        <f t="shared" si="103"/>
        <v>West</v>
      </c>
      <c r="F1079" t="s">
        <v>42</v>
      </c>
      <c r="G1079" s="1">
        <v>45016</v>
      </c>
      <c r="H1079" s="1">
        <v>45020</v>
      </c>
      <c r="I1079" s="1">
        <f t="shared" si="101"/>
        <v>45020</v>
      </c>
      <c r="J1079" s="2">
        <v>30.3</v>
      </c>
      <c r="K1079" s="2">
        <v>127.04</v>
      </c>
      <c r="L1079" t="s">
        <v>15</v>
      </c>
      <c r="M1079" s="2">
        <v>862</v>
      </c>
      <c r="N1079" s="2">
        <v>4</v>
      </c>
      <c r="O1079" s="2">
        <f t="shared" si="104"/>
        <v>215.5</v>
      </c>
      <c r="P1079" s="2">
        <f t="shared" si="105"/>
        <v>1.696316120906801</v>
      </c>
      <c r="Q1079" s="3">
        <f t="shared" si="106"/>
        <v>0.14737819025522042</v>
      </c>
    </row>
    <row r="1080" spans="1:17" hidden="1" x14ac:dyDescent="0.25">
      <c r="A1080" t="s">
        <v>1147</v>
      </c>
      <c r="B1080" t="s">
        <v>56</v>
      </c>
      <c r="C1080" t="s">
        <v>17</v>
      </c>
      <c r="D1080" t="str">
        <f t="shared" si="102"/>
        <v>GA</v>
      </c>
      <c r="E1080" t="str">
        <f t="shared" si="103"/>
        <v>Southeast</v>
      </c>
      <c r="F1080" t="s">
        <v>25</v>
      </c>
      <c r="G1080" s="1">
        <v>45224</v>
      </c>
      <c r="H1080" s="1">
        <v>45230</v>
      </c>
      <c r="I1080" s="1">
        <f t="shared" si="101"/>
        <v>45230</v>
      </c>
      <c r="J1080" s="2">
        <v>12.6</v>
      </c>
      <c r="K1080" s="2">
        <v>158.56</v>
      </c>
      <c r="L1080" t="s">
        <v>15</v>
      </c>
      <c r="M1080" s="2">
        <v>1256</v>
      </c>
      <c r="N1080" s="2">
        <v>6</v>
      </c>
      <c r="O1080" s="2">
        <f t="shared" si="104"/>
        <v>209.33333333333334</v>
      </c>
      <c r="P1080" s="2">
        <f t="shared" si="105"/>
        <v>1.3202152707702657</v>
      </c>
      <c r="Q1080" s="3">
        <f t="shared" si="106"/>
        <v>0.12624203821656052</v>
      </c>
    </row>
    <row r="1081" spans="1:17" hidden="1" x14ac:dyDescent="0.25">
      <c r="A1081" t="s">
        <v>1148</v>
      </c>
      <c r="B1081" t="s">
        <v>51</v>
      </c>
      <c r="C1081" t="s">
        <v>54</v>
      </c>
      <c r="D1081" t="str">
        <f t="shared" si="102"/>
        <v>FL</v>
      </c>
      <c r="E1081" t="str">
        <f t="shared" si="103"/>
        <v>Southeast</v>
      </c>
      <c r="F1081" t="s">
        <v>32</v>
      </c>
      <c r="G1081" s="1">
        <v>45178</v>
      </c>
      <c r="H1081" s="1">
        <v>45182</v>
      </c>
      <c r="I1081" s="1">
        <f t="shared" si="101"/>
        <v>45182</v>
      </c>
      <c r="J1081" s="2">
        <v>15</v>
      </c>
      <c r="K1081" s="2">
        <v>185.82</v>
      </c>
      <c r="L1081" t="s">
        <v>15</v>
      </c>
      <c r="M1081" s="2">
        <v>1368</v>
      </c>
      <c r="N1081" s="2">
        <v>4</v>
      </c>
      <c r="O1081" s="2">
        <f t="shared" si="104"/>
        <v>342</v>
      </c>
      <c r="P1081" s="2">
        <f t="shared" si="105"/>
        <v>1.8404907975460123</v>
      </c>
      <c r="Q1081" s="3">
        <f t="shared" si="106"/>
        <v>0.13583333333333333</v>
      </c>
    </row>
    <row r="1082" spans="1:17" hidden="1" x14ac:dyDescent="0.25">
      <c r="A1082" t="s">
        <v>1149</v>
      </c>
      <c r="B1082" t="s">
        <v>35</v>
      </c>
      <c r="C1082" t="s">
        <v>54</v>
      </c>
      <c r="D1082" t="str">
        <f t="shared" si="102"/>
        <v>FL</v>
      </c>
      <c r="E1082" t="str">
        <f t="shared" si="103"/>
        <v>Southeast</v>
      </c>
      <c r="F1082" t="s">
        <v>25</v>
      </c>
      <c r="G1082" s="1">
        <v>44928</v>
      </c>
      <c r="H1082" s="1">
        <v>44946</v>
      </c>
      <c r="I1082" s="1">
        <f t="shared" si="101"/>
        <v>44946</v>
      </c>
      <c r="J1082" s="2">
        <v>57.4</v>
      </c>
      <c r="K1082" s="2">
        <v>222.36</v>
      </c>
      <c r="L1082" t="s">
        <v>47</v>
      </c>
      <c r="M1082" s="2">
        <v>1350</v>
      </c>
      <c r="N1082" s="2">
        <v>5</v>
      </c>
      <c r="O1082" s="2">
        <f t="shared" si="104"/>
        <v>270</v>
      </c>
      <c r="P1082" s="2">
        <f t="shared" si="105"/>
        <v>1.2142471667566108</v>
      </c>
      <c r="Q1082" s="3">
        <f t="shared" si="106"/>
        <v>0.16471111111111111</v>
      </c>
    </row>
    <row r="1083" spans="1:17" hidden="1" x14ac:dyDescent="0.25">
      <c r="A1083" t="s">
        <v>1150</v>
      </c>
      <c r="B1083" t="s">
        <v>30</v>
      </c>
      <c r="C1083" t="s">
        <v>21</v>
      </c>
      <c r="D1083" t="str">
        <f t="shared" si="102"/>
        <v>TX</v>
      </c>
      <c r="E1083" t="str">
        <f t="shared" si="103"/>
        <v>Southwest</v>
      </c>
      <c r="F1083" t="s">
        <v>14</v>
      </c>
      <c r="G1083" s="1">
        <v>45252</v>
      </c>
      <c r="H1083" s="1">
        <v>45257</v>
      </c>
      <c r="I1083" s="1">
        <f t="shared" si="101"/>
        <v>45257</v>
      </c>
      <c r="J1083" s="2">
        <v>61.5</v>
      </c>
      <c r="K1083" s="2">
        <v>383.67</v>
      </c>
      <c r="L1083" t="s">
        <v>15</v>
      </c>
      <c r="M1083" s="2">
        <v>1976</v>
      </c>
      <c r="N1083" s="2">
        <v>5</v>
      </c>
      <c r="O1083" s="2">
        <f t="shared" si="104"/>
        <v>395.2</v>
      </c>
      <c r="P1083" s="2">
        <f t="shared" si="105"/>
        <v>1.030051867490291</v>
      </c>
      <c r="Q1083" s="3">
        <f t="shared" si="106"/>
        <v>0.19416497975708502</v>
      </c>
    </row>
    <row r="1084" spans="1:17" x14ac:dyDescent="0.25">
      <c r="A1084" t="s">
        <v>1151</v>
      </c>
      <c r="B1084" t="s">
        <v>20</v>
      </c>
      <c r="C1084" t="s">
        <v>13</v>
      </c>
      <c r="D1084" t="str">
        <f t="shared" si="102"/>
        <v>CA</v>
      </c>
      <c r="E1084" t="str">
        <f t="shared" si="103"/>
        <v>West</v>
      </c>
      <c r="F1084" t="s">
        <v>32</v>
      </c>
      <c r="G1084" s="1">
        <v>45156</v>
      </c>
      <c r="H1084" s="1">
        <v>45162</v>
      </c>
      <c r="I1084" s="1">
        <f t="shared" si="101"/>
        <v>45162</v>
      </c>
      <c r="J1084" s="2">
        <v>7.7</v>
      </c>
      <c r="K1084" s="2">
        <v>49.02</v>
      </c>
      <c r="L1084" t="s">
        <v>62</v>
      </c>
      <c r="M1084" s="2">
        <v>313</v>
      </c>
      <c r="N1084" s="2">
        <v>6</v>
      </c>
      <c r="O1084" s="2">
        <f t="shared" si="104"/>
        <v>52.166666666666664</v>
      </c>
      <c r="P1084" s="2">
        <f t="shared" si="105"/>
        <v>1.0641914864681081</v>
      </c>
      <c r="Q1084" s="3">
        <f t="shared" si="106"/>
        <v>0.15661341853035146</v>
      </c>
    </row>
    <row r="1085" spans="1:17" x14ac:dyDescent="0.25">
      <c r="A1085" t="s">
        <v>1152</v>
      </c>
      <c r="B1085" t="s">
        <v>39</v>
      </c>
      <c r="C1085" t="s">
        <v>81</v>
      </c>
      <c r="D1085" t="str">
        <f t="shared" si="102"/>
        <v>CO</v>
      </c>
      <c r="E1085" t="str">
        <f t="shared" si="103"/>
        <v>West</v>
      </c>
      <c r="F1085" t="s">
        <v>32</v>
      </c>
      <c r="G1085" s="1">
        <v>45262</v>
      </c>
      <c r="H1085" s="1">
        <v>45265</v>
      </c>
      <c r="I1085" s="1">
        <f t="shared" si="101"/>
        <v>45265</v>
      </c>
      <c r="J1085" s="2">
        <v>53.7</v>
      </c>
      <c r="K1085" s="2">
        <v>255.13</v>
      </c>
      <c r="L1085" t="s">
        <v>15</v>
      </c>
      <c r="M1085" s="2">
        <v>1030</v>
      </c>
      <c r="N1085" s="2">
        <v>3</v>
      </c>
      <c r="O1085" s="2">
        <f t="shared" si="104"/>
        <v>343.33333333333331</v>
      </c>
      <c r="P1085" s="2">
        <f t="shared" si="105"/>
        <v>1.345719175844994</v>
      </c>
      <c r="Q1085" s="3">
        <f t="shared" si="106"/>
        <v>0.24769902912621358</v>
      </c>
    </row>
    <row r="1086" spans="1:17" x14ac:dyDescent="0.25">
      <c r="A1086" t="s">
        <v>1153</v>
      </c>
      <c r="B1086" t="s">
        <v>20</v>
      </c>
      <c r="C1086" t="s">
        <v>13</v>
      </c>
      <c r="D1086" t="str">
        <f t="shared" si="102"/>
        <v>CA</v>
      </c>
      <c r="E1086" t="str">
        <f t="shared" si="103"/>
        <v>West</v>
      </c>
      <c r="F1086" t="s">
        <v>42</v>
      </c>
      <c r="G1086" s="1">
        <v>45141</v>
      </c>
      <c r="H1086" s="1">
        <v>45148</v>
      </c>
      <c r="I1086" s="1">
        <f t="shared" si="101"/>
        <v>45148</v>
      </c>
      <c r="J1086" s="2">
        <v>54.6</v>
      </c>
      <c r="K1086" s="2">
        <v>6562.21</v>
      </c>
      <c r="L1086" t="s">
        <v>15</v>
      </c>
      <c r="M1086" s="2">
        <v>1942</v>
      </c>
      <c r="N1086" s="2">
        <v>7</v>
      </c>
      <c r="O1086" s="2">
        <f t="shared" si="104"/>
        <v>277.42857142857144</v>
      </c>
      <c r="P1086" s="2">
        <f t="shared" si="105"/>
        <v>4.2276698159396213E-2</v>
      </c>
      <c r="Q1086" s="3">
        <f t="shared" si="106"/>
        <v>3.3790988671472708</v>
      </c>
    </row>
    <row r="1087" spans="1:17" x14ac:dyDescent="0.25">
      <c r="A1087" t="s">
        <v>1154</v>
      </c>
      <c r="B1087" t="s">
        <v>56</v>
      </c>
      <c r="C1087" t="s">
        <v>13</v>
      </c>
      <c r="D1087" t="str">
        <f t="shared" si="102"/>
        <v>CA</v>
      </c>
      <c r="E1087" t="str">
        <f t="shared" si="103"/>
        <v>West</v>
      </c>
      <c r="F1087" t="s">
        <v>14</v>
      </c>
      <c r="G1087" s="1">
        <v>44997</v>
      </c>
      <c r="H1087" s="1">
        <v>45000</v>
      </c>
      <c r="I1087" s="1">
        <f t="shared" si="101"/>
        <v>45000</v>
      </c>
      <c r="J1087" s="2">
        <v>19</v>
      </c>
      <c r="K1087" s="2">
        <v>180.68</v>
      </c>
      <c r="L1087" t="s">
        <v>15</v>
      </c>
      <c r="M1087" s="2">
        <v>1291</v>
      </c>
      <c r="N1087" s="2">
        <v>3</v>
      </c>
      <c r="O1087" s="2">
        <f t="shared" si="104"/>
        <v>430.33333333333331</v>
      </c>
      <c r="P1087" s="2">
        <f t="shared" si="105"/>
        <v>2.3817430447937418</v>
      </c>
      <c r="Q1087" s="3">
        <f t="shared" si="106"/>
        <v>0.13995352439969017</v>
      </c>
    </row>
    <row r="1088" spans="1:17" x14ac:dyDescent="0.25">
      <c r="A1088" t="s">
        <v>1155</v>
      </c>
      <c r="B1088" t="s">
        <v>49</v>
      </c>
      <c r="C1088" t="s">
        <v>36</v>
      </c>
      <c r="D1088" t="str">
        <f t="shared" si="102"/>
        <v>OR</v>
      </c>
      <c r="E1088" t="str">
        <f t="shared" si="103"/>
        <v>West</v>
      </c>
      <c r="F1088" t="s">
        <v>32</v>
      </c>
      <c r="G1088" s="1">
        <v>45255</v>
      </c>
      <c r="H1088" s="1">
        <v>45264</v>
      </c>
      <c r="I1088" s="1">
        <f t="shared" si="101"/>
        <v>45264</v>
      </c>
      <c r="J1088" s="2">
        <v>12.6</v>
      </c>
      <c r="K1088" s="2">
        <v>291.61</v>
      </c>
      <c r="L1088" t="s">
        <v>47</v>
      </c>
      <c r="M1088" s="2">
        <v>1899</v>
      </c>
      <c r="N1088" s="2">
        <v>5</v>
      </c>
      <c r="O1088" s="2">
        <f t="shared" si="104"/>
        <v>379.8</v>
      </c>
      <c r="P1088" s="2">
        <f t="shared" si="105"/>
        <v>1.3024244710400878</v>
      </c>
      <c r="Q1088" s="3">
        <f t="shared" si="106"/>
        <v>0.15355976829910481</v>
      </c>
    </row>
    <row r="1089" spans="1:17" hidden="1" x14ac:dyDescent="0.25">
      <c r="A1089" t="s">
        <v>1156</v>
      </c>
      <c r="B1089" t="s">
        <v>23</v>
      </c>
      <c r="C1089" t="s">
        <v>54</v>
      </c>
      <c r="D1089" t="str">
        <f t="shared" si="102"/>
        <v>FL</v>
      </c>
      <c r="E1089" t="str">
        <f t="shared" si="103"/>
        <v>Southeast</v>
      </c>
      <c r="F1089" t="s">
        <v>14</v>
      </c>
      <c r="G1089" s="1">
        <v>45103</v>
      </c>
      <c r="H1089" s="1">
        <v>45108</v>
      </c>
      <c r="I1089" s="1">
        <f t="shared" si="101"/>
        <v>45108</v>
      </c>
      <c r="J1089" s="2">
        <v>54.3</v>
      </c>
      <c r="K1089" s="2">
        <v>314.48</v>
      </c>
      <c r="L1089" t="s">
        <v>15</v>
      </c>
      <c r="M1089" s="2">
        <v>1853</v>
      </c>
      <c r="N1089" s="2">
        <v>5</v>
      </c>
      <c r="O1089" s="2">
        <f t="shared" si="104"/>
        <v>370.6</v>
      </c>
      <c r="P1089" s="2">
        <f t="shared" si="105"/>
        <v>1.1784533197659628</v>
      </c>
      <c r="Q1089" s="3">
        <f t="shared" si="106"/>
        <v>0.16971397733405288</v>
      </c>
    </row>
    <row r="1090" spans="1:17" hidden="1" x14ac:dyDescent="0.25">
      <c r="A1090" t="s">
        <v>1157</v>
      </c>
      <c r="B1090" t="s">
        <v>20</v>
      </c>
      <c r="C1090" t="s">
        <v>28</v>
      </c>
      <c r="D1090" t="str">
        <f t="shared" si="102"/>
        <v>TX</v>
      </c>
      <c r="E1090" t="str">
        <f t="shared" si="103"/>
        <v>Southwest</v>
      </c>
      <c r="F1090" t="s">
        <v>18</v>
      </c>
      <c r="G1090" s="1">
        <v>44934</v>
      </c>
      <c r="H1090" s="1">
        <v>44937</v>
      </c>
      <c r="I1090" s="1">
        <f t="shared" ref="I1090:I1153" si="107">IF(H1090="", G1090 + N1090, H1090)</f>
        <v>44937</v>
      </c>
      <c r="J1090" s="2">
        <v>11.8</v>
      </c>
      <c r="K1090" s="2">
        <v>193.89</v>
      </c>
      <c r="L1090" t="s">
        <v>15</v>
      </c>
      <c r="M1090" s="2">
        <v>1435</v>
      </c>
      <c r="N1090" s="2">
        <v>3</v>
      </c>
      <c r="O1090" s="2">
        <f t="shared" si="104"/>
        <v>478.33333333333331</v>
      </c>
      <c r="P1090" s="2">
        <f t="shared" si="105"/>
        <v>2.4670345728677772</v>
      </c>
      <c r="Q1090" s="3">
        <f t="shared" si="106"/>
        <v>0.13511498257839721</v>
      </c>
    </row>
    <row r="1091" spans="1:17" x14ac:dyDescent="0.25">
      <c r="A1091" t="s">
        <v>1158</v>
      </c>
      <c r="B1091" t="s">
        <v>51</v>
      </c>
      <c r="C1091" t="s">
        <v>36</v>
      </c>
      <c r="D1091" t="str">
        <f t="shared" si="102"/>
        <v>OR</v>
      </c>
      <c r="E1091" t="str">
        <f t="shared" si="103"/>
        <v>West</v>
      </c>
      <c r="F1091" t="s">
        <v>32</v>
      </c>
      <c r="G1091" s="1">
        <v>45139</v>
      </c>
      <c r="H1091" s="1">
        <v>45145</v>
      </c>
      <c r="I1091" s="1">
        <f t="shared" si="107"/>
        <v>45145</v>
      </c>
      <c r="J1091" s="2">
        <v>22.9</v>
      </c>
      <c r="K1091" s="2">
        <v>358.05</v>
      </c>
      <c r="L1091" t="s">
        <v>15</v>
      </c>
      <c r="M1091" s="2">
        <v>2443</v>
      </c>
      <c r="N1091" s="2">
        <v>6</v>
      </c>
      <c r="O1091" s="2">
        <f t="shared" si="104"/>
        <v>407.16666666666669</v>
      </c>
      <c r="P1091" s="2">
        <f t="shared" si="105"/>
        <v>1.1371782339524275</v>
      </c>
      <c r="Q1091" s="3">
        <f t="shared" si="106"/>
        <v>0.14656160458452722</v>
      </c>
    </row>
    <row r="1092" spans="1:17" x14ac:dyDescent="0.25">
      <c r="A1092" t="s">
        <v>1159</v>
      </c>
      <c r="B1092" t="s">
        <v>49</v>
      </c>
      <c r="C1092" t="s">
        <v>13</v>
      </c>
      <c r="D1092" t="str">
        <f t="shared" si="102"/>
        <v>CA</v>
      </c>
      <c r="E1092" t="str">
        <f t="shared" si="103"/>
        <v>West</v>
      </c>
      <c r="F1092" t="s">
        <v>59</v>
      </c>
      <c r="G1092" s="1">
        <v>44965</v>
      </c>
      <c r="H1092" s="1">
        <v>44967</v>
      </c>
      <c r="I1092" s="1">
        <f t="shared" si="107"/>
        <v>44967</v>
      </c>
      <c r="J1092" s="2">
        <v>24.1</v>
      </c>
      <c r="K1092" s="2">
        <v>80.77</v>
      </c>
      <c r="L1092" t="s">
        <v>15</v>
      </c>
      <c r="M1092" s="2">
        <v>531</v>
      </c>
      <c r="N1092" s="2">
        <v>2</v>
      </c>
      <c r="O1092" s="2">
        <f t="shared" si="104"/>
        <v>265.5</v>
      </c>
      <c r="P1092" s="2">
        <f t="shared" si="105"/>
        <v>3.2871115513185591</v>
      </c>
      <c r="Q1092" s="3">
        <f t="shared" si="106"/>
        <v>0.15210922787193973</v>
      </c>
    </row>
    <row r="1093" spans="1:17" hidden="1" x14ac:dyDescent="0.25">
      <c r="A1093" t="s">
        <v>1160</v>
      </c>
      <c r="B1093" t="s">
        <v>39</v>
      </c>
      <c r="C1093" t="s">
        <v>21</v>
      </c>
      <c r="D1093" t="str">
        <f t="shared" si="102"/>
        <v>TX</v>
      </c>
      <c r="E1093" t="str">
        <f t="shared" si="103"/>
        <v>Southwest</v>
      </c>
      <c r="F1093" t="s">
        <v>59</v>
      </c>
      <c r="G1093" s="1">
        <v>45076</v>
      </c>
      <c r="H1093" s="1">
        <v>45077</v>
      </c>
      <c r="I1093" s="1">
        <f t="shared" si="107"/>
        <v>45077</v>
      </c>
      <c r="J1093" s="2">
        <v>24.2</v>
      </c>
      <c r="K1093" s="2">
        <v>44.49</v>
      </c>
      <c r="L1093" t="s">
        <v>15</v>
      </c>
      <c r="M1093" s="2">
        <v>134</v>
      </c>
      <c r="N1093" s="2">
        <v>1</v>
      </c>
      <c r="O1093" s="2">
        <f t="shared" si="104"/>
        <v>134</v>
      </c>
      <c r="P1093" s="2">
        <f t="shared" si="105"/>
        <v>3.0119127893908741</v>
      </c>
      <c r="Q1093" s="3">
        <f t="shared" si="106"/>
        <v>0.33201492537313432</v>
      </c>
    </row>
    <row r="1094" spans="1:17" x14ac:dyDescent="0.25">
      <c r="A1094" t="s">
        <v>1161</v>
      </c>
      <c r="B1094" t="s">
        <v>27</v>
      </c>
      <c r="C1094" t="s">
        <v>24</v>
      </c>
      <c r="D1094" t="str">
        <f t="shared" si="102"/>
        <v>WA</v>
      </c>
      <c r="E1094" t="str">
        <f t="shared" si="103"/>
        <v>West</v>
      </c>
      <c r="F1094" t="s">
        <v>32</v>
      </c>
      <c r="G1094" s="1">
        <v>45105</v>
      </c>
      <c r="H1094" s="1">
        <v>45110</v>
      </c>
      <c r="I1094" s="1">
        <f t="shared" si="107"/>
        <v>45110</v>
      </c>
      <c r="J1094" s="2">
        <v>54.5</v>
      </c>
      <c r="K1094" s="2">
        <v>373.97</v>
      </c>
      <c r="L1094" t="s">
        <v>15</v>
      </c>
      <c r="M1094" s="2">
        <v>2490</v>
      </c>
      <c r="N1094" s="2">
        <v>5</v>
      </c>
      <c r="O1094" s="2">
        <f t="shared" si="104"/>
        <v>498</v>
      </c>
      <c r="P1094" s="2">
        <f t="shared" si="105"/>
        <v>1.3316576195951546</v>
      </c>
      <c r="Q1094" s="3">
        <f t="shared" si="106"/>
        <v>0.15018875502008033</v>
      </c>
    </row>
    <row r="1095" spans="1:17" x14ac:dyDescent="0.25">
      <c r="A1095" t="s">
        <v>1162</v>
      </c>
      <c r="B1095" t="s">
        <v>35</v>
      </c>
      <c r="C1095" t="s">
        <v>70</v>
      </c>
      <c r="D1095" t="str">
        <f t="shared" si="102"/>
        <v>CA</v>
      </c>
      <c r="E1095" t="str">
        <f t="shared" si="103"/>
        <v>West</v>
      </c>
      <c r="F1095" t="s">
        <v>37</v>
      </c>
      <c r="G1095" s="1">
        <v>44983</v>
      </c>
      <c r="H1095" s="1">
        <v>44992</v>
      </c>
      <c r="I1095" s="1">
        <f t="shared" si="107"/>
        <v>44992</v>
      </c>
      <c r="J1095" s="2">
        <v>26.2</v>
      </c>
      <c r="K1095" s="2">
        <v>282.94</v>
      </c>
      <c r="L1095" t="s">
        <v>15</v>
      </c>
      <c r="M1095" s="2">
        <v>2291</v>
      </c>
      <c r="N1095" s="2">
        <v>9</v>
      </c>
      <c r="O1095" s="2">
        <f t="shared" si="104"/>
        <v>254.55555555555554</v>
      </c>
      <c r="P1095" s="2">
        <f t="shared" si="105"/>
        <v>0.8996803405511965</v>
      </c>
      <c r="Q1095" s="3">
        <f t="shared" si="106"/>
        <v>0.12350065473592317</v>
      </c>
    </row>
    <row r="1096" spans="1:17" hidden="1" x14ac:dyDescent="0.25">
      <c r="A1096" t="s">
        <v>1163</v>
      </c>
      <c r="B1096" t="s">
        <v>39</v>
      </c>
      <c r="C1096" t="s">
        <v>17</v>
      </c>
      <c r="D1096" t="str">
        <f t="shared" si="102"/>
        <v>GA</v>
      </c>
      <c r="E1096" t="str">
        <f t="shared" si="103"/>
        <v>Southeast</v>
      </c>
      <c r="F1096" t="s">
        <v>18</v>
      </c>
      <c r="G1096" s="1">
        <v>44987</v>
      </c>
      <c r="H1096" s="1">
        <v>44992</v>
      </c>
      <c r="I1096" s="1">
        <f t="shared" si="107"/>
        <v>44992</v>
      </c>
      <c r="J1096" s="2">
        <v>17.8</v>
      </c>
      <c r="K1096" s="2">
        <v>123.19</v>
      </c>
      <c r="L1096" t="s">
        <v>15</v>
      </c>
      <c r="M1096" s="2">
        <v>800</v>
      </c>
      <c r="N1096" s="2">
        <v>5</v>
      </c>
      <c r="O1096" s="2">
        <f t="shared" si="104"/>
        <v>160</v>
      </c>
      <c r="P1096" s="2">
        <f t="shared" si="105"/>
        <v>1.2988067213247829</v>
      </c>
      <c r="Q1096" s="3">
        <f t="shared" si="106"/>
        <v>0.1539875</v>
      </c>
    </row>
    <row r="1097" spans="1:17" hidden="1" x14ac:dyDescent="0.25">
      <c r="A1097" t="s">
        <v>1164</v>
      </c>
      <c r="B1097" t="s">
        <v>20</v>
      </c>
      <c r="C1097" t="s">
        <v>54</v>
      </c>
      <c r="D1097" t="str">
        <f t="shared" si="102"/>
        <v>FL</v>
      </c>
      <c r="E1097" t="str">
        <f t="shared" si="103"/>
        <v>Southeast</v>
      </c>
      <c r="F1097" t="s">
        <v>42</v>
      </c>
      <c r="G1097" s="1">
        <v>45277</v>
      </c>
      <c r="H1097" s="1">
        <v>45281</v>
      </c>
      <c r="I1097" s="1">
        <f t="shared" si="107"/>
        <v>45281</v>
      </c>
      <c r="J1097" s="2">
        <v>16.399999999999999</v>
      </c>
      <c r="K1097" s="2">
        <v>316.52</v>
      </c>
      <c r="L1097" t="s">
        <v>67</v>
      </c>
      <c r="M1097" s="2">
        <v>1914</v>
      </c>
      <c r="N1097" s="2">
        <v>4</v>
      </c>
      <c r="O1097" s="2">
        <f t="shared" si="104"/>
        <v>478.5</v>
      </c>
      <c r="P1097" s="2">
        <f t="shared" si="105"/>
        <v>1.5117528118286365</v>
      </c>
      <c r="Q1097" s="3">
        <f t="shared" si="106"/>
        <v>0.16537095088819226</v>
      </c>
    </row>
    <row r="1098" spans="1:17" hidden="1" x14ac:dyDescent="0.25">
      <c r="A1098" t="s">
        <v>1165</v>
      </c>
      <c r="B1098" t="s">
        <v>56</v>
      </c>
      <c r="C1098" t="s">
        <v>40</v>
      </c>
      <c r="D1098" t="str">
        <f t="shared" si="102"/>
        <v>MI</v>
      </c>
      <c r="E1098" t="str">
        <f t="shared" si="103"/>
        <v>Midwest</v>
      </c>
      <c r="F1098" t="s">
        <v>59</v>
      </c>
      <c r="G1098" s="1">
        <v>45017</v>
      </c>
      <c r="I1098" s="1">
        <f t="shared" si="107"/>
        <v>45022</v>
      </c>
      <c r="J1098" s="2">
        <v>10.8</v>
      </c>
      <c r="K1098" s="2">
        <v>218.34</v>
      </c>
      <c r="L1098" t="s">
        <v>15</v>
      </c>
      <c r="M1098" s="2">
        <v>1937</v>
      </c>
      <c r="N1098" s="2">
        <v>5</v>
      </c>
      <c r="O1098" s="2">
        <f t="shared" si="104"/>
        <v>387.4</v>
      </c>
      <c r="P1098" s="2">
        <f t="shared" si="105"/>
        <v>1.7742969680315104</v>
      </c>
      <c r="Q1098" s="3">
        <f t="shared" si="106"/>
        <v>0.11272070211667527</v>
      </c>
    </row>
    <row r="1099" spans="1:17" hidden="1" x14ac:dyDescent="0.25">
      <c r="A1099" t="s">
        <v>1166</v>
      </c>
      <c r="B1099" t="s">
        <v>30</v>
      </c>
      <c r="C1099" t="s">
        <v>28</v>
      </c>
      <c r="D1099" t="str">
        <f t="shared" si="102"/>
        <v>TX</v>
      </c>
      <c r="E1099" t="str">
        <f t="shared" si="103"/>
        <v>Southwest</v>
      </c>
      <c r="F1099" t="s">
        <v>37</v>
      </c>
      <c r="G1099" s="1">
        <v>44951</v>
      </c>
      <c r="H1099" s="1">
        <v>44956</v>
      </c>
      <c r="I1099" s="1">
        <f t="shared" si="107"/>
        <v>44956</v>
      </c>
      <c r="J1099" s="2">
        <v>44.6</v>
      </c>
      <c r="K1099" s="2">
        <v>209.38</v>
      </c>
      <c r="L1099" t="s">
        <v>15</v>
      </c>
      <c r="M1099" s="2">
        <v>1333</v>
      </c>
      <c r="N1099" s="2">
        <v>5</v>
      </c>
      <c r="O1099" s="2">
        <f t="shared" si="104"/>
        <v>266.60000000000002</v>
      </c>
      <c r="P1099" s="2">
        <f t="shared" si="105"/>
        <v>1.2732830260769894</v>
      </c>
      <c r="Q1099" s="3">
        <f t="shared" si="106"/>
        <v>0.15707426856714179</v>
      </c>
    </row>
    <row r="1100" spans="1:17" x14ac:dyDescent="0.25">
      <c r="A1100" t="s">
        <v>1167</v>
      </c>
      <c r="B1100" t="s">
        <v>23</v>
      </c>
      <c r="C1100" t="s">
        <v>24</v>
      </c>
      <c r="D1100" t="str">
        <f t="shared" si="102"/>
        <v>WA</v>
      </c>
      <c r="E1100" t="str">
        <f t="shared" si="103"/>
        <v>West</v>
      </c>
      <c r="F1100" t="s">
        <v>59</v>
      </c>
      <c r="G1100" s="1">
        <v>45289</v>
      </c>
      <c r="H1100" s="1">
        <v>45295</v>
      </c>
      <c r="I1100" s="1">
        <f t="shared" si="107"/>
        <v>45295</v>
      </c>
      <c r="J1100" s="2">
        <v>6.7</v>
      </c>
      <c r="K1100" s="2">
        <v>88.73</v>
      </c>
      <c r="L1100" t="s">
        <v>15</v>
      </c>
      <c r="M1100" s="2">
        <v>627</v>
      </c>
      <c r="N1100" s="2">
        <v>6</v>
      </c>
      <c r="O1100" s="2">
        <f t="shared" si="104"/>
        <v>104.5</v>
      </c>
      <c r="P1100" s="2">
        <f t="shared" si="105"/>
        <v>1.1777301927194861</v>
      </c>
      <c r="Q1100" s="3">
        <f t="shared" si="106"/>
        <v>0.14151515151515151</v>
      </c>
    </row>
    <row r="1101" spans="1:17" hidden="1" x14ac:dyDescent="0.25">
      <c r="A1101" t="s">
        <v>1168</v>
      </c>
      <c r="B1101" t="s">
        <v>51</v>
      </c>
      <c r="C1101" t="s">
        <v>21</v>
      </c>
      <c r="D1101" t="str">
        <f t="shared" si="102"/>
        <v>TX</v>
      </c>
      <c r="E1101" t="str">
        <f t="shared" si="103"/>
        <v>Southwest</v>
      </c>
      <c r="F1101" t="s">
        <v>32</v>
      </c>
      <c r="G1101" s="1">
        <v>45258</v>
      </c>
      <c r="H1101" s="1">
        <v>45262</v>
      </c>
      <c r="I1101" s="1">
        <f t="shared" si="107"/>
        <v>45262</v>
      </c>
      <c r="J1101" s="2">
        <v>54.5</v>
      </c>
      <c r="K1101" s="2">
        <v>232.49</v>
      </c>
      <c r="L1101" t="s">
        <v>15</v>
      </c>
      <c r="M1101" s="2">
        <v>866</v>
      </c>
      <c r="N1101" s="2">
        <v>4</v>
      </c>
      <c r="O1101" s="2">
        <f t="shared" si="104"/>
        <v>216.5</v>
      </c>
      <c r="P1101" s="2">
        <f t="shared" si="105"/>
        <v>0.93122284829455027</v>
      </c>
      <c r="Q1101" s="3">
        <f t="shared" si="106"/>
        <v>0.26846420323325637</v>
      </c>
    </row>
    <row r="1102" spans="1:17" hidden="1" x14ac:dyDescent="0.25">
      <c r="A1102" t="s">
        <v>1169</v>
      </c>
      <c r="B1102" t="s">
        <v>49</v>
      </c>
      <c r="C1102" t="s">
        <v>46</v>
      </c>
      <c r="D1102" t="str">
        <f t="shared" si="102"/>
        <v>MA</v>
      </c>
      <c r="E1102" t="str">
        <f t="shared" si="103"/>
        <v>Northeast</v>
      </c>
      <c r="F1102" t="s">
        <v>32</v>
      </c>
      <c r="G1102" s="1">
        <v>45165</v>
      </c>
      <c r="H1102" s="1">
        <v>45170</v>
      </c>
      <c r="I1102" s="1">
        <f t="shared" si="107"/>
        <v>45170</v>
      </c>
      <c r="J1102" s="2">
        <v>17.2</v>
      </c>
      <c r="K1102" s="2">
        <v>248.83</v>
      </c>
      <c r="L1102" t="s">
        <v>15</v>
      </c>
      <c r="M1102" s="2">
        <v>1896</v>
      </c>
      <c r="N1102" s="2">
        <v>5</v>
      </c>
      <c r="O1102" s="2">
        <f t="shared" si="104"/>
        <v>379.2</v>
      </c>
      <c r="P1102" s="2">
        <f t="shared" si="105"/>
        <v>1.5239320017682754</v>
      </c>
      <c r="Q1102" s="3">
        <f t="shared" si="106"/>
        <v>0.13123945147679325</v>
      </c>
    </row>
    <row r="1103" spans="1:17" x14ac:dyDescent="0.25">
      <c r="A1103" t="s">
        <v>1170</v>
      </c>
      <c r="B1103" t="s">
        <v>20</v>
      </c>
      <c r="C1103" t="s">
        <v>13</v>
      </c>
      <c r="D1103" t="str">
        <f t="shared" si="102"/>
        <v>CA</v>
      </c>
      <c r="E1103" t="str">
        <f t="shared" si="103"/>
        <v>West</v>
      </c>
      <c r="F1103" t="s">
        <v>32</v>
      </c>
      <c r="G1103" s="1">
        <v>45181</v>
      </c>
      <c r="H1103" s="1">
        <v>45187</v>
      </c>
      <c r="I1103" s="1">
        <f t="shared" si="107"/>
        <v>45187</v>
      </c>
      <c r="J1103" s="2">
        <v>30.8</v>
      </c>
      <c r="K1103" s="2">
        <v>314.99</v>
      </c>
      <c r="L1103" t="s">
        <v>15</v>
      </c>
      <c r="M1103" s="2">
        <v>1981</v>
      </c>
      <c r="N1103" s="2">
        <v>6</v>
      </c>
      <c r="O1103" s="2">
        <f t="shared" si="104"/>
        <v>330.16666666666669</v>
      </c>
      <c r="P1103" s="2">
        <f t="shared" si="105"/>
        <v>1.0481814237489022</v>
      </c>
      <c r="Q1103" s="3">
        <f t="shared" si="106"/>
        <v>0.15900555275113579</v>
      </c>
    </row>
    <row r="1104" spans="1:17" hidden="1" x14ac:dyDescent="0.25">
      <c r="A1104" t="s">
        <v>1171</v>
      </c>
      <c r="B1104" t="s">
        <v>12</v>
      </c>
      <c r="C1104" t="s">
        <v>21</v>
      </c>
      <c r="D1104" t="str">
        <f t="shared" si="102"/>
        <v>TX</v>
      </c>
      <c r="E1104" t="str">
        <f t="shared" si="103"/>
        <v>Southwest</v>
      </c>
      <c r="F1104" t="s">
        <v>14</v>
      </c>
      <c r="G1104" s="1">
        <v>44987</v>
      </c>
      <c r="H1104" s="1">
        <v>44988</v>
      </c>
      <c r="I1104" s="1">
        <f t="shared" si="107"/>
        <v>44988</v>
      </c>
      <c r="J1104" s="2">
        <v>14</v>
      </c>
      <c r="K1104" s="2">
        <v>50.83</v>
      </c>
      <c r="L1104" t="s">
        <v>62</v>
      </c>
      <c r="M1104" s="2">
        <v>266</v>
      </c>
      <c r="N1104" s="2">
        <v>1</v>
      </c>
      <c r="O1104" s="2">
        <f t="shared" si="104"/>
        <v>266</v>
      </c>
      <c r="P1104" s="2">
        <f t="shared" si="105"/>
        <v>5.233130041314185</v>
      </c>
      <c r="Q1104" s="3">
        <f t="shared" si="106"/>
        <v>0.19109022556390975</v>
      </c>
    </row>
    <row r="1105" spans="1:17" hidden="1" x14ac:dyDescent="0.25">
      <c r="A1105" t="s">
        <v>1172</v>
      </c>
      <c r="B1105" t="s">
        <v>51</v>
      </c>
      <c r="C1105" t="s">
        <v>21</v>
      </c>
      <c r="D1105" t="str">
        <f t="shared" si="102"/>
        <v>TX</v>
      </c>
      <c r="E1105" t="str">
        <f t="shared" si="103"/>
        <v>Southwest</v>
      </c>
      <c r="F1105" t="s">
        <v>14</v>
      </c>
      <c r="G1105" s="1">
        <v>45016</v>
      </c>
      <c r="H1105" s="1">
        <v>45020</v>
      </c>
      <c r="I1105" s="1">
        <f t="shared" si="107"/>
        <v>45020</v>
      </c>
      <c r="J1105" s="2">
        <v>7.9</v>
      </c>
      <c r="K1105" s="2">
        <v>219.09</v>
      </c>
      <c r="L1105" t="s">
        <v>15</v>
      </c>
      <c r="M1105" s="2">
        <v>1665</v>
      </c>
      <c r="N1105" s="2">
        <v>4</v>
      </c>
      <c r="O1105" s="2">
        <f t="shared" si="104"/>
        <v>416.25</v>
      </c>
      <c r="P1105" s="2">
        <f t="shared" si="105"/>
        <v>1.8999041489798714</v>
      </c>
      <c r="Q1105" s="3">
        <f t="shared" si="106"/>
        <v>0.13158558558558558</v>
      </c>
    </row>
    <row r="1106" spans="1:17" hidden="1" x14ac:dyDescent="0.25">
      <c r="A1106" t="s">
        <v>1173</v>
      </c>
      <c r="B1106" t="s">
        <v>56</v>
      </c>
      <c r="C1106" t="s">
        <v>31</v>
      </c>
      <c r="D1106" t="str">
        <f t="shared" si="102"/>
        <v>NY</v>
      </c>
      <c r="E1106" t="str">
        <f t="shared" si="103"/>
        <v>Northeast</v>
      </c>
      <c r="F1106" t="s">
        <v>18</v>
      </c>
      <c r="G1106" s="1">
        <v>45285</v>
      </c>
      <c r="H1106" s="1">
        <v>45289</v>
      </c>
      <c r="I1106" s="1">
        <f t="shared" si="107"/>
        <v>45289</v>
      </c>
      <c r="J1106" s="2">
        <v>14.3</v>
      </c>
      <c r="K1106" s="2">
        <v>256.95999999999998</v>
      </c>
      <c r="L1106" t="s">
        <v>15</v>
      </c>
      <c r="M1106" s="2">
        <v>1446</v>
      </c>
      <c r="N1106" s="2">
        <v>4</v>
      </c>
      <c r="O1106" s="2">
        <f t="shared" si="104"/>
        <v>361.5</v>
      </c>
      <c r="P1106" s="2">
        <f t="shared" si="105"/>
        <v>1.4068337484433375</v>
      </c>
      <c r="Q1106" s="3">
        <f t="shared" si="106"/>
        <v>0.17770401106500691</v>
      </c>
    </row>
    <row r="1107" spans="1:17" hidden="1" x14ac:dyDescent="0.25">
      <c r="A1107" t="s">
        <v>1174</v>
      </c>
      <c r="B1107" t="s">
        <v>39</v>
      </c>
      <c r="C1107" t="s">
        <v>54</v>
      </c>
      <c r="D1107" t="str">
        <f t="shared" si="102"/>
        <v>FL</v>
      </c>
      <c r="E1107" t="str">
        <f t="shared" si="103"/>
        <v>Southeast</v>
      </c>
      <c r="F1107" t="s">
        <v>14</v>
      </c>
      <c r="G1107" s="1">
        <v>45169</v>
      </c>
      <c r="H1107" s="1">
        <v>45171</v>
      </c>
      <c r="I1107" s="1">
        <f t="shared" si="107"/>
        <v>45171</v>
      </c>
      <c r="J1107" s="2">
        <v>40.700000000000003</v>
      </c>
      <c r="K1107" s="2">
        <v>140.21</v>
      </c>
      <c r="L1107" t="s">
        <v>15</v>
      </c>
      <c r="M1107" s="2">
        <v>807</v>
      </c>
      <c r="N1107" s="2">
        <v>2</v>
      </c>
      <c r="O1107" s="2">
        <f t="shared" si="104"/>
        <v>403.5</v>
      </c>
      <c r="P1107" s="2">
        <f t="shared" si="105"/>
        <v>2.8778261179659079</v>
      </c>
      <c r="Q1107" s="3">
        <f t="shared" si="106"/>
        <v>0.17374225526641884</v>
      </c>
    </row>
    <row r="1108" spans="1:17" hidden="1" x14ac:dyDescent="0.25">
      <c r="A1108" t="s">
        <v>1175</v>
      </c>
      <c r="B1108" t="s">
        <v>51</v>
      </c>
      <c r="C1108" t="s">
        <v>52</v>
      </c>
      <c r="D1108" t="str">
        <f t="shared" si="102"/>
        <v>AZ</v>
      </c>
      <c r="E1108" t="str">
        <f t="shared" si="103"/>
        <v>Southwest</v>
      </c>
      <c r="F1108" t="s">
        <v>32</v>
      </c>
      <c r="G1108" s="1">
        <v>45186</v>
      </c>
      <c r="H1108" s="1">
        <v>45192</v>
      </c>
      <c r="I1108" s="1">
        <f t="shared" si="107"/>
        <v>45192</v>
      </c>
      <c r="J1108" s="2">
        <v>24.5</v>
      </c>
      <c r="K1108" s="2">
        <v>300.24</v>
      </c>
      <c r="L1108" t="s">
        <v>15</v>
      </c>
      <c r="M1108" s="2">
        <v>1863</v>
      </c>
      <c r="N1108" s="2">
        <v>6</v>
      </c>
      <c r="O1108" s="2">
        <f t="shared" si="104"/>
        <v>310.5</v>
      </c>
      <c r="P1108" s="2">
        <f t="shared" si="105"/>
        <v>1.0341726618705036</v>
      </c>
      <c r="Q1108" s="3">
        <f t="shared" si="106"/>
        <v>0.16115942028985508</v>
      </c>
    </row>
    <row r="1109" spans="1:17" hidden="1" x14ac:dyDescent="0.25">
      <c r="A1109" t="s">
        <v>1176</v>
      </c>
      <c r="B1109" t="s">
        <v>56</v>
      </c>
      <c r="C1109" t="s">
        <v>52</v>
      </c>
      <c r="D1109" t="str">
        <f t="shared" si="102"/>
        <v>AZ</v>
      </c>
      <c r="E1109" t="str">
        <f t="shared" si="103"/>
        <v>Southwest</v>
      </c>
      <c r="F1109" t="s">
        <v>42</v>
      </c>
      <c r="G1109" s="1">
        <v>45150</v>
      </c>
      <c r="H1109" s="1">
        <v>45157</v>
      </c>
      <c r="I1109" s="1">
        <f t="shared" si="107"/>
        <v>45157</v>
      </c>
      <c r="J1109" s="2">
        <v>28.4</v>
      </c>
      <c r="K1109" s="2">
        <v>95.99</v>
      </c>
      <c r="L1109" t="s">
        <v>47</v>
      </c>
      <c r="M1109" s="2">
        <v>496</v>
      </c>
      <c r="N1109" s="2">
        <v>1</v>
      </c>
      <c r="O1109" s="2">
        <f t="shared" si="104"/>
        <v>496</v>
      </c>
      <c r="P1109" s="2">
        <f t="shared" si="105"/>
        <v>5.1672049171788732</v>
      </c>
      <c r="Q1109" s="3">
        <f t="shared" si="106"/>
        <v>0.1935282258064516</v>
      </c>
    </row>
    <row r="1110" spans="1:17" hidden="1" x14ac:dyDescent="0.25">
      <c r="A1110" t="s">
        <v>1177</v>
      </c>
      <c r="B1110" t="s">
        <v>49</v>
      </c>
      <c r="C1110" t="s">
        <v>52</v>
      </c>
      <c r="D1110" t="str">
        <f t="shared" si="102"/>
        <v>AZ</v>
      </c>
      <c r="E1110" t="str">
        <f t="shared" si="103"/>
        <v>Southwest</v>
      </c>
      <c r="F1110" t="s">
        <v>59</v>
      </c>
      <c r="G1110" s="1">
        <v>45223</v>
      </c>
      <c r="H1110" s="1">
        <v>45227</v>
      </c>
      <c r="I1110" s="1">
        <f t="shared" si="107"/>
        <v>45227</v>
      </c>
      <c r="J1110" s="2">
        <v>21.5</v>
      </c>
      <c r="K1110" s="2">
        <v>200.39</v>
      </c>
      <c r="L1110" t="s">
        <v>15</v>
      </c>
      <c r="M1110" s="2">
        <v>1391</v>
      </c>
      <c r="N1110" s="2">
        <v>4</v>
      </c>
      <c r="O1110" s="2">
        <f t="shared" si="104"/>
        <v>347.75</v>
      </c>
      <c r="P1110" s="2">
        <f t="shared" si="105"/>
        <v>1.7353660362293528</v>
      </c>
      <c r="Q1110" s="3">
        <f t="shared" si="106"/>
        <v>0.14406182602444284</v>
      </c>
    </row>
    <row r="1111" spans="1:17" hidden="1" x14ac:dyDescent="0.25">
      <c r="A1111" t="s">
        <v>1178</v>
      </c>
      <c r="B1111" t="s">
        <v>51</v>
      </c>
      <c r="C1111" t="s">
        <v>28</v>
      </c>
      <c r="D1111" t="str">
        <f t="shared" si="102"/>
        <v>TX</v>
      </c>
      <c r="E1111" t="str">
        <f t="shared" si="103"/>
        <v>Southwest</v>
      </c>
      <c r="F1111" t="s">
        <v>18</v>
      </c>
      <c r="G1111" s="1">
        <v>45087</v>
      </c>
      <c r="H1111" s="1">
        <v>45088</v>
      </c>
      <c r="I1111" s="1">
        <f t="shared" si="107"/>
        <v>45088</v>
      </c>
      <c r="J1111" s="2">
        <v>18.2</v>
      </c>
      <c r="K1111" s="2">
        <v>77.400000000000006</v>
      </c>
      <c r="L1111" t="s">
        <v>15</v>
      </c>
      <c r="M1111" s="2">
        <v>361</v>
      </c>
      <c r="N1111" s="2">
        <v>1</v>
      </c>
      <c r="O1111" s="2">
        <f t="shared" si="104"/>
        <v>361</v>
      </c>
      <c r="P1111" s="2">
        <f t="shared" si="105"/>
        <v>4.6640826873385013</v>
      </c>
      <c r="Q1111" s="3">
        <f t="shared" si="106"/>
        <v>0.21440443213296401</v>
      </c>
    </row>
    <row r="1112" spans="1:17" hidden="1" x14ac:dyDescent="0.25">
      <c r="A1112" t="s">
        <v>1179</v>
      </c>
      <c r="B1112" t="s">
        <v>39</v>
      </c>
      <c r="C1112" t="s">
        <v>57</v>
      </c>
      <c r="D1112" t="str">
        <f t="shared" si="102"/>
        <v>MN</v>
      </c>
      <c r="E1112" t="str">
        <f t="shared" si="103"/>
        <v>Midwest</v>
      </c>
      <c r="F1112" t="s">
        <v>14</v>
      </c>
      <c r="G1112" s="1">
        <v>45259</v>
      </c>
      <c r="H1112" s="1">
        <v>45265</v>
      </c>
      <c r="I1112" s="1">
        <f t="shared" si="107"/>
        <v>45265</v>
      </c>
      <c r="J1112" s="2">
        <v>1.1000000000000001</v>
      </c>
      <c r="K1112" s="2">
        <v>394.62</v>
      </c>
      <c r="L1112" t="s">
        <v>15</v>
      </c>
      <c r="M1112" s="2">
        <v>2484</v>
      </c>
      <c r="N1112" s="2">
        <v>6</v>
      </c>
      <c r="O1112" s="2">
        <f t="shared" si="104"/>
        <v>414</v>
      </c>
      <c r="P1112" s="2">
        <f t="shared" si="105"/>
        <v>1.0491105367188687</v>
      </c>
      <c r="Q1112" s="3">
        <f t="shared" si="106"/>
        <v>0.15886473429951692</v>
      </c>
    </row>
    <row r="1113" spans="1:17" hidden="1" x14ac:dyDescent="0.25">
      <c r="A1113" t="s">
        <v>1180</v>
      </c>
      <c r="B1113" t="s">
        <v>23</v>
      </c>
      <c r="C1113" t="s">
        <v>57</v>
      </c>
      <c r="D1113" t="str">
        <f t="shared" si="102"/>
        <v>MN</v>
      </c>
      <c r="E1113" t="str">
        <f t="shared" si="103"/>
        <v>Midwest</v>
      </c>
      <c r="F1113" t="s">
        <v>42</v>
      </c>
      <c r="G1113" s="1">
        <v>45277</v>
      </c>
      <c r="H1113" s="1">
        <v>45291</v>
      </c>
      <c r="I1113" s="1">
        <f t="shared" si="107"/>
        <v>45291</v>
      </c>
      <c r="J1113" s="2">
        <v>35.4</v>
      </c>
      <c r="K1113" s="2">
        <v>212.98</v>
      </c>
      <c r="L1113" t="s">
        <v>47</v>
      </c>
      <c r="M1113" s="2">
        <v>1171</v>
      </c>
      <c r="N1113" s="2">
        <v>5</v>
      </c>
      <c r="O1113" s="2">
        <f t="shared" si="104"/>
        <v>234.2</v>
      </c>
      <c r="P1113" s="2">
        <f t="shared" si="105"/>
        <v>1.0996337684289605</v>
      </c>
      <c r="Q1113" s="3">
        <f t="shared" si="106"/>
        <v>0.18187873612297181</v>
      </c>
    </row>
    <row r="1114" spans="1:17" hidden="1" x14ac:dyDescent="0.25">
      <c r="A1114" t="s">
        <v>1181</v>
      </c>
      <c r="B1114" t="s">
        <v>23</v>
      </c>
      <c r="C1114" t="s">
        <v>44</v>
      </c>
      <c r="D1114" t="str">
        <f t="shared" si="102"/>
        <v>IL</v>
      </c>
      <c r="E1114" t="str">
        <f t="shared" si="103"/>
        <v>Midwest</v>
      </c>
      <c r="F1114" t="s">
        <v>14</v>
      </c>
      <c r="G1114" s="1">
        <v>45119</v>
      </c>
      <c r="H1114" s="1">
        <v>45124</v>
      </c>
      <c r="I1114" s="1">
        <f t="shared" si="107"/>
        <v>45124</v>
      </c>
      <c r="J1114" s="2">
        <v>10.4</v>
      </c>
      <c r="K1114" s="2">
        <v>107.97</v>
      </c>
      <c r="L1114" t="s">
        <v>15</v>
      </c>
      <c r="M1114" s="2">
        <v>810</v>
      </c>
      <c r="N1114" s="2">
        <v>5</v>
      </c>
      <c r="O1114" s="2">
        <f t="shared" si="104"/>
        <v>162</v>
      </c>
      <c r="P1114" s="2">
        <f t="shared" si="105"/>
        <v>1.5004167824395667</v>
      </c>
      <c r="Q1114" s="3">
        <f t="shared" si="106"/>
        <v>0.1332962962962963</v>
      </c>
    </row>
    <row r="1115" spans="1:17" hidden="1" x14ac:dyDescent="0.25">
      <c r="A1115" t="s">
        <v>1182</v>
      </c>
      <c r="B1115" t="s">
        <v>23</v>
      </c>
      <c r="C1115" t="s">
        <v>17</v>
      </c>
      <c r="D1115" t="str">
        <f t="shared" si="102"/>
        <v>GA</v>
      </c>
      <c r="E1115" t="str">
        <f t="shared" si="103"/>
        <v>Southeast</v>
      </c>
      <c r="F1115" t="s">
        <v>59</v>
      </c>
      <c r="G1115" s="1">
        <v>44964</v>
      </c>
      <c r="H1115" s="1">
        <v>44968</v>
      </c>
      <c r="I1115" s="1">
        <f t="shared" si="107"/>
        <v>44968</v>
      </c>
      <c r="J1115" s="2">
        <v>15.6</v>
      </c>
      <c r="K1115" s="2">
        <v>159.13</v>
      </c>
      <c r="L1115" t="s">
        <v>15</v>
      </c>
      <c r="M1115" s="2">
        <v>1230</v>
      </c>
      <c r="N1115" s="2">
        <v>4</v>
      </c>
      <c r="O1115" s="2">
        <f t="shared" si="104"/>
        <v>307.5</v>
      </c>
      <c r="P1115" s="2">
        <f t="shared" si="105"/>
        <v>1.932382328913467</v>
      </c>
      <c r="Q1115" s="3">
        <f t="shared" si="106"/>
        <v>0.12937398373983738</v>
      </c>
    </row>
    <row r="1116" spans="1:17" hidden="1" x14ac:dyDescent="0.25">
      <c r="A1116" t="s">
        <v>1184</v>
      </c>
      <c r="B1116" t="s">
        <v>30</v>
      </c>
      <c r="C1116" t="s">
        <v>40</v>
      </c>
      <c r="D1116" t="str">
        <f t="shared" si="102"/>
        <v>MI</v>
      </c>
      <c r="E1116" t="str">
        <f t="shared" si="103"/>
        <v>Midwest</v>
      </c>
      <c r="F1116" t="s">
        <v>18</v>
      </c>
      <c r="G1116" s="1">
        <v>45258</v>
      </c>
      <c r="H1116" s="1">
        <v>45259</v>
      </c>
      <c r="I1116" s="1">
        <f t="shared" si="107"/>
        <v>45259</v>
      </c>
      <c r="J1116" s="2">
        <v>15</v>
      </c>
      <c r="K1116" s="2">
        <v>48.67</v>
      </c>
      <c r="L1116" t="s">
        <v>15</v>
      </c>
      <c r="M1116" s="2">
        <v>173</v>
      </c>
      <c r="N1116" s="2">
        <v>1</v>
      </c>
      <c r="O1116" s="2">
        <f t="shared" si="104"/>
        <v>173</v>
      </c>
      <c r="P1116" s="2">
        <f t="shared" si="105"/>
        <v>3.5545510581467021</v>
      </c>
      <c r="Q1116" s="3">
        <f t="shared" si="106"/>
        <v>0.28132947976878614</v>
      </c>
    </row>
    <row r="1117" spans="1:17" hidden="1" x14ac:dyDescent="0.25">
      <c r="A1117" t="s">
        <v>1185</v>
      </c>
      <c r="B1117" t="s">
        <v>49</v>
      </c>
      <c r="C1117" t="s">
        <v>46</v>
      </c>
      <c r="D1117" t="str">
        <f t="shared" si="102"/>
        <v>MA</v>
      </c>
      <c r="E1117" t="str">
        <f t="shared" si="103"/>
        <v>Northeast</v>
      </c>
      <c r="F1117" t="s">
        <v>42</v>
      </c>
      <c r="G1117" s="1">
        <v>44978</v>
      </c>
      <c r="H1117" s="1">
        <v>44983</v>
      </c>
      <c r="I1117" s="1">
        <f t="shared" si="107"/>
        <v>44983</v>
      </c>
      <c r="J1117" s="2">
        <v>15.1</v>
      </c>
      <c r="K1117" s="2">
        <v>223.5</v>
      </c>
      <c r="L1117" t="s">
        <v>15</v>
      </c>
      <c r="M1117" s="2">
        <v>1689</v>
      </c>
      <c r="N1117" s="2">
        <v>5</v>
      </c>
      <c r="O1117" s="2">
        <f t="shared" si="104"/>
        <v>337.8</v>
      </c>
      <c r="P1117" s="2">
        <f t="shared" si="105"/>
        <v>1.5114093959731545</v>
      </c>
      <c r="Q1117" s="3">
        <f t="shared" si="106"/>
        <v>0.13232682060390763</v>
      </c>
    </row>
    <row r="1118" spans="1:17" x14ac:dyDescent="0.25">
      <c r="A1118" t="s">
        <v>1186</v>
      </c>
      <c r="B1118" t="s">
        <v>35</v>
      </c>
      <c r="C1118" t="s">
        <v>81</v>
      </c>
      <c r="D1118" t="str">
        <f t="shared" si="102"/>
        <v>CO</v>
      </c>
      <c r="E1118" t="str">
        <f t="shared" si="103"/>
        <v>West</v>
      </c>
      <c r="F1118" t="s">
        <v>59</v>
      </c>
      <c r="G1118" s="1">
        <v>44984</v>
      </c>
      <c r="H1118" s="1">
        <v>44988</v>
      </c>
      <c r="I1118" s="1">
        <f t="shared" si="107"/>
        <v>44988</v>
      </c>
      <c r="J1118" s="2">
        <v>26.1</v>
      </c>
      <c r="K1118" s="2">
        <v>147.22</v>
      </c>
      <c r="L1118" t="s">
        <v>62</v>
      </c>
      <c r="M1118" s="2">
        <v>1000</v>
      </c>
      <c r="N1118" s="2">
        <v>4</v>
      </c>
      <c r="O1118" s="2">
        <f t="shared" si="104"/>
        <v>250</v>
      </c>
      <c r="P1118" s="2">
        <f t="shared" si="105"/>
        <v>1.6981388398315447</v>
      </c>
      <c r="Q1118" s="3">
        <f t="shared" si="106"/>
        <v>0.14721999999999999</v>
      </c>
    </row>
    <row r="1119" spans="1:17" hidden="1" x14ac:dyDescent="0.25">
      <c r="A1119" t="s">
        <v>1187</v>
      </c>
      <c r="B1119" t="s">
        <v>56</v>
      </c>
      <c r="C1119" t="s">
        <v>31</v>
      </c>
      <c r="D1119" t="str">
        <f t="shared" si="102"/>
        <v>NY</v>
      </c>
      <c r="E1119" t="str">
        <f t="shared" si="103"/>
        <v>Northeast</v>
      </c>
      <c r="F1119" t="s">
        <v>32</v>
      </c>
      <c r="G1119" s="1">
        <v>45130</v>
      </c>
      <c r="H1119" s="1">
        <v>45133</v>
      </c>
      <c r="I1119" s="1">
        <f t="shared" si="107"/>
        <v>45133</v>
      </c>
      <c r="J1119" s="2">
        <v>49.8</v>
      </c>
      <c r="K1119" s="2">
        <v>191.95</v>
      </c>
      <c r="L1119" t="s">
        <v>15</v>
      </c>
      <c r="M1119" s="2">
        <v>910</v>
      </c>
      <c r="N1119" s="2">
        <v>3</v>
      </c>
      <c r="O1119" s="2">
        <f t="shared" si="104"/>
        <v>303.33333333333331</v>
      </c>
      <c r="P1119" s="2">
        <f t="shared" si="105"/>
        <v>1.5802726404445602</v>
      </c>
      <c r="Q1119" s="3">
        <f t="shared" si="106"/>
        <v>0.21093406593406591</v>
      </c>
    </row>
    <row r="1120" spans="1:17" hidden="1" x14ac:dyDescent="0.25">
      <c r="A1120" t="s">
        <v>1188</v>
      </c>
      <c r="B1120" t="s">
        <v>49</v>
      </c>
      <c r="C1120" t="s">
        <v>52</v>
      </c>
      <c r="D1120" t="str">
        <f t="shared" si="102"/>
        <v>AZ</v>
      </c>
      <c r="E1120" t="str">
        <f t="shared" si="103"/>
        <v>Southwest</v>
      </c>
      <c r="F1120" t="s">
        <v>37</v>
      </c>
      <c r="G1120" s="1">
        <v>45106</v>
      </c>
      <c r="H1120" s="1">
        <v>45108</v>
      </c>
      <c r="I1120" s="1">
        <f t="shared" si="107"/>
        <v>45108</v>
      </c>
      <c r="J1120" s="2">
        <v>21.1</v>
      </c>
      <c r="K1120" s="2">
        <v>42.11</v>
      </c>
      <c r="L1120" t="s">
        <v>15</v>
      </c>
      <c r="M1120" s="2">
        <v>111</v>
      </c>
      <c r="N1120" s="2">
        <v>2</v>
      </c>
      <c r="O1120" s="2">
        <f t="shared" si="104"/>
        <v>55.5</v>
      </c>
      <c r="P1120" s="2">
        <f t="shared" si="105"/>
        <v>1.3179767276181429</v>
      </c>
      <c r="Q1120" s="3">
        <f t="shared" si="106"/>
        <v>0.37936936936936938</v>
      </c>
    </row>
    <row r="1121" spans="1:17" x14ac:dyDescent="0.25">
      <c r="A1121" t="s">
        <v>1189</v>
      </c>
      <c r="B1121" t="s">
        <v>20</v>
      </c>
      <c r="C1121" t="s">
        <v>13</v>
      </c>
      <c r="D1121" t="str">
        <f t="shared" si="102"/>
        <v>CA</v>
      </c>
      <c r="E1121" t="str">
        <f t="shared" si="103"/>
        <v>West</v>
      </c>
      <c r="F1121" t="s">
        <v>14</v>
      </c>
      <c r="G1121" s="1">
        <v>45236</v>
      </c>
      <c r="H1121" s="1">
        <v>45248</v>
      </c>
      <c r="I1121" s="1">
        <f t="shared" si="107"/>
        <v>45248</v>
      </c>
      <c r="J1121" s="2">
        <v>49.6</v>
      </c>
      <c r="K1121" s="2">
        <v>245.62</v>
      </c>
      <c r="L1121" t="s">
        <v>47</v>
      </c>
      <c r="M1121" s="2">
        <v>1043</v>
      </c>
      <c r="N1121" s="2">
        <v>5</v>
      </c>
      <c r="O1121" s="2">
        <f t="shared" si="104"/>
        <v>208.6</v>
      </c>
      <c r="P1121" s="2">
        <f t="shared" si="105"/>
        <v>0.84927937464375858</v>
      </c>
      <c r="Q1121" s="3">
        <f t="shared" si="106"/>
        <v>0.23549376797698945</v>
      </c>
    </row>
    <row r="1122" spans="1:17" x14ac:dyDescent="0.25">
      <c r="A1122" t="s">
        <v>1190</v>
      </c>
      <c r="B1122" t="s">
        <v>49</v>
      </c>
      <c r="C1122" t="s">
        <v>13</v>
      </c>
      <c r="D1122" t="str">
        <f t="shared" si="102"/>
        <v>CA</v>
      </c>
      <c r="E1122" t="str">
        <f t="shared" si="103"/>
        <v>West</v>
      </c>
      <c r="F1122" t="s">
        <v>32</v>
      </c>
      <c r="G1122" s="1">
        <v>44991</v>
      </c>
      <c r="H1122" s="1">
        <v>44994</v>
      </c>
      <c r="I1122" s="1">
        <f t="shared" si="107"/>
        <v>44994</v>
      </c>
      <c r="J1122" s="2">
        <v>51.1</v>
      </c>
      <c r="K1122" s="2">
        <v>221.01</v>
      </c>
      <c r="L1122" t="s">
        <v>15</v>
      </c>
      <c r="M1122" s="2">
        <v>1170</v>
      </c>
      <c r="N1122" s="2">
        <v>3</v>
      </c>
      <c r="O1122" s="2">
        <f t="shared" si="104"/>
        <v>390</v>
      </c>
      <c r="P1122" s="2">
        <f t="shared" si="105"/>
        <v>1.7646260350210399</v>
      </c>
      <c r="Q1122" s="3">
        <f t="shared" si="106"/>
        <v>0.18889743589743588</v>
      </c>
    </row>
    <row r="1123" spans="1:17" hidden="1" x14ac:dyDescent="0.25">
      <c r="A1123" t="s">
        <v>1191</v>
      </c>
      <c r="B1123" t="s">
        <v>39</v>
      </c>
      <c r="C1123" t="s">
        <v>52</v>
      </c>
      <c r="D1123" t="str">
        <f t="shared" si="102"/>
        <v>AZ</v>
      </c>
      <c r="E1123" t="str">
        <f t="shared" si="103"/>
        <v>Southwest</v>
      </c>
      <c r="F1123" t="s">
        <v>37</v>
      </c>
      <c r="G1123" s="1">
        <v>45276</v>
      </c>
      <c r="H1123" s="1">
        <v>45278</v>
      </c>
      <c r="I1123" s="1">
        <f t="shared" si="107"/>
        <v>45278</v>
      </c>
      <c r="J1123" s="2">
        <v>1.9</v>
      </c>
      <c r="K1123" s="2">
        <v>119.85</v>
      </c>
      <c r="L1123" t="s">
        <v>15</v>
      </c>
      <c r="M1123" s="2">
        <v>796</v>
      </c>
      <c r="N1123" s="2">
        <v>2</v>
      </c>
      <c r="O1123" s="2">
        <f t="shared" si="104"/>
        <v>398</v>
      </c>
      <c r="P1123" s="2">
        <f t="shared" si="105"/>
        <v>3.3208176887776388</v>
      </c>
      <c r="Q1123" s="3">
        <f t="shared" si="106"/>
        <v>0.15056532663316582</v>
      </c>
    </row>
    <row r="1124" spans="1:17" x14ac:dyDescent="0.25">
      <c r="A1124" t="s">
        <v>1192</v>
      </c>
      <c r="B1124" t="s">
        <v>23</v>
      </c>
      <c r="C1124" t="s">
        <v>70</v>
      </c>
      <c r="D1124" t="str">
        <f t="shared" si="102"/>
        <v>CA</v>
      </c>
      <c r="E1124" t="str">
        <f t="shared" si="103"/>
        <v>West</v>
      </c>
      <c r="F1124" t="s">
        <v>25</v>
      </c>
      <c r="G1124" s="1">
        <v>45107</v>
      </c>
      <c r="H1124" s="1">
        <v>45111</v>
      </c>
      <c r="I1124" s="1">
        <f t="shared" si="107"/>
        <v>45111</v>
      </c>
      <c r="J1124" s="2">
        <v>21.2</v>
      </c>
      <c r="K1124" s="2">
        <v>271.48</v>
      </c>
      <c r="L1124" t="s">
        <v>15</v>
      </c>
      <c r="M1124" s="2">
        <v>1849</v>
      </c>
      <c r="N1124" s="2">
        <v>4</v>
      </c>
      <c r="O1124" s="2">
        <f t="shared" si="104"/>
        <v>462.25</v>
      </c>
      <c r="P1124" s="2">
        <f t="shared" si="105"/>
        <v>1.7027036982466479</v>
      </c>
      <c r="Q1124" s="3">
        <f t="shared" si="106"/>
        <v>0.14682531097890753</v>
      </c>
    </row>
    <row r="1125" spans="1:17" x14ac:dyDescent="0.25">
      <c r="A1125" t="s">
        <v>1193</v>
      </c>
      <c r="B1125" t="s">
        <v>12</v>
      </c>
      <c r="C1125" t="s">
        <v>70</v>
      </c>
      <c r="D1125" t="str">
        <f t="shared" si="102"/>
        <v>CA</v>
      </c>
      <c r="E1125" t="str">
        <f t="shared" si="103"/>
        <v>West</v>
      </c>
      <c r="F1125" t="s">
        <v>25</v>
      </c>
      <c r="G1125" s="1">
        <v>45291</v>
      </c>
      <c r="H1125" s="1">
        <v>45299</v>
      </c>
      <c r="I1125" s="1">
        <f t="shared" si="107"/>
        <v>45299</v>
      </c>
      <c r="J1125" s="2">
        <v>44.8</v>
      </c>
      <c r="K1125" s="2">
        <v>183.23</v>
      </c>
      <c r="L1125" t="s">
        <v>62</v>
      </c>
      <c r="M1125" s="2">
        <v>716</v>
      </c>
      <c r="N1125" s="2">
        <v>8</v>
      </c>
      <c r="O1125" s="2">
        <f t="shared" si="104"/>
        <v>89.5</v>
      </c>
      <c r="P1125" s="2">
        <f t="shared" si="105"/>
        <v>0.48845713038257932</v>
      </c>
      <c r="Q1125" s="3">
        <f t="shared" si="106"/>
        <v>0.25590782122905026</v>
      </c>
    </row>
    <row r="1126" spans="1:17" x14ac:dyDescent="0.25">
      <c r="A1126" t="s">
        <v>1194</v>
      </c>
      <c r="B1126" t="s">
        <v>56</v>
      </c>
      <c r="C1126" t="s">
        <v>70</v>
      </c>
      <c r="D1126" t="str">
        <f t="shared" si="102"/>
        <v>CA</v>
      </c>
      <c r="E1126" t="str">
        <f t="shared" si="103"/>
        <v>West</v>
      </c>
      <c r="F1126" t="s">
        <v>42</v>
      </c>
      <c r="G1126" s="1">
        <v>44937</v>
      </c>
      <c r="H1126" s="1">
        <v>44938</v>
      </c>
      <c r="I1126" s="1">
        <f t="shared" si="107"/>
        <v>44938</v>
      </c>
      <c r="J1126" s="2">
        <v>6.6</v>
      </c>
      <c r="K1126" s="2">
        <v>39.880000000000003</v>
      </c>
      <c r="L1126" t="s">
        <v>15</v>
      </c>
      <c r="M1126" s="2">
        <v>265</v>
      </c>
      <c r="N1126" s="2">
        <v>1</v>
      </c>
      <c r="O1126" s="2">
        <f t="shared" si="104"/>
        <v>265</v>
      </c>
      <c r="P1126" s="2">
        <f t="shared" si="105"/>
        <v>6.6449348044132392</v>
      </c>
      <c r="Q1126" s="3">
        <f t="shared" si="106"/>
        <v>0.15049056603773586</v>
      </c>
    </row>
    <row r="1127" spans="1:17" x14ac:dyDescent="0.25">
      <c r="A1127" t="s">
        <v>1195</v>
      </c>
      <c r="B1127" t="s">
        <v>35</v>
      </c>
      <c r="C1127" t="s">
        <v>24</v>
      </c>
      <c r="D1127" t="str">
        <f t="shared" si="102"/>
        <v>WA</v>
      </c>
      <c r="E1127" t="str">
        <f t="shared" si="103"/>
        <v>West</v>
      </c>
      <c r="F1127" t="s">
        <v>59</v>
      </c>
      <c r="G1127" s="1">
        <v>45280</v>
      </c>
      <c r="H1127" s="1">
        <v>45285</v>
      </c>
      <c r="I1127" s="1">
        <f t="shared" si="107"/>
        <v>45285</v>
      </c>
      <c r="J1127" s="2">
        <v>29.9</v>
      </c>
      <c r="K1127" s="2">
        <v>233.47</v>
      </c>
      <c r="L1127" t="s">
        <v>15</v>
      </c>
      <c r="M1127" s="2">
        <v>1576</v>
      </c>
      <c r="N1127" s="2">
        <v>5</v>
      </c>
      <c r="O1127" s="2">
        <f t="shared" si="104"/>
        <v>315.2</v>
      </c>
      <c r="P1127" s="2">
        <f t="shared" si="105"/>
        <v>1.350066389686041</v>
      </c>
      <c r="Q1127" s="3">
        <f t="shared" si="106"/>
        <v>0.14814086294416243</v>
      </c>
    </row>
    <row r="1128" spans="1:17" hidden="1" x14ac:dyDescent="0.25">
      <c r="A1128" t="s">
        <v>1196</v>
      </c>
      <c r="B1128" t="s">
        <v>20</v>
      </c>
      <c r="C1128" t="s">
        <v>28</v>
      </c>
      <c r="D1128" t="str">
        <f t="shared" si="102"/>
        <v>TX</v>
      </c>
      <c r="E1128" t="str">
        <f t="shared" si="103"/>
        <v>Southwest</v>
      </c>
      <c r="F1128" t="s">
        <v>32</v>
      </c>
      <c r="G1128" s="1">
        <v>44947</v>
      </c>
      <c r="H1128" s="1">
        <v>44951</v>
      </c>
      <c r="I1128" s="1">
        <f t="shared" si="107"/>
        <v>44951</v>
      </c>
      <c r="J1128" s="2">
        <v>48.1</v>
      </c>
      <c r="K1128" s="2">
        <v>261.72000000000003</v>
      </c>
      <c r="L1128" t="s">
        <v>15</v>
      </c>
      <c r="M1128" s="2">
        <v>1435</v>
      </c>
      <c r="N1128" s="2">
        <v>4</v>
      </c>
      <c r="O1128" s="2">
        <f t="shared" si="104"/>
        <v>358.75</v>
      </c>
      <c r="P1128" s="2">
        <f t="shared" si="105"/>
        <v>1.3707397218401343</v>
      </c>
      <c r="Q1128" s="3">
        <f t="shared" si="106"/>
        <v>0.18238327526132406</v>
      </c>
    </row>
    <row r="1129" spans="1:17" hidden="1" x14ac:dyDescent="0.25">
      <c r="A1129" t="s">
        <v>1197</v>
      </c>
      <c r="B1129" t="s">
        <v>49</v>
      </c>
      <c r="C1129" t="s">
        <v>44</v>
      </c>
      <c r="D1129" t="str">
        <f t="shared" si="102"/>
        <v>IL</v>
      </c>
      <c r="E1129" t="str">
        <f t="shared" si="103"/>
        <v>Midwest</v>
      </c>
      <c r="F1129" t="s">
        <v>59</v>
      </c>
      <c r="G1129" s="1">
        <v>45246</v>
      </c>
      <c r="H1129" s="1">
        <v>45249</v>
      </c>
      <c r="I1129" s="1">
        <f t="shared" si="107"/>
        <v>45249</v>
      </c>
      <c r="J1129" s="2">
        <v>19</v>
      </c>
      <c r="K1129" s="2">
        <v>782.71</v>
      </c>
      <c r="L1129" t="s">
        <v>15</v>
      </c>
      <c r="M1129" s="2">
        <v>870</v>
      </c>
      <c r="N1129" s="2">
        <v>3</v>
      </c>
      <c r="O1129" s="2">
        <f t="shared" si="104"/>
        <v>290</v>
      </c>
      <c r="P1129" s="2">
        <f t="shared" si="105"/>
        <v>0.37050759540570583</v>
      </c>
      <c r="Q1129" s="3">
        <f t="shared" si="106"/>
        <v>0.89966666666666673</v>
      </c>
    </row>
    <row r="1130" spans="1:17" hidden="1" x14ac:dyDescent="0.25">
      <c r="A1130" t="s">
        <v>1198</v>
      </c>
      <c r="B1130" t="s">
        <v>56</v>
      </c>
      <c r="C1130" t="s">
        <v>21</v>
      </c>
      <c r="D1130" t="str">
        <f t="shared" si="102"/>
        <v>TX</v>
      </c>
      <c r="E1130" t="str">
        <f t="shared" si="103"/>
        <v>Southwest</v>
      </c>
      <c r="F1130" t="s">
        <v>14</v>
      </c>
      <c r="G1130" s="1">
        <v>45163</v>
      </c>
      <c r="H1130" s="1">
        <v>45170</v>
      </c>
      <c r="I1130" s="1">
        <f t="shared" si="107"/>
        <v>45170</v>
      </c>
      <c r="J1130" s="2">
        <v>25.3</v>
      </c>
      <c r="K1130" s="2">
        <v>334.33</v>
      </c>
      <c r="L1130" t="s">
        <v>15</v>
      </c>
      <c r="M1130" s="2">
        <v>2305</v>
      </c>
      <c r="N1130" s="2">
        <v>7</v>
      </c>
      <c r="O1130" s="2">
        <f t="shared" si="104"/>
        <v>329.28571428571428</v>
      </c>
      <c r="P1130" s="2">
        <f t="shared" si="105"/>
        <v>0.9849122552140529</v>
      </c>
      <c r="Q1130" s="3">
        <f t="shared" si="106"/>
        <v>0.14504555314533621</v>
      </c>
    </row>
    <row r="1131" spans="1:17" hidden="1" x14ac:dyDescent="0.25">
      <c r="A1131" t="s">
        <v>1199</v>
      </c>
      <c r="B1131" t="s">
        <v>51</v>
      </c>
      <c r="C1131" t="s">
        <v>46</v>
      </c>
      <c r="D1131" t="str">
        <f t="shared" si="102"/>
        <v>MA</v>
      </c>
      <c r="E1131" t="str">
        <f t="shared" si="103"/>
        <v>Northeast</v>
      </c>
      <c r="F1131" t="s">
        <v>25</v>
      </c>
      <c r="G1131" s="1">
        <v>45253</v>
      </c>
      <c r="H1131" s="1">
        <v>45254</v>
      </c>
      <c r="I1131" s="1">
        <f t="shared" si="107"/>
        <v>45254</v>
      </c>
      <c r="J1131" s="2">
        <v>10.7</v>
      </c>
      <c r="K1131" s="2">
        <v>42.56</v>
      </c>
      <c r="L1131" t="s">
        <v>15</v>
      </c>
      <c r="M1131" s="2">
        <v>215</v>
      </c>
      <c r="N1131" s="2">
        <v>1</v>
      </c>
      <c r="O1131" s="2">
        <f t="shared" si="104"/>
        <v>215</v>
      </c>
      <c r="P1131" s="2">
        <f t="shared" si="105"/>
        <v>5.0516917293233083</v>
      </c>
      <c r="Q1131" s="3">
        <f t="shared" si="106"/>
        <v>0.19795348837209303</v>
      </c>
    </row>
    <row r="1132" spans="1:17" x14ac:dyDescent="0.25">
      <c r="A1132" t="s">
        <v>1200</v>
      </c>
      <c r="B1132" t="s">
        <v>56</v>
      </c>
      <c r="C1132" t="s">
        <v>81</v>
      </c>
      <c r="D1132" t="str">
        <f t="shared" si="102"/>
        <v>CO</v>
      </c>
      <c r="E1132" t="str">
        <f t="shared" si="103"/>
        <v>West</v>
      </c>
      <c r="F1132" t="s">
        <v>18</v>
      </c>
      <c r="G1132" s="1">
        <v>45180</v>
      </c>
      <c r="H1132" s="1">
        <v>45186</v>
      </c>
      <c r="I1132" s="1">
        <f t="shared" si="107"/>
        <v>45186</v>
      </c>
      <c r="J1132" s="2">
        <v>9.1999999999999993</v>
      </c>
      <c r="K1132" s="2">
        <v>225.24</v>
      </c>
      <c r="L1132" t="s">
        <v>62</v>
      </c>
      <c r="M1132" s="2">
        <v>1505</v>
      </c>
      <c r="N1132" s="2">
        <v>6</v>
      </c>
      <c r="O1132" s="2">
        <f t="shared" si="104"/>
        <v>250.83333333333334</v>
      </c>
      <c r="P1132" s="2">
        <f t="shared" si="105"/>
        <v>1.1136269460723376</v>
      </c>
      <c r="Q1132" s="3">
        <f t="shared" si="106"/>
        <v>0.14966112956810632</v>
      </c>
    </row>
    <row r="1133" spans="1:17" x14ac:dyDescent="0.25">
      <c r="A1133" t="s">
        <v>1201</v>
      </c>
      <c r="B1133" t="s">
        <v>12</v>
      </c>
      <c r="C1133" t="s">
        <v>13</v>
      </c>
      <c r="D1133" t="str">
        <f t="shared" ref="D1133:D1194" si="108">IF(C1133="Atlanta","GA",
IF(C1133="Boston","MA",
IF(C1133="Chicago","IL",
IF(C1133="Dallas","TX",
IF(C1133="Denver","CO",
IF(C1133="Detroit","MI",
IF(C1133="Houston","TX",
IF(C1133="Los Angeles","CA",
IF(C1133="Miami","FL",
IF(C1133="Minneapolis","MN",
IF(C1133="New York","NY",
IF(C1133="Phoenix","AZ",
IF(C1133="Portland","OR",
IF(C1133="San Francisco","CA",
IF(C1133="Seattle","WA","Unknown")))))))))))))))</f>
        <v>CA</v>
      </c>
      <c r="E1133" t="str">
        <f t="shared" ref="E1133:E1194" si="109">IF(OR(D1133="NY",D1133="NJ",D1133="PA",D1133="MA",D1133="CT",D1133="RI",D1133="VT",D1133="NH",D1133="ME"),"Northeast",
IF(OR(D1133="FL",D1133="GA",D1133="AL",D1133="MS",D1133="SC",D1133="NC",D1133="TN",D1133="KY"),"Southeast",
IF(OR(D1133="IL",D1133="IN",D1133="OH",D1133="MI",D1133="WI",D1133="MN",D1133="IA",D1133="MO",D1133="KS",D1133="NE",D1133="ND",D1133="SD"),"Midwest",
IF(OR(D1133="TX",D1133="OK",D1133="NM",D1133="AZ"),"Southwest",
IF(OR(D1133="CA",D1133="OR",D1133="WA",D1133="NV",D1133="CO",D1133="UT",D1133="ID",D1133="MT",D1133="WY",D1133="AK",D1133="HI"),"West","Other")))))</f>
        <v>West</v>
      </c>
      <c r="F1133" t="s">
        <v>42</v>
      </c>
      <c r="G1133" s="1">
        <v>45162</v>
      </c>
      <c r="H1133" s="1">
        <v>45169</v>
      </c>
      <c r="I1133" s="1">
        <f t="shared" si="107"/>
        <v>45169</v>
      </c>
      <c r="J1133" s="2">
        <v>0.3</v>
      </c>
      <c r="K1133" s="2">
        <v>273.62</v>
      </c>
      <c r="L1133" t="s">
        <v>15</v>
      </c>
      <c r="M1133" s="2">
        <v>2149</v>
      </c>
      <c r="N1133" s="2">
        <v>7</v>
      </c>
      <c r="O1133" s="2">
        <f t="shared" ref="O1133:O1194" si="110">M1133/N1133</f>
        <v>307</v>
      </c>
      <c r="P1133" s="2">
        <f t="shared" ref="P1133:P1194" si="111">O1133/K1133</f>
        <v>1.1219940062860903</v>
      </c>
      <c r="Q1133" s="3">
        <f t="shared" ref="Q1133:Q1194" si="112">K1133/M1133</f>
        <v>0.12732433690088413</v>
      </c>
    </row>
    <row r="1134" spans="1:17" hidden="1" x14ac:dyDescent="0.25">
      <c r="A1134" t="s">
        <v>1202</v>
      </c>
      <c r="B1134" t="s">
        <v>49</v>
      </c>
      <c r="C1134" t="s">
        <v>44</v>
      </c>
      <c r="D1134" t="str">
        <f t="shared" si="108"/>
        <v>IL</v>
      </c>
      <c r="E1134" t="str">
        <f t="shared" si="109"/>
        <v>Midwest</v>
      </c>
      <c r="F1134" t="s">
        <v>37</v>
      </c>
      <c r="G1134" s="1">
        <v>45210</v>
      </c>
      <c r="H1134" s="1">
        <v>45216</v>
      </c>
      <c r="I1134" s="1">
        <f t="shared" si="107"/>
        <v>45216</v>
      </c>
      <c r="J1134" s="2">
        <v>18.5</v>
      </c>
      <c r="K1134" s="2">
        <v>225.53</v>
      </c>
      <c r="L1134" t="s">
        <v>15</v>
      </c>
      <c r="M1134" s="2">
        <v>1585</v>
      </c>
      <c r="N1134" s="2">
        <v>6</v>
      </c>
      <c r="O1134" s="2">
        <f t="shared" si="110"/>
        <v>264.16666666666669</v>
      </c>
      <c r="P1134" s="2">
        <f t="shared" si="111"/>
        <v>1.1713149765737005</v>
      </c>
      <c r="Q1134" s="3">
        <f t="shared" si="112"/>
        <v>0.14229022082018927</v>
      </c>
    </row>
    <row r="1135" spans="1:17" hidden="1" x14ac:dyDescent="0.25">
      <c r="A1135" t="s">
        <v>1203</v>
      </c>
      <c r="B1135" t="s">
        <v>20</v>
      </c>
      <c r="C1135" t="s">
        <v>44</v>
      </c>
      <c r="D1135" t="str">
        <f t="shared" si="108"/>
        <v>IL</v>
      </c>
      <c r="E1135" t="str">
        <f t="shared" si="109"/>
        <v>Midwest</v>
      </c>
      <c r="F1135" t="s">
        <v>18</v>
      </c>
      <c r="G1135" s="1">
        <v>45188</v>
      </c>
      <c r="H1135" s="1">
        <v>45191</v>
      </c>
      <c r="I1135" s="1">
        <f t="shared" si="107"/>
        <v>45191</v>
      </c>
      <c r="J1135" s="2">
        <v>10.199999999999999</v>
      </c>
      <c r="K1135" s="2">
        <v>31.86</v>
      </c>
      <c r="L1135" t="s">
        <v>15</v>
      </c>
      <c r="M1135" s="2">
        <v>112</v>
      </c>
      <c r="N1135" s="2">
        <v>3</v>
      </c>
      <c r="O1135" s="2">
        <f t="shared" si="110"/>
        <v>37.333333333333336</v>
      </c>
      <c r="P1135" s="2">
        <f t="shared" si="111"/>
        <v>1.1717932621887426</v>
      </c>
      <c r="Q1135" s="3">
        <f t="shared" si="112"/>
        <v>0.28446428571428573</v>
      </c>
    </row>
    <row r="1136" spans="1:17" hidden="1" x14ac:dyDescent="0.25">
      <c r="A1136" t="s">
        <v>1204</v>
      </c>
      <c r="B1136" t="s">
        <v>27</v>
      </c>
      <c r="C1136" t="s">
        <v>57</v>
      </c>
      <c r="D1136" t="str">
        <f t="shared" si="108"/>
        <v>MN</v>
      </c>
      <c r="E1136" t="str">
        <f t="shared" si="109"/>
        <v>Midwest</v>
      </c>
      <c r="F1136" t="s">
        <v>42</v>
      </c>
      <c r="G1136" s="1">
        <v>45159</v>
      </c>
      <c r="H1136" s="1">
        <v>45166</v>
      </c>
      <c r="I1136" s="1">
        <f t="shared" si="107"/>
        <v>45166</v>
      </c>
      <c r="J1136" s="2">
        <v>72.2</v>
      </c>
      <c r="K1136" s="2">
        <v>354.2</v>
      </c>
      <c r="L1136" t="s">
        <v>15</v>
      </c>
      <c r="M1136" s="2">
        <v>2135</v>
      </c>
      <c r="N1136" s="2">
        <v>7</v>
      </c>
      <c r="O1136" s="2">
        <f t="shared" si="110"/>
        <v>305</v>
      </c>
      <c r="P1136" s="2">
        <f t="shared" si="111"/>
        <v>0.86109542631281766</v>
      </c>
      <c r="Q1136" s="3">
        <f t="shared" si="112"/>
        <v>0.1659016393442623</v>
      </c>
    </row>
    <row r="1137" spans="1:17" hidden="1" x14ac:dyDescent="0.25">
      <c r="A1137" t="s">
        <v>1205</v>
      </c>
      <c r="B1137" t="s">
        <v>56</v>
      </c>
      <c r="C1137" t="s">
        <v>46</v>
      </c>
      <c r="D1137" t="str">
        <f t="shared" si="108"/>
        <v>MA</v>
      </c>
      <c r="E1137" t="str">
        <f t="shared" si="109"/>
        <v>Northeast</v>
      </c>
      <c r="F1137" t="s">
        <v>32</v>
      </c>
      <c r="G1137" s="1">
        <v>45173</v>
      </c>
      <c r="H1137" s="1">
        <v>45179</v>
      </c>
      <c r="I1137" s="1">
        <f t="shared" si="107"/>
        <v>45179</v>
      </c>
      <c r="J1137" s="2">
        <v>25</v>
      </c>
      <c r="K1137" s="2">
        <v>316.11</v>
      </c>
      <c r="L1137" t="s">
        <v>15</v>
      </c>
      <c r="M1137" s="2">
        <v>2154</v>
      </c>
      <c r="N1137" s="2">
        <v>6</v>
      </c>
      <c r="O1137" s="2">
        <f t="shared" si="110"/>
        <v>359</v>
      </c>
      <c r="P1137" s="2">
        <f t="shared" si="111"/>
        <v>1.1356806175065641</v>
      </c>
      <c r="Q1137" s="3">
        <f t="shared" si="112"/>
        <v>0.14675487465181059</v>
      </c>
    </row>
    <row r="1138" spans="1:17" hidden="1" x14ac:dyDescent="0.25">
      <c r="A1138" t="s">
        <v>1206</v>
      </c>
      <c r="B1138" t="s">
        <v>12</v>
      </c>
      <c r="C1138" t="s">
        <v>46</v>
      </c>
      <c r="D1138" t="str">
        <f t="shared" si="108"/>
        <v>MA</v>
      </c>
      <c r="E1138" t="str">
        <f t="shared" si="109"/>
        <v>Northeast</v>
      </c>
      <c r="F1138" t="s">
        <v>25</v>
      </c>
      <c r="G1138" s="1">
        <v>45183</v>
      </c>
      <c r="H1138" s="1">
        <v>45188</v>
      </c>
      <c r="I1138" s="1">
        <f t="shared" si="107"/>
        <v>45188</v>
      </c>
      <c r="J1138" s="2">
        <v>9.6</v>
      </c>
      <c r="K1138" s="2">
        <v>202.87</v>
      </c>
      <c r="L1138" t="s">
        <v>62</v>
      </c>
      <c r="M1138" s="2">
        <v>1608</v>
      </c>
      <c r="N1138" s="2">
        <v>5</v>
      </c>
      <c r="O1138" s="2">
        <f t="shared" si="110"/>
        <v>321.60000000000002</v>
      </c>
      <c r="P1138" s="2">
        <f t="shared" si="111"/>
        <v>1.5852516389806282</v>
      </c>
      <c r="Q1138" s="3">
        <f t="shared" si="112"/>
        <v>0.12616293532338307</v>
      </c>
    </row>
    <row r="1139" spans="1:17" hidden="1" x14ac:dyDescent="0.25">
      <c r="A1139" t="s">
        <v>1207</v>
      </c>
      <c r="B1139" t="s">
        <v>23</v>
      </c>
      <c r="C1139" t="s">
        <v>17</v>
      </c>
      <c r="D1139" t="str">
        <f t="shared" si="108"/>
        <v>GA</v>
      </c>
      <c r="E1139" t="str">
        <f t="shared" si="109"/>
        <v>Southeast</v>
      </c>
      <c r="F1139" t="s">
        <v>18</v>
      </c>
      <c r="G1139" s="1">
        <v>45158</v>
      </c>
      <c r="H1139" s="1">
        <v>45161</v>
      </c>
      <c r="I1139" s="1">
        <f t="shared" si="107"/>
        <v>45161</v>
      </c>
      <c r="J1139" s="2">
        <v>6.9</v>
      </c>
      <c r="K1139" s="2">
        <v>149.93</v>
      </c>
      <c r="L1139" t="s">
        <v>15</v>
      </c>
      <c r="M1139" s="2">
        <v>1077</v>
      </c>
      <c r="N1139" s="2">
        <v>3</v>
      </c>
      <c r="O1139" s="2">
        <f t="shared" si="110"/>
        <v>359</v>
      </c>
      <c r="P1139" s="2">
        <f t="shared" si="111"/>
        <v>2.3944507436803839</v>
      </c>
      <c r="Q1139" s="3">
        <f t="shared" si="112"/>
        <v>0.13921077065923862</v>
      </c>
    </row>
    <row r="1140" spans="1:17" x14ac:dyDescent="0.25">
      <c r="A1140" t="s">
        <v>1208</v>
      </c>
      <c r="B1140" t="s">
        <v>49</v>
      </c>
      <c r="C1140" t="s">
        <v>81</v>
      </c>
      <c r="D1140" t="str">
        <f t="shared" si="108"/>
        <v>CO</v>
      </c>
      <c r="E1140" t="str">
        <f t="shared" si="109"/>
        <v>West</v>
      </c>
      <c r="F1140" t="s">
        <v>59</v>
      </c>
      <c r="G1140" s="1">
        <v>45259</v>
      </c>
      <c r="H1140" s="1">
        <v>45261</v>
      </c>
      <c r="I1140" s="1">
        <f t="shared" si="107"/>
        <v>45261</v>
      </c>
      <c r="J1140" s="2">
        <v>15.1</v>
      </c>
      <c r="K1140" s="2">
        <v>99.27</v>
      </c>
      <c r="L1140" t="s">
        <v>15</v>
      </c>
      <c r="M1140" s="2">
        <v>565</v>
      </c>
      <c r="N1140" s="2">
        <v>2</v>
      </c>
      <c r="O1140" s="2">
        <f t="shared" si="110"/>
        <v>282.5</v>
      </c>
      <c r="P1140" s="2">
        <f t="shared" si="111"/>
        <v>2.8457741513045232</v>
      </c>
      <c r="Q1140" s="3">
        <f t="shared" si="112"/>
        <v>0.17569911504424779</v>
      </c>
    </row>
    <row r="1141" spans="1:17" x14ac:dyDescent="0.25">
      <c r="A1141" t="s">
        <v>1209</v>
      </c>
      <c r="B1141" t="s">
        <v>35</v>
      </c>
      <c r="C1141" t="s">
        <v>81</v>
      </c>
      <c r="D1141" t="str">
        <f t="shared" si="108"/>
        <v>CO</v>
      </c>
      <c r="E1141" t="str">
        <f t="shared" si="109"/>
        <v>West</v>
      </c>
      <c r="F1141" t="s">
        <v>42</v>
      </c>
      <c r="G1141" s="1">
        <v>45055</v>
      </c>
      <c r="H1141" s="1">
        <v>45058</v>
      </c>
      <c r="I1141" s="1">
        <f t="shared" si="107"/>
        <v>45058</v>
      </c>
      <c r="J1141" s="2">
        <v>67.400000000000006</v>
      </c>
      <c r="K1141" s="2">
        <v>220.93</v>
      </c>
      <c r="L1141" t="s">
        <v>15</v>
      </c>
      <c r="M1141" s="2">
        <v>1000</v>
      </c>
      <c r="N1141" s="2">
        <v>3</v>
      </c>
      <c r="O1141" s="2">
        <f t="shared" si="110"/>
        <v>333.33333333333331</v>
      </c>
      <c r="P1141" s="2">
        <f t="shared" si="111"/>
        <v>1.5087735180072117</v>
      </c>
      <c r="Q1141" s="3">
        <f t="shared" si="112"/>
        <v>0.22093000000000002</v>
      </c>
    </row>
    <row r="1142" spans="1:17" hidden="1" x14ac:dyDescent="0.25">
      <c r="A1142" t="s">
        <v>1210</v>
      </c>
      <c r="B1142" t="s">
        <v>12</v>
      </c>
      <c r="C1142" t="s">
        <v>44</v>
      </c>
      <c r="D1142" t="str">
        <f t="shared" si="108"/>
        <v>IL</v>
      </c>
      <c r="E1142" t="str">
        <f t="shared" si="109"/>
        <v>Midwest</v>
      </c>
      <c r="F1142" t="s">
        <v>18</v>
      </c>
      <c r="G1142" s="1">
        <v>45213</v>
      </c>
      <c r="H1142" s="1">
        <v>45214</v>
      </c>
      <c r="I1142" s="1">
        <f t="shared" si="107"/>
        <v>45214</v>
      </c>
      <c r="J1142" s="2">
        <v>18.3</v>
      </c>
      <c r="K1142" s="2">
        <v>87.07</v>
      </c>
      <c r="L1142" t="s">
        <v>15</v>
      </c>
      <c r="M1142" s="2">
        <v>453</v>
      </c>
      <c r="N1142" s="2">
        <v>1</v>
      </c>
      <c r="O1142" s="2">
        <f t="shared" si="110"/>
        <v>453</v>
      </c>
      <c r="P1142" s="2">
        <f t="shared" si="111"/>
        <v>5.2027104628459862</v>
      </c>
      <c r="Q1142" s="3">
        <f t="shared" si="112"/>
        <v>0.19220750551876378</v>
      </c>
    </row>
    <row r="1143" spans="1:17" hidden="1" x14ac:dyDescent="0.25">
      <c r="A1143" t="s">
        <v>1211</v>
      </c>
      <c r="B1143" t="s">
        <v>56</v>
      </c>
      <c r="C1143" t="s">
        <v>57</v>
      </c>
      <c r="D1143" t="str">
        <f t="shared" si="108"/>
        <v>MN</v>
      </c>
      <c r="E1143" t="str">
        <f t="shared" si="109"/>
        <v>Midwest</v>
      </c>
      <c r="F1143" t="s">
        <v>37</v>
      </c>
      <c r="G1143" s="1">
        <v>44963</v>
      </c>
      <c r="H1143" s="1">
        <v>44966</v>
      </c>
      <c r="I1143" s="1">
        <f t="shared" si="107"/>
        <v>44966</v>
      </c>
      <c r="J1143" s="2">
        <v>94.1</v>
      </c>
      <c r="K1143" s="2">
        <v>117.26</v>
      </c>
      <c r="L1143" t="s">
        <v>15</v>
      </c>
      <c r="M1143" s="2">
        <v>132</v>
      </c>
      <c r="N1143" s="2">
        <v>3</v>
      </c>
      <c r="O1143" s="2">
        <f t="shared" si="110"/>
        <v>44</v>
      </c>
      <c r="P1143" s="2">
        <f t="shared" si="111"/>
        <v>0.37523452157598497</v>
      </c>
      <c r="Q1143" s="3">
        <f t="shared" si="112"/>
        <v>0.88833333333333342</v>
      </c>
    </row>
    <row r="1144" spans="1:17" hidden="1" x14ac:dyDescent="0.25">
      <c r="A1144" t="s">
        <v>1212</v>
      </c>
      <c r="B1144" t="s">
        <v>20</v>
      </c>
      <c r="C1144" t="s">
        <v>28</v>
      </c>
      <c r="D1144" t="str">
        <f t="shared" si="108"/>
        <v>TX</v>
      </c>
      <c r="E1144" t="str">
        <f t="shared" si="109"/>
        <v>Southwest</v>
      </c>
      <c r="F1144" t="s">
        <v>18</v>
      </c>
      <c r="G1144" s="1">
        <v>44944</v>
      </c>
      <c r="H1144" s="1">
        <v>44947</v>
      </c>
      <c r="I1144" s="1">
        <f t="shared" si="107"/>
        <v>44947</v>
      </c>
      <c r="J1144" s="2">
        <v>8.1999999999999993</v>
      </c>
      <c r="K1144" s="2">
        <v>207.39</v>
      </c>
      <c r="L1144" t="s">
        <v>15</v>
      </c>
      <c r="M1144" s="2">
        <v>1435</v>
      </c>
      <c r="N1144" s="2">
        <v>3</v>
      </c>
      <c r="O1144" s="2">
        <f t="shared" si="110"/>
        <v>478.33333333333331</v>
      </c>
      <c r="P1144" s="2">
        <f t="shared" si="111"/>
        <v>2.3064435765144573</v>
      </c>
      <c r="Q1144" s="3">
        <f t="shared" si="112"/>
        <v>0.14452264808362369</v>
      </c>
    </row>
    <row r="1145" spans="1:17" hidden="1" x14ac:dyDescent="0.25">
      <c r="A1145" t="s">
        <v>1213</v>
      </c>
      <c r="B1145" t="s">
        <v>39</v>
      </c>
      <c r="C1145" t="s">
        <v>31</v>
      </c>
      <c r="D1145" t="str">
        <f t="shared" si="108"/>
        <v>NY</v>
      </c>
      <c r="E1145" t="str">
        <f t="shared" si="109"/>
        <v>Northeast</v>
      </c>
      <c r="F1145" t="s">
        <v>14</v>
      </c>
      <c r="G1145" s="1">
        <v>45032</v>
      </c>
      <c r="H1145" s="1">
        <v>45037</v>
      </c>
      <c r="I1145" s="1">
        <f t="shared" si="107"/>
        <v>45037</v>
      </c>
      <c r="J1145" s="2">
        <v>7</v>
      </c>
      <c r="K1145" s="2">
        <v>291.75</v>
      </c>
      <c r="L1145" t="s">
        <v>15</v>
      </c>
      <c r="M1145" s="2">
        <v>2078</v>
      </c>
      <c r="N1145" s="2">
        <v>5</v>
      </c>
      <c r="O1145" s="2">
        <f t="shared" si="110"/>
        <v>415.6</v>
      </c>
      <c r="P1145" s="2">
        <f t="shared" si="111"/>
        <v>1.4245072836332477</v>
      </c>
      <c r="Q1145" s="3">
        <f t="shared" si="112"/>
        <v>0.14039942252165544</v>
      </c>
    </row>
    <row r="1146" spans="1:17" hidden="1" x14ac:dyDescent="0.25">
      <c r="A1146" t="s">
        <v>1214</v>
      </c>
      <c r="B1146" t="s">
        <v>20</v>
      </c>
      <c r="C1146" t="s">
        <v>21</v>
      </c>
      <c r="D1146" t="str">
        <f t="shared" si="108"/>
        <v>TX</v>
      </c>
      <c r="E1146" t="str">
        <f t="shared" si="109"/>
        <v>Southwest</v>
      </c>
      <c r="F1146" t="s">
        <v>59</v>
      </c>
      <c r="G1146" s="1">
        <v>44951</v>
      </c>
      <c r="H1146" s="1">
        <v>44955</v>
      </c>
      <c r="I1146" s="1">
        <f t="shared" si="107"/>
        <v>44955</v>
      </c>
      <c r="J1146" s="2">
        <v>53.6</v>
      </c>
      <c r="K1146" s="2">
        <v>196.98</v>
      </c>
      <c r="L1146" t="s">
        <v>15</v>
      </c>
      <c r="M1146" s="2">
        <v>1047</v>
      </c>
      <c r="N1146" s="2">
        <v>4</v>
      </c>
      <c r="O1146" s="2">
        <f t="shared" si="110"/>
        <v>261.75</v>
      </c>
      <c r="P1146" s="2">
        <f t="shared" si="111"/>
        <v>1.3288151081328055</v>
      </c>
      <c r="Q1146" s="3">
        <f t="shared" si="112"/>
        <v>0.18813753581661891</v>
      </c>
    </row>
    <row r="1147" spans="1:17" hidden="1" x14ac:dyDescent="0.25">
      <c r="A1147" t="s">
        <v>1215</v>
      </c>
      <c r="B1147" t="s">
        <v>27</v>
      </c>
      <c r="C1147" t="s">
        <v>46</v>
      </c>
      <c r="D1147" t="str">
        <f t="shared" si="108"/>
        <v>MA</v>
      </c>
      <c r="E1147" t="str">
        <f t="shared" si="109"/>
        <v>Northeast</v>
      </c>
      <c r="F1147" t="s">
        <v>18</v>
      </c>
      <c r="G1147" s="1">
        <v>45152</v>
      </c>
      <c r="H1147" s="1">
        <v>45157</v>
      </c>
      <c r="I1147" s="1">
        <f t="shared" si="107"/>
        <v>45157</v>
      </c>
      <c r="J1147" s="2">
        <v>5.7</v>
      </c>
      <c r="K1147" s="2">
        <v>241.01</v>
      </c>
      <c r="L1147" t="s">
        <v>15</v>
      </c>
      <c r="M1147" s="2">
        <v>1582</v>
      </c>
      <c r="N1147" s="2">
        <v>5</v>
      </c>
      <c r="O1147" s="2">
        <f t="shared" si="110"/>
        <v>316.39999999999998</v>
      </c>
      <c r="P1147" s="2">
        <f t="shared" si="111"/>
        <v>1.312808597153645</v>
      </c>
      <c r="Q1147" s="3">
        <f t="shared" si="112"/>
        <v>0.15234513274336284</v>
      </c>
    </row>
    <row r="1148" spans="1:17" hidden="1" x14ac:dyDescent="0.25">
      <c r="A1148" t="s">
        <v>1216</v>
      </c>
      <c r="B1148" t="s">
        <v>20</v>
      </c>
      <c r="C1148" t="s">
        <v>52</v>
      </c>
      <c r="D1148" t="str">
        <f t="shared" si="108"/>
        <v>AZ</v>
      </c>
      <c r="E1148" t="str">
        <f t="shared" si="109"/>
        <v>Southwest</v>
      </c>
      <c r="F1148" t="s">
        <v>14</v>
      </c>
      <c r="G1148" s="1">
        <v>45144</v>
      </c>
      <c r="H1148" s="1">
        <v>45149</v>
      </c>
      <c r="I1148" s="1">
        <f t="shared" si="107"/>
        <v>45149</v>
      </c>
      <c r="J1148" s="2">
        <v>27.1</v>
      </c>
      <c r="K1148" s="2">
        <v>75.569999999999993</v>
      </c>
      <c r="L1148" t="s">
        <v>15</v>
      </c>
      <c r="M1148" s="2">
        <v>373</v>
      </c>
      <c r="N1148" s="2">
        <v>5</v>
      </c>
      <c r="O1148" s="2">
        <f t="shared" si="110"/>
        <v>74.599999999999994</v>
      </c>
      <c r="P1148" s="2">
        <f t="shared" si="111"/>
        <v>0.98716421860526671</v>
      </c>
      <c r="Q1148" s="3">
        <f t="shared" si="112"/>
        <v>0.20260053619302948</v>
      </c>
    </row>
    <row r="1149" spans="1:17" hidden="1" x14ac:dyDescent="0.25">
      <c r="A1149" t="s">
        <v>1217</v>
      </c>
      <c r="B1149" t="s">
        <v>30</v>
      </c>
      <c r="C1149" t="s">
        <v>46</v>
      </c>
      <c r="D1149" t="str">
        <f t="shared" si="108"/>
        <v>MA</v>
      </c>
      <c r="E1149" t="str">
        <f t="shared" si="109"/>
        <v>Northeast</v>
      </c>
      <c r="F1149" t="s">
        <v>37</v>
      </c>
      <c r="G1149" s="1">
        <v>45203</v>
      </c>
      <c r="H1149" s="1">
        <v>45216</v>
      </c>
      <c r="I1149" s="1">
        <f t="shared" si="107"/>
        <v>45216</v>
      </c>
      <c r="J1149" s="2">
        <v>15.9</v>
      </c>
      <c r="K1149" s="2">
        <v>216.07</v>
      </c>
      <c r="L1149" t="s">
        <v>47</v>
      </c>
      <c r="M1149" s="2">
        <v>1814</v>
      </c>
      <c r="N1149" s="2">
        <v>6</v>
      </c>
      <c r="O1149" s="2">
        <f t="shared" si="110"/>
        <v>302.33333333333331</v>
      </c>
      <c r="P1149" s="2">
        <f t="shared" si="111"/>
        <v>1.399237901297419</v>
      </c>
      <c r="Q1149" s="3">
        <f t="shared" si="112"/>
        <v>0.11911245865490629</v>
      </c>
    </row>
    <row r="1150" spans="1:17" hidden="1" x14ac:dyDescent="0.25">
      <c r="A1150" t="s">
        <v>1218</v>
      </c>
      <c r="B1150" t="s">
        <v>39</v>
      </c>
      <c r="C1150" t="s">
        <v>54</v>
      </c>
      <c r="D1150" t="str">
        <f t="shared" si="108"/>
        <v>FL</v>
      </c>
      <c r="E1150" t="str">
        <f t="shared" si="109"/>
        <v>Southeast</v>
      </c>
      <c r="F1150" t="s">
        <v>37</v>
      </c>
      <c r="G1150" s="1">
        <v>45115</v>
      </c>
      <c r="H1150" s="1">
        <v>45119</v>
      </c>
      <c r="I1150" s="1">
        <f t="shared" si="107"/>
        <v>45119</v>
      </c>
      <c r="J1150" s="2">
        <v>6.5</v>
      </c>
      <c r="K1150" s="2">
        <v>156</v>
      </c>
      <c r="L1150" t="s">
        <v>15</v>
      </c>
      <c r="M1150" s="2">
        <v>1302</v>
      </c>
      <c r="N1150" s="2">
        <v>4</v>
      </c>
      <c r="O1150" s="2">
        <f t="shared" si="110"/>
        <v>325.5</v>
      </c>
      <c r="P1150" s="2">
        <f t="shared" si="111"/>
        <v>2.0865384615384617</v>
      </c>
      <c r="Q1150" s="3">
        <f t="shared" si="112"/>
        <v>0.11981566820276497</v>
      </c>
    </row>
    <row r="1151" spans="1:17" hidden="1" x14ac:dyDescent="0.25">
      <c r="A1151" t="s">
        <v>1219</v>
      </c>
      <c r="B1151" t="s">
        <v>39</v>
      </c>
      <c r="C1151" t="s">
        <v>17</v>
      </c>
      <c r="D1151" t="str">
        <f t="shared" si="108"/>
        <v>GA</v>
      </c>
      <c r="E1151" t="str">
        <f t="shared" si="109"/>
        <v>Southeast</v>
      </c>
      <c r="F1151" t="s">
        <v>14</v>
      </c>
      <c r="G1151" s="1">
        <v>45286</v>
      </c>
      <c r="H1151" s="1">
        <v>45289</v>
      </c>
      <c r="I1151" s="1">
        <f t="shared" si="107"/>
        <v>45289</v>
      </c>
      <c r="J1151" s="2">
        <v>4.7</v>
      </c>
      <c r="K1151" s="2">
        <v>116.83</v>
      </c>
      <c r="L1151" t="s">
        <v>15</v>
      </c>
      <c r="M1151" s="2">
        <v>800</v>
      </c>
      <c r="N1151" s="2">
        <v>3</v>
      </c>
      <c r="O1151" s="2">
        <f t="shared" si="110"/>
        <v>266.66666666666669</v>
      </c>
      <c r="P1151" s="2">
        <f t="shared" si="111"/>
        <v>2.2825187594510545</v>
      </c>
      <c r="Q1151" s="3">
        <f t="shared" si="112"/>
        <v>0.14603749999999999</v>
      </c>
    </row>
    <row r="1152" spans="1:17" x14ac:dyDescent="0.25">
      <c r="A1152" t="s">
        <v>1220</v>
      </c>
      <c r="B1152" t="s">
        <v>20</v>
      </c>
      <c r="C1152" t="s">
        <v>24</v>
      </c>
      <c r="D1152" t="str">
        <f t="shared" si="108"/>
        <v>WA</v>
      </c>
      <c r="E1152" t="str">
        <f t="shared" si="109"/>
        <v>West</v>
      </c>
      <c r="F1152" t="s">
        <v>25</v>
      </c>
      <c r="G1152" s="1">
        <v>45218</v>
      </c>
      <c r="H1152" s="1">
        <v>45232</v>
      </c>
      <c r="I1152" s="1">
        <f t="shared" si="107"/>
        <v>45232</v>
      </c>
      <c r="J1152" s="2">
        <v>17.3</v>
      </c>
      <c r="K1152" s="2">
        <v>156.69999999999999</v>
      </c>
      <c r="L1152" t="s">
        <v>47</v>
      </c>
      <c r="M1152" s="2">
        <v>1135</v>
      </c>
      <c r="N1152" s="2">
        <v>5</v>
      </c>
      <c r="O1152" s="2">
        <f t="shared" si="110"/>
        <v>227</v>
      </c>
      <c r="P1152" s="2">
        <f t="shared" si="111"/>
        <v>1.4486279514996809</v>
      </c>
      <c r="Q1152" s="3">
        <f t="shared" si="112"/>
        <v>0.13806167400881056</v>
      </c>
    </row>
    <row r="1153" spans="1:17" hidden="1" x14ac:dyDescent="0.25">
      <c r="A1153" t="s">
        <v>1221</v>
      </c>
      <c r="B1153" t="s">
        <v>27</v>
      </c>
      <c r="C1153" t="s">
        <v>57</v>
      </c>
      <c r="D1153" t="str">
        <f t="shared" si="108"/>
        <v>MN</v>
      </c>
      <c r="E1153" t="str">
        <f t="shared" si="109"/>
        <v>Midwest</v>
      </c>
      <c r="F1153" t="s">
        <v>42</v>
      </c>
      <c r="G1153" s="1">
        <v>45149</v>
      </c>
      <c r="H1153" s="1">
        <v>45152</v>
      </c>
      <c r="I1153" s="1">
        <f t="shared" si="107"/>
        <v>45152</v>
      </c>
      <c r="J1153" s="2">
        <v>60.8</v>
      </c>
      <c r="K1153" s="2">
        <v>217.77</v>
      </c>
      <c r="L1153" t="s">
        <v>15</v>
      </c>
      <c r="M1153" s="2">
        <v>1157</v>
      </c>
      <c r="N1153" s="2">
        <v>3</v>
      </c>
      <c r="O1153" s="2">
        <f t="shared" si="110"/>
        <v>385.66666666666669</v>
      </c>
      <c r="P1153" s="2">
        <f t="shared" si="111"/>
        <v>1.770981616690392</v>
      </c>
      <c r="Q1153" s="3">
        <f t="shared" si="112"/>
        <v>0.18821953327571306</v>
      </c>
    </row>
    <row r="1154" spans="1:17" x14ac:dyDescent="0.25">
      <c r="A1154" t="s">
        <v>1222</v>
      </c>
      <c r="B1154" t="s">
        <v>56</v>
      </c>
      <c r="C1154" t="s">
        <v>36</v>
      </c>
      <c r="D1154" t="str">
        <f t="shared" si="108"/>
        <v>OR</v>
      </c>
      <c r="E1154" t="str">
        <f t="shared" si="109"/>
        <v>West</v>
      </c>
      <c r="F1154" t="s">
        <v>32</v>
      </c>
      <c r="G1154" s="1">
        <v>45117</v>
      </c>
      <c r="H1154" s="1">
        <v>45122</v>
      </c>
      <c r="I1154" s="1">
        <f t="shared" ref="I1154:I1217" si="113">IF(H1154="", G1154 + N1154, H1154)</f>
        <v>45122</v>
      </c>
      <c r="J1154" s="2">
        <v>17.100000000000001</v>
      </c>
      <c r="K1154" s="2">
        <v>278.83</v>
      </c>
      <c r="L1154" t="s">
        <v>15</v>
      </c>
      <c r="M1154" s="2">
        <v>1989</v>
      </c>
      <c r="N1154" s="2">
        <v>5</v>
      </c>
      <c r="O1154" s="2">
        <f t="shared" si="110"/>
        <v>397.8</v>
      </c>
      <c r="P1154" s="2">
        <f t="shared" si="111"/>
        <v>1.4266757522504754</v>
      </c>
      <c r="Q1154" s="3">
        <f t="shared" si="112"/>
        <v>0.14018602312719958</v>
      </c>
    </row>
    <row r="1155" spans="1:17" x14ac:dyDescent="0.25">
      <c r="A1155" t="s">
        <v>1223</v>
      </c>
      <c r="B1155" t="s">
        <v>49</v>
      </c>
      <c r="C1155" t="s">
        <v>36</v>
      </c>
      <c r="D1155" t="str">
        <f t="shared" si="108"/>
        <v>OR</v>
      </c>
      <c r="E1155" t="str">
        <f t="shared" si="109"/>
        <v>West</v>
      </c>
      <c r="F1155" t="s">
        <v>59</v>
      </c>
      <c r="G1155" s="1">
        <v>44979</v>
      </c>
      <c r="H1155" s="1">
        <v>44980</v>
      </c>
      <c r="I1155" s="1">
        <f t="shared" si="113"/>
        <v>44980</v>
      </c>
      <c r="J1155" s="2">
        <v>21.6</v>
      </c>
      <c r="K1155" s="2">
        <v>64.62</v>
      </c>
      <c r="L1155" t="s">
        <v>15</v>
      </c>
      <c r="M1155" s="2">
        <v>374</v>
      </c>
      <c r="N1155" s="2">
        <v>1</v>
      </c>
      <c r="O1155" s="2">
        <f t="shared" si="110"/>
        <v>374</v>
      </c>
      <c r="P1155" s="2">
        <f t="shared" si="111"/>
        <v>5.7876818322500769</v>
      </c>
      <c r="Q1155" s="3">
        <f t="shared" si="112"/>
        <v>0.17278074866310161</v>
      </c>
    </row>
    <row r="1156" spans="1:17" x14ac:dyDescent="0.25">
      <c r="A1156" t="s">
        <v>1224</v>
      </c>
      <c r="B1156" t="s">
        <v>30</v>
      </c>
      <c r="C1156" t="s">
        <v>36</v>
      </c>
      <c r="D1156" t="str">
        <f t="shared" si="108"/>
        <v>OR</v>
      </c>
      <c r="E1156" t="str">
        <f t="shared" si="109"/>
        <v>West</v>
      </c>
      <c r="F1156" t="s">
        <v>32</v>
      </c>
      <c r="G1156" s="1">
        <v>45086</v>
      </c>
      <c r="H1156" s="1">
        <v>45087</v>
      </c>
      <c r="I1156" s="1">
        <f t="shared" si="113"/>
        <v>45087</v>
      </c>
      <c r="J1156" s="2">
        <v>13.1</v>
      </c>
      <c r="K1156" s="2">
        <v>32.11</v>
      </c>
      <c r="L1156" t="s">
        <v>62</v>
      </c>
      <c r="M1156" s="2">
        <v>131</v>
      </c>
      <c r="N1156" s="2">
        <v>1</v>
      </c>
      <c r="O1156" s="2">
        <f t="shared" si="110"/>
        <v>131</v>
      </c>
      <c r="P1156" s="2">
        <f t="shared" si="111"/>
        <v>4.0797259420741199</v>
      </c>
      <c r="Q1156" s="3">
        <f t="shared" si="112"/>
        <v>0.24511450381679389</v>
      </c>
    </row>
    <row r="1157" spans="1:17" hidden="1" x14ac:dyDescent="0.25">
      <c r="A1157" t="s">
        <v>1225</v>
      </c>
      <c r="B1157" t="s">
        <v>56</v>
      </c>
      <c r="C1157" t="s">
        <v>57</v>
      </c>
      <c r="D1157" t="str">
        <f t="shared" si="108"/>
        <v>MN</v>
      </c>
      <c r="E1157" t="str">
        <f t="shared" si="109"/>
        <v>Midwest</v>
      </c>
      <c r="F1157" t="s">
        <v>42</v>
      </c>
      <c r="G1157" s="1">
        <v>45149</v>
      </c>
      <c r="H1157" s="1">
        <v>45151</v>
      </c>
      <c r="I1157" s="1">
        <f t="shared" si="113"/>
        <v>45151</v>
      </c>
      <c r="J1157" s="2">
        <v>31.4</v>
      </c>
      <c r="K1157" s="2">
        <v>92.42</v>
      </c>
      <c r="L1157" t="s">
        <v>15</v>
      </c>
      <c r="M1157" s="2">
        <v>422</v>
      </c>
      <c r="N1157" s="2">
        <v>2</v>
      </c>
      <c r="O1157" s="2">
        <f t="shared" si="110"/>
        <v>211</v>
      </c>
      <c r="P1157" s="2">
        <f t="shared" si="111"/>
        <v>2.2830556156676045</v>
      </c>
      <c r="Q1157" s="3">
        <f t="shared" si="112"/>
        <v>0.21900473933649289</v>
      </c>
    </row>
    <row r="1158" spans="1:17" hidden="1" x14ac:dyDescent="0.25">
      <c r="A1158" t="s">
        <v>1226</v>
      </c>
      <c r="B1158" t="s">
        <v>30</v>
      </c>
      <c r="C1158" t="s">
        <v>17</v>
      </c>
      <c r="D1158" t="str">
        <f t="shared" si="108"/>
        <v>GA</v>
      </c>
      <c r="E1158" t="str">
        <f t="shared" si="109"/>
        <v>Southeast</v>
      </c>
      <c r="F1158" t="s">
        <v>32</v>
      </c>
      <c r="G1158" s="1">
        <v>45112</v>
      </c>
      <c r="H1158" s="1">
        <v>45117</v>
      </c>
      <c r="I1158" s="1">
        <f t="shared" si="113"/>
        <v>45117</v>
      </c>
      <c r="J1158" s="2">
        <v>38</v>
      </c>
      <c r="K1158" s="2">
        <v>329.04</v>
      </c>
      <c r="L1158" t="s">
        <v>15</v>
      </c>
      <c r="M1158" s="2">
        <v>1940</v>
      </c>
      <c r="N1158" s="2">
        <v>5</v>
      </c>
      <c r="O1158" s="2">
        <f t="shared" si="110"/>
        <v>388</v>
      </c>
      <c r="P1158" s="2">
        <f t="shared" si="111"/>
        <v>1.1791879406759056</v>
      </c>
      <c r="Q1158" s="3">
        <f t="shared" si="112"/>
        <v>0.16960824742268044</v>
      </c>
    </row>
    <row r="1159" spans="1:17" hidden="1" x14ac:dyDescent="0.25">
      <c r="A1159" t="s">
        <v>1227</v>
      </c>
      <c r="B1159" t="s">
        <v>51</v>
      </c>
      <c r="C1159" t="s">
        <v>44</v>
      </c>
      <c r="D1159" t="str">
        <f t="shared" si="108"/>
        <v>IL</v>
      </c>
      <c r="E1159" t="str">
        <f t="shared" si="109"/>
        <v>Midwest</v>
      </c>
      <c r="F1159" t="s">
        <v>18</v>
      </c>
      <c r="G1159" s="1">
        <v>45286</v>
      </c>
      <c r="H1159" s="1">
        <v>45303</v>
      </c>
      <c r="I1159" s="1">
        <f t="shared" si="113"/>
        <v>45303</v>
      </c>
      <c r="J1159" s="2">
        <v>13.4</v>
      </c>
      <c r="K1159" s="2">
        <v>137.91</v>
      </c>
      <c r="L1159" t="s">
        <v>47</v>
      </c>
      <c r="M1159" s="2">
        <v>790</v>
      </c>
      <c r="N1159" s="2">
        <v>4</v>
      </c>
      <c r="O1159" s="2">
        <f t="shared" si="110"/>
        <v>197.5</v>
      </c>
      <c r="P1159" s="2">
        <f t="shared" si="111"/>
        <v>1.4320933942426219</v>
      </c>
      <c r="Q1159" s="3">
        <f t="shared" si="112"/>
        <v>0.17456962025316455</v>
      </c>
    </row>
    <row r="1160" spans="1:17" x14ac:dyDescent="0.25">
      <c r="A1160" t="s">
        <v>1228</v>
      </c>
      <c r="B1160" t="s">
        <v>51</v>
      </c>
      <c r="C1160" t="s">
        <v>24</v>
      </c>
      <c r="D1160" t="str">
        <f t="shared" si="108"/>
        <v>WA</v>
      </c>
      <c r="E1160" t="str">
        <f t="shared" si="109"/>
        <v>West</v>
      </c>
      <c r="F1160" t="s">
        <v>18</v>
      </c>
      <c r="G1160" s="1">
        <v>45023</v>
      </c>
      <c r="H1160" s="1">
        <v>45026</v>
      </c>
      <c r="I1160" s="1">
        <f t="shared" si="113"/>
        <v>45026</v>
      </c>
      <c r="J1160" s="2">
        <v>13</v>
      </c>
      <c r="K1160" s="2">
        <v>123.25</v>
      </c>
      <c r="L1160" t="s">
        <v>15</v>
      </c>
      <c r="M1160" s="2">
        <v>860</v>
      </c>
      <c r="N1160" s="2">
        <v>3</v>
      </c>
      <c r="O1160" s="2">
        <f t="shared" si="110"/>
        <v>286.66666666666669</v>
      </c>
      <c r="P1160" s="2">
        <f t="shared" si="111"/>
        <v>2.3258958755916161</v>
      </c>
      <c r="Q1160" s="3">
        <f t="shared" si="112"/>
        <v>0.14331395348837209</v>
      </c>
    </row>
    <row r="1161" spans="1:17" hidden="1" x14ac:dyDescent="0.25">
      <c r="A1161" t="s">
        <v>1229</v>
      </c>
      <c r="B1161" t="s">
        <v>27</v>
      </c>
      <c r="C1161" t="s">
        <v>54</v>
      </c>
      <c r="D1161" t="str">
        <f t="shared" si="108"/>
        <v>FL</v>
      </c>
      <c r="E1161" t="str">
        <f t="shared" si="109"/>
        <v>Southeast</v>
      </c>
      <c r="F1161" t="s">
        <v>25</v>
      </c>
      <c r="G1161" s="1">
        <v>45125</v>
      </c>
      <c r="H1161" s="1">
        <v>45128</v>
      </c>
      <c r="I1161" s="1">
        <f t="shared" si="113"/>
        <v>45128</v>
      </c>
      <c r="J1161" s="2">
        <v>7.2</v>
      </c>
      <c r="K1161" s="2">
        <v>139.61000000000001</v>
      </c>
      <c r="L1161" t="s">
        <v>15</v>
      </c>
      <c r="M1161" s="2">
        <v>1122</v>
      </c>
      <c r="N1161" s="2">
        <v>3</v>
      </c>
      <c r="O1161" s="2">
        <f t="shared" si="110"/>
        <v>374</v>
      </c>
      <c r="P1161" s="2">
        <f t="shared" si="111"/>
        <v>2.6788911969056657</v>
      </c>
      <c r="Q1161" s="3">
        <f t="shared" si="112"/>
        <v>0.12442959001782532</v>
      </c>
    </row>
    <row r="1162" spans="1:17" hidden="1" x14ac:dyDescent="0.25">
      <c r="A1162" t="s">
        <v>1230</v>
      </c>
      <c r="B1162" t="s">
        <v>27</v>
      </c>
      <c r="C1162" t="s">
        <v>57</v>
      </c>
      <c r="D1162" t="str">
        <f t="shared" si="108"/>
        <v>MN</v>
      </c>
      <c r="E1162" t="str">
        <f t="shared" si="109"/>
        <v>Midwest</v>
      </c>
      <c r="F1162" t="s">
        <v>32</v>
      </c>
      <c r="G1162" s="1">
        <v>45031</v>
      </c>
      <c r="H1162" s="1">
        <v>45035</v>
      </c>
      <c r="I1162" s="1">
        <f t="shared" si="113"/>
        <v>45035</v>
      </c>
      <c r="J1162" s="2">
        <v>8.4</v>
      </c>
      <c r="K1162" s="2">
        <v>214.35</v>
      </c>
      <c r="L1162" t="s">
        <v>62</v>
      </c>
      <c r="M1162" s="2">
        <v>1640</v>
      </c>
      <c r="N1162" s="2">
        <v>4</v>
      </c>
      <c r="O1162" s="2">
        <f t="shared" si="110"/>
        <v>410</v>
      </c>
      <c r="P1162" s="2">
        <f t="shared" si="111"/>
        <v>1.9127595054816888</v>
      </c>
      <c r="Q1162" s="3">
        <f t="shared" si="112"/>
        <v>0.13070121951219513</v>
      </c>
    </row>
    <row r="1163" spans="1:17" x14ac:dyDescent="0.25">
      <c r="A1163" t="s">
        <v>1231</v>
      </c>
      <c r="B1163" t="s">
        <v>51</v>
      </c>
      <c r="C1163" t="s">
        <v>13</v>
      </c>
      <c r="D1163" t="str">
        <f t="shared" si="108"/>
        <v>CA</v>
      </c>
      <c r="E1163" t="str">
        <f t="shared" si="109"/>
        <v>West</v>
      </c>
      <c r="F1163" t="s">
        <v>18</v>
      </c>
      <c r="G1163" s="1">
        <v>45240</v>
      </c>
      <c r="H1163" s="1">
        <v>45248</v>
      </c>
      <c r="I1163" s="1">
        <f t="shared" si="113"/>
        <v>45248</v>
      </c>
      <c r="J1163" s="2">
        <v>9.5</v>
      </c>
      <c r="K1163" s="2">
        <v>353.39</v>
      </c>
      <c r="L1163" t="s">
        <v>15</v>
      </c>
      <c r="M1163" s="2">
        <v>2274</v>
      </c>
      <c r="N1163" s="2">
        <v>8</v>
      </c>
      <c r="O1163" s="2">
        <f t="shared" si="110"/>
        <v>284.25</v>
      </c>
      <c r="P1163" s="2">
        <f t="shared" si="111"/>
        <v>0.8043521322052124</v>
      </c>
      <c r="Q1163" s="3">
        <f t="shared" si="112"/>
        <v>0.15540457343887423</v>
      </c>
    </row>
    <row r="1164" spans="1:17" x14ac:dyDescent="0.25">
      <c r="A1164" t="s">
        <v>1232</v>
      </c>
      <c r="B1164" t="s">
        <v>51</v>
      </c>
      <c r="C1164" t="s">
        <v>81</v>
      </c>
      <c r="D1164" t="str">
        <f t="shared" si="108"/>
        <v>CO</v>
      </c>
      <c r="E1164" t="str">
        <f t="shared" si="109"/>
        <v>West</v>
      </c>
      <c r="F1164" t="s">
        <v>59</v>
      </c>
      <c r="G1164" s="1">
        <v>44954</v>
      </c>
      <c r="H1164" s="1">
        <v>44955</v>
      </c>
      <c r="I1164" s="1">
        <f t="shared" si="113"/>
        <v>44955</v>
      </c>
      <c r="J1164" s="2">
        <v>21.7</v>
      </c>
      <c r="K1164" s="2">
        <v>78.83</v>
      </c>
      <c r="L1164" t="s">
        <v>15</v>
      </c>
      <c r="M1164" s="2">
        <v>461</v>
      </c>
      <c r="N1164" s="2">
        <v>1</v>
      </c>
      <c r="O1164" s="2">
        <f t="shared" si="110"/>
        <v>461</v>
      </c>
      <c r="P1164" s="2">
        <f t="shared" si="111"/>
        <v>5.8480274007357602</v>
      </c>
      <c r="Q1164" s="3">
        <f t="shared" si="112"/>
        <v>0.17099783080260303</v>
      </c>
    </row>
    <row r="1165" spans="1:17" hidden="1" x14ac:dyDescent="0.25">
      <c r="A1165" t="s">
        <v>1234</v>
      </c>
      <c r="B1165" t="s">
        <v>20</v>
      </c>
      <c r="C1165" t="s">
        <v>21</v>
      </c>
      <c r="D1165" t="str">
        <f t="shared" si="108"/>
        <v>TX</v>
      </c>
      <c r="E1165" t="str">
        <f t="shared" si="109"/>
        <v>Southwest</v>
      </c>
      <c r="F1165" t="s">
        <v>32</v>
      </c>
      <c r="G1165" s="1">
        <v>44969</v>
      </c>
      <c r="H1165" s="1">
        <v>44939</v>
      </c>
      <c r="I1165" s="1">
        <f t="shared" si="113"/>
        <v>44939</v>
      </c>
      <c r="J1165" s="2">
        <v>22.1</v>
      </c>
      <c r="K1165" s="2">
        <v>301.23</v>
      </c>
      <c r="L1165" t="s">
        <v>47</v>
      </c>
      <c r="M1165" s="2">
        <v>1879</v>
      </c>
      <c r="N1165" s="2">
        <v>5</v>
      </c>
      <c r="O1165" s="2">
        <f t="shared" si="110"/>
        <v>375.8</v>
      </c>
      <c r="P1165" s="2">
        <f t="shared" si="111"/>
        <v>1.2475517046774889</v>
      </c>
      <c r="Q1165" s="3">
        <f t="shared" si="112"/>
        <v>0.16031399680681213</v>
      </c>
    </row>
    <row r="1166" spans="1:17" hidden="1" x14ac:dyDescent="0.25">
      <c r="A1166" t="s">
        <v>1235</v>
      </c>
      <c r="B1166" t="s">
        <v>12</v>
      </c>
      <c r="C1166" t="s">
        <v>40</v>
      </c>
      <c r="D1166" t="str">
        <f t="shared" si="108"/>
        <v>MI</v>
      </c>
      <c r="E1166" t="str">
        <f t="shared" si="109"/>
        <v>Midwest</v>
      </c>
      <c r="F1166" t="s">
        <v>18</v>
      </c>
      <c r="G1166" s="1">
        <v>44934</v>
      </c>
      <c r="H1166" s="1">
        <v>44937</v>
      </c>
      <c r="I1166" s="1">
        <f t="shared" si="113"/>
        <v>44937</v>
      </c>
      <c r="J1166" s="2">
        <v>13.5</v>
      </c>
      <c r="K1166" s="2">
        <v>116.78</v>
      </c>
      <c r="L1166" t="s">
        <v>62</v>
      </c>
      <c r="M1166" s="2">
        <v>702</v>
      </c>
      <c r="N1166" s="2">
        <v>3</v>
      </c>
      <c r="O1166" s="2">
        <f t="shared" si="110"/>
        <v>234</v>
      </c>
      <c r="P1166" s="2">
        <f t="shared" si="111"/>
        <v>2.0037677684535025</v>
      </c>
      <c r="Q1166" s="3">
        <f t="shared" si="112"/>
        <v>0.16635327635327635</v>
      </c>
    </row>
    <row r="1167" spans="1:17" x14ac:dyDescent="0.25">
      <c r="A1167" t="s">
        <v>1236</v>
      </c>
      <c r="B1167" t="s">
        <v>39</v>
      </c>
      <c r="C1167" t="s">
        <v>81</v>
      </c>
      <c r="D1167" t="str">
        <f t="shared" si="108"/>
        <v>CO</v>
      </c>
      <c r="E1167" t="str">
        <f t="shared" si="109"/>
        <v>West</v>
      </c>
      <c r="F1167" t="s">
        <v>42</v>
      </c>
      <c r="G1167" s="1">
        <v>44983</v>
      </c>
      <c r="H1167" s="1">
        <v>44953</v>
      </c>
      <c r="I1167" s="1">
        <f t="shared" si="113"/>
        <v>44953</v>
      </c>
      <c r="J1167" s="2">
        <v>45</v>
      </c>
      <c r="K1167" s="2">
        <v>182.33</v>
      </c>
      <c r="L1167" t="s">
        <v>67</v>
      </c>
      <c r="M1167" s="2">
        <v>1030</v>
      </c>
      <c r="N1167" s="2">
        <v>3</v>
      </c>
      <c r="O1167" s="2">
        <f t="shared" si="110"/>
        <v>343.33333333333331</v>
      </c>
      <c r="P1167" s="2">
        <f t="shared" si="111"/>
        <v>1.8830325965739774</v>
      </c>
      <c r="Q1167" s="3">
        <f t="shared" si="112"/>
        <v>0.17701941747572816</v>
      </c>
    </row>
    <row r="1168" spans="1:17" x14ac:dyDescent="0.25">
      <c r="A1168" t="s">
        <v>1237</v>
      </c>
      <c r="B1168" t="s">
        <v>27</v>
      </c>
      <c r="C1168" t="s">
        <v>13</v>
      </c>
      <c r="D1168" t="str">
        <f t="shared" si="108"/>
        <v>CA</v>
      </c>
      <c r="E1168" t="str">
        <f t="shared" si="109"/>
        <v>West</v>
      </c>
      <c r="F1168" t="s">
        <v>32</v>
      </c>
      <c r="G1168" s="1">
        <v>45251</v>
      </c>
      <c r="H1168" s="1">
        <v>45254</v>
      </c>
      <c r="I1168" s="1">
        <f t="shared" si="113"/>
        <v>45254</v>
      </c>
      <c r="J1168" s="2">
        <v>43.7</v>
      </c>
      <c r="K1168" s="2">
        <v>135.18</v>
      </c>
      <c r="L1168" t="s">
        <v>15</v>
      </c>
      <c r="M1168" s="2">
        <v>462</v>
      </c>
      <c r="N1168" s="2">
        <v>3</v>
      </c>
      <c r="O1168" s="2">
        <f t="shared" si="110"/>
        <v>154</v>
      </c>
      <c r="P1168" s="2">
        <f t="shared" si="111"/>
        <v>1.1392217783695813</v>
      </c>
      <c r="Q1168" s="3">
        <f t="shared" si="112"/>
        <v>0.29259740259740263</v>
      </c>
    </row>
    <row r="1169" spans="1:17" hidden="1" x14ac:dyDescent="0.25">
      <c r="A1169" t="s">
        <v>1238</v>
      </c>
      <c r="B1169" t="s">
        <v>35</v>
      </c>
      <c r="C1169" t="s">
        <v>57</v>
      </c>
      <c r="D1169" t="str">
        <f t="shared" si="108"/>
        <v>MN</v>
      </c>
      <c r="E1169" t="str">
        <f t="shared" si="109"/>
        <v>Midwest</v>
      </c>
      <c r="F1169" t="s">
        <v>32</v>
      </c>
      <c r="G1169" s="1">
        <v>45007</v>
      </c>
      <c r="H1169" s="1">
        <v>45009</v>
      </c>
      <c r="I1169" s="1">
        <f t="shared" si="113"/>
        <v>45009</v>
      </c>
      <c r="J1169" s="2">
        <v>152.69999999999999</v>
      </c>
      <c r="K1169" s="2">
        <v>290.77</v>
      </c>
      <c r="L1169" t="s">
        <v>15</v>
      </c>
      <c r="M1169" s="2">
        <v>841</v>
      </c>
      <c r="N1169" s="2">
        <v>2</v>
      </c>
      <c r="O1169" s="2">
        <f t="shared" si="110"/>
        <v>420.5</v>
      </c>
      <c r="P1169" s="2">
        <f t="shared" si="111"/>
        <v>1.4461601953433987</v>
      </c>
      <c r="Q1169" s="3">
        <f t="shared" si="112"/>
        <v>0.34574316290130797</v>
      </c>
    </row>
    <row r="1170" spans="1:17" x14ac:dyDescent="0.25">
      <c r="A1170" t="s">
        <v>1239</v>
      </c>
      <c r="B1170" t="s">
        <v>27</v>
      </c>
      <c r="C1170" t="s">
        <v>13</v>
      </c>
      <c r="D1170" t="str">
        <f t="shared" si="108"/>
        <v>CA</v>
      </c>
      <c r="E1170" t="str">
        <f t="shared" si="109"/>
        <v>West</v>
      </c>
      <c r="F1170" t="s">
        <v>25</v>
      </c>
      <c r="G1170" s="1">
        <v>45057</v>
      </c>
      <c r="H1170" s="1">
        <v>45062</v>
      </c>
      <c r="I1170" s="1">
        <f t="shared" si="113"/>
        <v>45062</v>
      </c>
      <c r="J1170" s="2">
        <v>39.299999999999997</v>
      </c>
      <c r="K1170" s="2">
        <v>186.59</v>
      </c>
      <c r="L1170" t="s">
        <v>15</v>
      </c>
      <c r="M1170" s="2">
        <v>1317</v>
      </c>
      <c r="N1170" s="2">
        <v>5</v>
      </c>
      <c r="O1170" s="2">
        <f t="shared" si="110"/>
        <v>263.39999999999998</v>
      </c>
      <c r="P1170" s="2">
        <f t="shared" si="111"/>
        <v>1.4116512138914195</v>
      </c>
      <c r="Q1170" s="3">
        <f t="shared" si="112"/>
        <v>0.14167805618830676</v>
      </c>
    </row>
    <row r="1171" spans="1:17" x14ac:dyDescent="0.25">
      <c r="A1171" t="s">
        <v>1240</v>
      </c>
      <c r="B1171" t="s">
        <v>20</v>
      </c>
      <c r="C1171" t="s">
        <v>13</v>
      </c>
      <c r="D1171" t="str">
        <f t="shared" si="108"/>
        <v>CA</v>
      </c>
      <c r="E1171" t="str">
        <f t="shared" si="109"/>
        <v>West</v>
      </c>
      <c r="F1171" t="s">
        <v>25</v>
      </c>
      <c r="G1171" s="1">
        <v>45264</v>
      </c>
      <c r="H1171" s="1">
        <v>45269</v>
      </c>
      <c r="I1171" s="1">
        <f t="shared" si="113"/>
        <v>45269</v>
      </c>
      <c r="J1171" s="2">
        <v>19</v>
      </c>
      <c r="K1171" s="2">
        <v>416.08</v>
      </c>
      <c r="L1171" t="s">
        <v>15</v>
      </c>
      <c r="M1171" s="2">
        <v>2473</v>
      </c>
      <c r="N1171" s="2">
        <v>5</v>
      </c>
      <c r="O1171" s="2">
        <f t="shared" si="110"/>
        <v>494.6</v>
      </c>
      <c r="P1171" s="2">
        <f t="shared" si="111"/>
        <v>1.1887137089021342</v>
      </c>
      <c r="Q1171" s="3">
        <f t="shared" si="112"/>
        <v>0.16824909017387787</v>
      </c>
    </row>
    <row r="1172" spans="1:17" hidden="1" x14ac:dyDescent="0.25">
      <c r="A1172" t="s">
        <v>1242</v>
      </c>
      <c r="B1172" t="s">
        <v>56</v>
      </c>
      <c r="C1172" t="s">
        <v>52</v>
      </c>
      <c r="D1172" t="str">
        <f t="shared" si="108"/>
        <v>AZ</v>
      </c>
      <c r="E1172" t="str">
        <f t="shared" si="109"/>
        <v>Southwest</v>
      </c>
      <c r="F1172" t="s">
        <v>37</v>
      </c>
      <c r="G1172" s="1">
        <v>44978</v>
      </c>
      <c r="H1172" s="1">
        <v>44983</v>
      </c>
      <c r="I1172" s="1">
        <f t="shared" si="113"/>
        <v>44983</v>
      </c>
      <c r="J1172" s="2">
        <v>8.3000000000000007</v>
      </c>
      <c r="K1172" s="2">
        <v>181.52</v>
      </c>
      <c r="L1172" t="s">
        <v>15</v>
      </c>
      <c r="M1172" s="2">
        <v>1457</v>
      </c>
      <c r="N1172" s="2">
        <v>5</v>
      </c>
      <c r="O1172" s="2">
        <f t="shared" si="110"/>
        <v>291.39999999999998</v>
      </c>
      <c r="P1172" s="2">
        <f t="shared" si="111"/>
        <v>1.6053327457029527</v>
      </c>
      <c r="Q1172" s="3">
        <f t="shared" si="112"/>
        <v>0.12458476321207962</v>
      </c>
    </row>
    <row r="1173" spans="1:17" hidden="1" x14ac:dyDescent="0.25">
      <c r="A1173" t="s">
        <v>1243</v>
      </c>
      <c r="B1173" t="s">
        <v>12</v>
      </c>
      <c r="C1173" t="s">
        <v>52</v>
      </c>
      <c r="D1173" t="str">
        <f t="shared" si="108"/>
        <v>AZ</v>
      </c>
      <c r="E1173" t="str">
        <f t="shared" si="109"/>
        <v>Southwest</v>
      </c>
      <c r="F1173" t="s">
        <v>42</v>
      </c>
      <c r="G1173" s="1">
        <v>45094</v>
      </c>
      <c r="H1173" s="1">
        <v>45098</v>
      </c>
      <c r="I1173" s="1">
        <f t="shared" si="113"/>
        <v>45098</v>
      </c>
      <c r="J1173" s="2">
        <v>9.9</v>
      </c>
      <c r="K1173" s="2">
        <v>202.54</v>
      </c>
      <c r="L1173" t="s">
        <v>15</v>
      </c>
      <c r="M1173" s="2">
        <v>1493</v>
      </c>
      <c r="N1173" s="2">
        <v>4</v>
      </c>
      <c r="O1173" s="2">
        <f t="shared" si="110"/>
        <v>373.25</v>
      </c>
      <c r="P1173" s="2">
        <f t="shared" si="111"/>
        <v>1.8428458576083737</v>
      </c>
      <c r="Q1173" s="3">
        <f t="shared" si="112"/>
        <v>0.13565974547890153</v>
      </c>
    </row>
    <row r="1174" spans="1:17" x14ac:dyDescent="0.25">
      <c r="A1174" t="s">
        <v>1244</v>
      </c>
      <c r="B1174" t="s">
        <v>49</v>
      </c>
      <c r="C1174" t="s">
        <v>13</v>
      </c>
      <c r="D1174" t="str">
        <f t="shared" si="108"/>
        <v>CA</v>
      </c>
      <c r="E1174" t="str">
        <f t="shared" si="109"/>
        <v>West</v>
      </c>
      <c r="F1174" t="s">
        <v>14</v>
      </c>
      <c r="G1174" s="1">
        <v>45251</v>
      </c>
      <c r="H1174" s="1">
        <v>45257</v>
      </c>
      <c r="I1174" s="1">
        <f t="shared" si="113"/>
        <v>45257</v>
      </c>
      <c r="J1174" s="2">
        <v>27.3</v>
      </c>
      <c r="K1174" s="2">
        <v>317.02</v>
      </c>
      <c r="L1174" t="s">
        <v>67</v>
      </c>
      <c r="M1174" s="2">
        <v>1876</v>
      </c>
      <c r="N1174" s="2">
        <v>6</v>
      </c>
      <c r="O1174" s="2">
        <f t="shared" si="110"/>
        <v>312.66666666666669</v>
      </c>
      <c r="P1174" s="2">
        <f t="shared" si="111"/>
        <v>0.98626795365171505</v>
      </c>
      <c r="Q1174" s="3">
        <f t="shared" si="112"/>
        <v>0.1689872068230277</v>
      </c>
    </row>
    <row r="1175" spans="1:17" hidden="1" x14ac:dyDescent="0.25">
      <c r="A1175" t="s">
        <v>1245</v>
      </c>
      <c r="B1175" t="s">
        <v>12</v>
      </c>
      <c r="C1175" t="s">
        <v>40</v>
      </c>
      <c r="D1175" t="str">
        <f t="shared" si="108"/>
        <v>MI</v>
      </c>
      <c r="E1175" t="str">
        <f t="shared" si="109"/>
        <v>Midwest</v>
      </c>
      <c r="F1175" t="s">
        <v>59</v>
      </c>
      <c r="G1175" s="1">
        <v>45131</v>
      </c>
      <c r="H1175" s="1">
        <v>45133</v>
      </c>
      <c r="I1175" s="1">
        <f t="shared" si="113"/>
        <v>45133</v>
      </c>
      <c r="J1175" s="2">
        <v>27.9</v>
      </c>
      <c r="K1175" s="2">
        <v>146.44</v>
      </c>
      <c r="L1175" t="s">
        <v>15</v>
      </c>
      <c r="M1175" s="2">
        <v>1067</v>
      </c>
      <c r="N1175" s="2">
        <v>2</v>
      </c>
      <c r="O1175" s="2">
        <f t="shared" si="110"/>
        <v>533.5</v>
      </c>
      <c r="P1175" s="2">
        <f t="shared" si="111"/>
        <v>3.6431302922698716</v>
      </c>
      <c r="Q1175" s="3">
        <f t="shared" si="112"/>
        <v>0.13724461105904404</v>
      </c>
    </row>
    <row r="1176" spans="1:17" hidden="1" x14ac:dyDescent="0.25">
      <c r="A1176" t="s">
        <v>1246</v>
      </c>
      <c r="B1176" t="s">
        <v>56</v>
      </c>
      <c r="C1176" t="s">
        <v>44</v>
      </c>
      <c r="D1176" t="str">
        <f t="shared" si="108"/>
        <v>IL</v>
      </c>
      <c r="E1176" t="str">
        <f t="shared" si="109"/>
        <v>Midwest</v>
      </c>
      <c r="F1176" t="s">
        <v>59</v>
      </c>
      <c r="G1176" s="1">
        <v>44950</v>
      </c>
      <c r="H1176" s="1">
        <v>44958</v>
      </c>
      <c r="I1176" s="1">
        <f t="shared" si="113"/>
        <v>44958</v>
      </c>
      <c r="J1176" s="2">
        <v>58.9</v>
      </c>
      <c r="K1176" s="2">
        <v>257.07</v>
      </c>
      <c r="L1176" t="s">
        <v>15</v>
      </c>
      <c r="M1176" s="2">
        <v>1762</v>
      </c>
      <c r="N1176" s="2">
        <v>8</v>
      </c>
      <c r="O1176" s="2">
        <f t="shared" si="110"/>
        <v>220.25</v>
      </c>
      <c r="P1176" s="2">
        <f t="shared" si="111"/>
        <v>0.85677052942778231</v>
      </c>
      <c r="Q1176" s="3">
        <f t="shared" si="112"/>
        <v>0.1458967082860386</v>
      </c>
    </row>
    <row r="1177" spans="1:17" hidden="1" x14ac:dyDescent="0.25">
      <c r="A1177" t="s">
        <v>1247</v>
      </c>
      <c r="B1177" t="s">
        <v>27</v>
      </c>
      <c r="C1177" t="s">
        <v>44</v>
      </c>
      <c r="D1177" t="str">
        <f t="shared" si="108"/>
        <v>IL</v>
      </c>
      <c r="E1177" t="str">
        <f t="shared" si="109"/>
        <v>Midwest</v>
      </c>
      <c r="F1177" t="s">
        <v>18</v>
      </c>
      <c r="G1177" s="1">
        <v>45096</v>
      </c>
      <c r="H1177" s="1">
        <v>45101</v>
      </c>
      <c r="I1177" s="1">
        <f t="shared" si="113"/>
        <v>45101</v>
      </c>
      <c r="J1177" s="2">
        <v>83.7</v>
      </c>
      <c r="K1177" s="2">
        <v>296.97000000000003</v>
      </c>
      <c r="L1177" t="s">
        <v>15</v>
      </c>
      <c r="M1177" s="2">
        <v>1417</v>
      </c>
      <c r="N1177" s="2">
        <v>5</v>
      </c>
      <c r="O1177" s="2">
        <f t="shared" si="110"/>
        <v>283.39999999999998</v>
      </c>
      <c r="P1177" s="2">
        <f t="shared" si="111"/>
        <v>0.95430514866821547</v>
      </c>
      <c r="Q1177" s="3">
        <f t="shared" si="112"/>
        <v>0.20957657021877207</v>
      </c>
    </row>
    <row r="1178" spans="1:17" x14ac:dyDescent="0.25">
      <c r="A1178" t="s">
        <v>1248</v>
      </c>
      <c r="B1178" t="s">
        <v>39</v>
      </c>
      <c r="C1178" t="s">
        <v>70</v>
      </c>
      <c r="D1178" t="str">
        <f t="shared" si="108"/>
        <v>CA</v>
      </c>
      <c r="E1178" t="str">
        <f t="shared" si="109"/>
        <v>West</v>
      </c>
      <c r="F1178" t="s">
        <v>42</v>
      </c>
      <c r="G1178" s="1">
        <v>45059</v>
      </c>
      <c r="H1178" s="1">
        <v>45065</v>
      </c>
      <c r="I1178" s="1">
        <f t="shared" si="113"/>
        <v>45065</v>
      </c>
      <c r="J1178" s="2">
        <v>19.8</v>
      </c>
      <c r="K1178" s="2">
        <v>271.24</v>
      </c>
      <c r="L1178" t="s">
        <v>15</v>
      </c>
      <c r="M1178" s="2">
        <v>1945</v>
      </c>
      <c r="N1178" s="2">
        <v>6</v>
      </c>
      <c r="O1178" s="2">
        <f t="shared" si="110"/>
        <v>324.16666666666669</v>
      </c>
      <c r="P1178" s="2">
        <f t="shared" si="111"/>
        <v>1.1951285454456078</v>
      </c>
      <c r="Q1178" s="3">
        <f t="shared" si="112"/>
        <v>0.13945501285347045</v>
      </c>
    </row>
    <row r="1179" spans="1:17" x14ac:dyDescent="0.25">
      <c r="A1179" t="s">
        <v>1249</v>
      </c>
      <c r="B1179" t="s">
        <v>12</v>
      </c>
      <c r="C1179" t="s">
        <v>81</v>
      </c>
      <c r="D1179" t="str">
        <f t="shared" si="108"/>
        <v>CO</v>
      </c>
      <c r="E1179" t="str">
        <f t="shared" si="109"/>
        <v>West</v>
      </c>
      <c r="F1179" t="s">
        <v>14</v>
      </c>
      <c r="G1179" s="1">
        <v>45212</v>
      </c>
      <c r="H1179" s="1">
        <v>45215</v>
      </c>
      <c r="I1179" s="1">
        <f t="shared" si="113"/>
        <v>45215</v>
      </c>
      <c r="J1179" s="2">
        <v>17.5</v>
      </c>
      <c r="K1179" s="2">
        <v>90.05</v>
      </c>
      <c r="L1179" t="s">
        <v>15</v>
      </c>
      <c r="M1179" s="2">
        <v>591</v>
      </c>
      <c r="N1179" s="2">
        <v>3</v>
      </c>
      <c r="O1179" s="2">
        <f t="shared" si="110"/>
        <v>197</v>
      </c>
      <c r="P1179" s="2">
        <f t="shared" si="111"/>
        <v>2.187673514714048</v>
      </c>
      <c r="Q1179" s="3">
        <f t="shared" si="112"/>
        <v>0.15236886632825719</v>
      </c>
    </row>
    <row r="1180" spans="1:17" hidden="1" x14ac:dyDescent="0.25">
      <c r="A1180" t="s">
        <v>1250</v>
      </c>
      <c r="B1180" t="s">
        <v>56</v>
      </c>
      <c r="C1180" t="s">
        <v>17</v>
      </c>
      <c r="D1180" t="str">
        <f t="shared" si="108"/>
        <v>GA</v>
      </c>
      <c r="E1180" t="str">
        <f t="shared" si="109"/>
        <v>Southeast</v>
      </c>
      <c r="F1180" t="s">
        <v>32</v>
      </c>
      <c r="G1180" s="1">
        <v>45290</v>
      </c>
      <c r="H1180" s="1">
        <v>45293</v>
      </c>
      <c r="I1180" s="1">
        <f t="shared" si="113"/>
        <v>45293</v>
      </c>
      <c r="J1180" s="2">
        <v>19</v>
      </c>
      <c r="K1180" s="2">
        <v>153.22999999999999</v>
      </c>
      <c r="L1180" t="s">
        <v>15</v>
      </c>
      <c r="M1180" s="2">
        <v>850</v>
      </c>
      <c r="N1180" s="2">
        <v>3</v>
      </c>
      <c r="O1180" s="2">
        <f t="shared" si="110"/>
        <v>283.33333333333331</v>
      </c>
      <c r="P1180" s="2">
        <f t="shared" si="111"/>
        <v>1.8490722008309948</v>
      </c>
      <c r="Q1180" s="3">
        <f t="shared" si="112"/>
        <v>0.1802705882352941</v>
      </c>
    </row>
    <row r="1181" spans="1:17" x14ac:dyDescent="0.25">
      <c r="A1181" t="s">
        <v>1251</v>
      </c>
      <c r="B1181" t="s">
        <v>23</v>
      </c>
      <c r="C1181" t="s">
        <v>70</v>
      </c>
      <c r="D1181" t="str">
        <f t="shared" si="108"/>
        <v>CA</v>
      </c>
      <c r="E1181" t="str">
        <f t="shared" si="109"/>
        <v>West</v>
      </c>
      <c r="F1181" t="s">
        <v>25</v>
      </c>
      <c r="G1181" s="1">
        <v>45269</v>
      </c>
      <c r="H1181" s="1">
        <v>45272</v>
      </c>
      <c r="I1181" s="1">
        <f t="shared" si="113"/>
        <v>45272</v>
      </c>
      <c r="J1181" s="2">
        <v>10.9</v>
      </c>
      <c r="K1181" s="2">
        <v>201.11</v>
      </c>
      <c r="L1181" t="s">
        <v>15</v>
      </c>
      <c r="M1181" s="2">
        <v>1413</v>
      </c>
      <c r="N1181" s="2">
        <v>3</v>
      </c>
      <c r="O1181" s="2">
        <f t="shared" si="110"/>
        <v>471</v>
      </c>
      <c r="P1181" s="2">
        <f t="shared" si="111"/>
        <v>2.3420018895132015</v>
      </c>
      <c r="Q1181" s="3">
        <f t="shared" si="112"/>
        <v>0.14232837933474876</v>
      </c>
    </row>
    <row r="1182" spans="1:17" x14ac:dyDescent="0.25">
      <c r="A1182" t="s">
        <v>1252</v>
      </c>
      <c r="B1182" t="s">
        <v>20</v>
      </c>
      <c r="C1182" t="s">
        <v>24</v>
      </c>
      <c r="D1182" t="str">
        <f t="shared" si="108"/>
        <v>WA</v>
      </c>
      <c r="E1182" t="str">
        <f t="shared" si="109"/>
        <v>West</v>
      </c>
      <c r="F1182" t="s">
        <v>25</v>
      </c>
      <c r="G1182" s="1">
        <v>44966</v>
      </c>
      <c r="H1182" s="1">
        <v>44977</v>
      </c>
      <c r="I1182" s="1">
        <f t="shared" si="113"/>
        <v>44977</v>
      </c>
      <c r="J1182" s="2">
        <v>28.6</v>
      </c>
      <c r="K1182" s="2">
        <v>180.9</v>
      </c>
      <c r="L1182" t="s">
        <v>47</v>
      </c>
      <c r="M1182" s="2">
        <v>1135</v>
      </c>
      <c r="N1182" s="2">
        <v>3</v>
      </c>
      <c r="O1182" s="2">
        <f t="shared" si="110"/>
        <v>378.33333333333331</v>
      </c>
      <c r="P1182" s="2">
        <f t="shared" si="111"/>
        <v>2.0913948774645292</v>
      </c>
      <c r="Q1182" s="3">
        <f t="shared" si="112"/>
        <v>0.15938325991189428</v>
      </c>
    </row>
    <row r="1183" spans="1:17" hidden="1" x14ac:dyDescent="0.25">
      <c r="A1183" t="s">
        <v>1253</v>
      </c>
      <c r="B1183" t="s">
        <v>49</v>
      </c>
      <c r="C1183" t="s">
        <v>21</v>
      </c>
      <c r="D1183" t="str">
        <f t="shared" si="108"/>
        <v>TX</v>
      </c>
      <c r="E1183" t="str">
        <f t="shared" si="109"/>
        <v>Southwest</v>
      </c>
      <c r="F1183" t="s">
        <v>18</v>
      </c>
      <c r="G1183" s="1">
        <v>45104</v>
      </c>
      <c r="H1183" s="1">
        <v>45119</v>
      </c>
      <c r="I1183" s="1">
        <f t="shared" si="113"/>
        <v>45119</v>
      </c>
      <c r="J1183" s="2">
        <v>17</v>
      </c>
      <c r="K1183" s="2">
        <v>217.08</v>
      </c>
      <c r="L1183" t="s">
        <v>47</v>
      </c>
      <c r="M1183" s="2">
        <v>1396</v>
      </c>
      <c r="N1183" s="2">
        <v>7</v>
      </c>
      <c r="O1183" s="2">
        <f t="shared" si="110"/>
        <v>199.42857142857142</v>
      </c>
      <c r="P1183" s="2">
        <f t="shared" si="111"/>
        <v>0.91868698833872953</v>
      </c>
      <c r="Q1183" s="3">
        <f t="shared" si="112"/>
        <v>0.15550143266475647</v>
      </c>
    </row>
    <row r="1184" spans="1:17" hidden="1" x14ac:dyDescent="0.25">
      <c r="A1184" t="s">
        <v>1254</v>
      </c>
      <c r="B1184" t="s">
        <v>49</v>
      </c>
      <c r="C1184" t="s">
        <v>46</v>
      </c>
      <c r="D1184" t="str">
        <f t="shared" si="108"/>
        <v>MA</v>
      </c>
      <c r="E1184" t="str">
        <f t="shared" si="109"/>
        <v>Northeast</v>
      </c>
      <c r="F1184" t="s">
        <v>32</v>
      </c>
      <c r="G1184" s="1">
        <v>45162</v>
      </c>
      <c r="H1184" s="1">
        <v>45167</v>
      </c>
      <c r="I1184" s="1">
        <f t="shared" si="113"/>
        <v>45167</v>
      </c>
      <c r="J1184" s="2">
        <v>34.1</v>
      </c>
      <c r="K1184" s="2">
        <v>328.13</v>
      </c>
      <c r="L1184" t="s">
        <v>15</v>
      </c>
      <c r="M1184" s="2">
        <v>2324</v>
      </c>
      <c r="N1184" s="2">
        <v>5</v>
      </c>
      <c r="O1184" s="2">
        <f t="shared" si="110"/>
        <v>464.8</v>
      </c>
      <c r="P1184" s="2">
        <f t="shared" si="111"/>
        <v>1.4165117483924055</v>
      </c>
      <c r="Q1184" s="3">
        <f t="shared" si="112"/>
        <v>0.1411919104991394</v>
      </c>
    </row>
    <row r="1185" spans="1:17" x14ac:dyDescent="0.25">
      <c r="A1185" t="s">
        <v>1255</v>
      </c>
      <c r="B1185" t="s">
        <v>23</v>
      </c>
      <c r="C1185" t="s">
        <v>36</v>
      </c>
      <c r="D1185" t="str">
        <f t="shared" si="108"/>
        <v>OR</v>
      </c>
      <c r="E1185" t="str">
        <f t="shared" si="109"/>
        <v>West</v>
      </c>
      <c r="F1185" t="s">
        <v>18</v>
      </c>
      <c r="G1185" s="1">
        <v>45011</v>
      </c>
      <c r="H1185" s="1">
        <v>45016</v>
      </c>
      <c r="I1185" s="1">
        <f t="shared" si="113"/>
        <v>45016</v>
      </c>
      <c r="J1185" s="2">
        <v>10.5</v>
      </c>
      <c r="K1185" s="2">
        <v>366.13</v>
      </c>
      <c r="L1185" t="s">
        <v>15</v>
      </c>
      <c r="M1185" s="2">
        <v>2421</v>
      </c>
      <c r="N1185" s="2">
        <v>5</v>
      </c>
      <c r="O1185" s="2">
        <f t="shared" si="110"/>
        <v>484.2</v>
      </c>
      <c r="P1185" s="2">
        <f t="shared" si="111"/>
        <v>1.3224810859530767</v>
      </c>
      <c r="Q1185" s="3">
        <f t="shared" si="112"/>
        <v>0.15123089632383313</v>
      </c>
    </row>
    <row r="1186" spans="1:17" x14ac:dyDescent="0.25">
      <c r="A1186" t="s">
        <v>1256</v>
      </c>
      <c r="B1186" t="s">
        <v>56</v>
      </c>
      <c r="C1186" t="s">
        <v>81</v>
      </c>
      <c r="D1186" t="str">
        <f t="shared" si="108"/>
        <v>CO</v>
      </c>
      <c r="E1186" t="str">
        <f t="shared" si="109"/>
        <v>West</v>
      </c>
      <c r="F1186" t="s">
        <v>14</v>
      </c>
      <c r="G1186" s="1">
        <v>44975</v>
      </c>
      <c r="H1186" s="1">
        <v>44980</v>
      </c>
      <c r="I1186" s="1">
        <f t="shared" si="113"/>
        <v>44980</v>
      </c>
      <c r="J1186" s="2">
        <v>6.5</v>
      </c>
      <c r="K1186" s="2">
        <v>158.31</v>
      </c>
      <c r="L1186" t="s">
        <v>15</v>
      </c>
      <c r="M1186" s="2">
        <v>1109</v>
      </c>
      <c r="N1186" s="2">
        <v>5</v>
      </c>
      <c r="O1186" s="2">
        <f t="shared" si="110"/>
        <v>221.8</v>
      </c>
      <c r="P1186" s="2">
        <f t="shared" si="111"/>
        <v>1.4010485755795592</v>
      </c>
      <c r="Q1186" s="3">
        <f t="shared" si="112"/>
        <v>0.14275022542831381</v>
      </c>
    </row>
    <row r="1187" spans="1:17" hidden="1" x14ac:dyDescent="0.25">
      <c r="A1187" t="s">
        <v>1257</v>
      </c>
      <c r="B1187" t="s">
        <v>49</v>
      </c>
      <c r="C1187" t="s">
        <v>57</v>
      </c>
      <c r="D1187" t="str">
        <f t="shared" si="108"/>
        <v>MN</v>
      </c>
      <c r="E1187" t="str">
        <f t="shared" si="109"/>
        <v>Midwest</v>
      </c>
      <c r="F1187" t="s">
        <v>25</v>
      </c>
      <c r="G1187" s="1">
        <v>45137</v>
      </c>
      <c r="H1187" s="1">
        <v>45143</v>
      </c>
      <c r="I1187" s="1">
        <f t="shared" si="113"/>
        <v>45143</v>
      </c>
      <c r="J1187" s="2">
        <v>27.1</v>
      </c>
      <c r="K1187" s="2">
        <v>259.17</v>
      </c>
      <c r="L1187" t="s">
        <v>15</v>
      </c>
      <c r="M1187" s="2">
        <v>2087</v>
      </c>
      <c r="N1187" s="2">
        <v>6</v>
      </c>
      <c r="O1187" s="2">
        <f t="shared" si="110"/>
        <v>347.83333333333331</v>
      </c>
      <c r="P1187" s="2">
        <f t="shared" si="111"/>
        <v>1.3421049246955021</v>
      </c>
      <c r="Q1187" s="3">
        <f t="shared" si="112"/>
        <v>0.12418303785337806</v>
      </c>
    </row>
    <row r="1188" spans="1:17" hidden="1" x14ac:dyDescent="0.25">
      <c r="A1188" t="s">
        <v>1258</v>
      </c>
      <c r="B1188" t="s">
        <v>35</v>
      </c>
      <c r="C1188" t="s">
        <v>28</v>
      </c>
      <c r="D1188" t="str">
        <f t="shared" si="108"/>
        <v>TX</v>
      </c>
      <c r="E1188" t="str">
        <f t="shared" si="109"/>
        <v>Southwest</v>
      </c>
      <c r="F1188" t="s">
        <v>32</v>
      </c>
      <c r="G1188" s="1">
        <v>44944</v>
      </c>
      <c r="H1188" s="1">
        <v>44950</v>
      </c>
      <c r="I1188" s="1">
        <f t="shared" si="113"/>
        <v>44950</v>
      </c>
      <c r="J1188" s="2">
        <v>30</v>
      </c>
      <c r="K1188" s="2">
        <v>343.66</v>
      </c>
      <c r="L1188" t="s">
        <v>15</v>
      </c>
      <c r="M1188" s="2">
        <v>2379</v>
      </c>
      <c r="N1188" s="2">
        <v>6</v>
      </c>
      <c r="O1188" s="2">
        <f t="shared" si="110"/>
        <v>396.5</v>
      </c>
      <c r="P1188" s="2">
        <f t="shared" si="111"/>
        <v>1.1537566199150322</v>
      </c>
      <c r="Q1188" s="3">
        <f t="shared" si="112"/>
        <v>0.14445565363598151</v>
      </c>
    </row>
    <row r="1189" spans="1:17" x14ac:dyDescent="0.25">
      <c r="A1189" t="s">
        <v>1259</v>
      </c>
      <c r="B1189" t="s">
        <v>20</v>
      </c>
      <c r="C1189" t="s">
        <v>13</v>
      </c>
      <c r="D1189" t="str">
        <f t="shared" si="108"/>
        <v>CA</v>
      </c>
      <c r="E1189" t="str">
        <f t="shared" si="109"/>
        <v>West</v>
      </c>
      <c r="F1189" t="s">
        <v>32</v>
      </c>
      <c r="G1189" s="1">
        <v>45093</v>
      </c>
      <c r="H1189" s="1">
        <v>45105</v>
      </c>
      <c r="I1189" s="1">
        <f t="shared" si="113"/>
        <v>45105</v>
      </c>
      <c r="J1189" s="2">
        <v>250.9</v>
      </c>
      <c r="K1189" s="2">
        <v>395</v>
      </c>
      <c r="L1189" t="s">
        <v>47</v>
      </c>
      <c r="M1189" s="2">
        <v>239</v>
      </c>
      <c r="N1189" s="2">
        <v>1</v>
      </c>
      <c r="O1189" s="2">
        <f t="shared" si="110"/>
        <v>239</v>
      </c>
      <c r="P1189" s="2">
        <f t="shared" si="111"/>
        <v>0.60506329113924051</v>
      </c>
      <c r="Q1189" s="3">
        <f t="shared" si="112"/>
        <v>1.6527196652719665</v>
      </c>
    </row>
    <row r="1190" spans="1:17" hidden="1" x14ac:dyDescent="0.25">
      <c r="A1190" t="s">
        <v>1260</v>
      </c>
      <c r="B1190" t="s">
        <v>51</v>
      </c>
      <c r="C1190" t="s">
        <v>17</v>
      </c>
      <c r="D1190" t="str">
        <f t="shared" si="108"/>
        <v>GA</v>
      </c>
      <c r="E1190" t="str">
        <f t="shared" si="109"/>
        <v>Southeast</v>
      </c>
      <c r="F1190" t="s">
        <v>25</v>
      </c>
      <c r="G1190" s="1">
        <v>45103</v>
      </c>
      <c r="H1190" s="1">
        <v>45106</v>
      </c>
      <c r="I1190" s="1">
        <f t="shared" si="113"/>
        <v>45106</v>
      </c>
      <c r="J1190" s="2">
        <v>23.5</v>
      </c>
      <c r="K1190" s="2">
        <v>119.58</v>
      </c>
      <c r="L1190" t="s">
        <v>15</v>
      </c>
      <c r="M1190" s="2">
        <v>870</v>
      </c>
      <c r="N1190" s="2">
        <v>3</v>
      </c>
      <c r="O1190" s="2">
        <f t="shared" si="110"/>
        <v>290</v>
      </c>
      <c r="P1190" s="2">
        <f t="shared" si="111"/>
        <v>2.425154708145175</v>
      </c>
      <c r="Q1190" s="3">
        <f t="shared" si="112"/>
        <v>0.13744827586206895</v>
      </c>
    </row>
    <row r="1191" spans="1:17" hidden="1" x14ac:dyDescent="0.25">
      <c r="A1191" t="s">
        <v>1261</v>
      </c>
      <c r="B1191" t="s">
        <v>35</v>
      </c>
      <c r="C1191" t="s">
        <v>57</v>
      </c>
      <c r="D1191" t="str">
        <f t="shared" si="108"/>
        <v>MN</v>
      </c>
      <c r="E1191" t="str">
        <f t="shared" si="109"/>
        <v>Midwest</v>
      </c>
      <c r="F1191" t="s">
        <v>18</v>
      </c>
      <c r="G1191" s="1">
        <v>44975</v>
      </c>
      <c r="I1191" s="1">
        <f t="shared" si="113"/>
        <v>44978</v>
      </c>
      <c r="J1191" s="2">
        <v>18.5</v>
      </c>
      <c r="K1191" s="2">
        <v>171.77</v>
      </c>
      <c r="L1191" t="s">
        <v>47</v>
      </c>
      <c r="M1191" s="2">
        <v>1073</v>
      </c>
      <c r="N1191" s="2">
        <v>3</v>
      </c>
      <c r="O1191" s="2">
        <f t="shared" si="110"/>
        <v>357.66666666666669</v>
      </c>
      <c r="P1191" s="2">
        <f t="shared" si="111"/>
        <v>2.0822417573887564</v>
      </c>
      <c r="Q1191" s="3">
        <f t="shared" si="112"/>
        <v>0.16008387698042872</v>
      </c>
    </row>
    <row r="1192" spans="1:17" hidden="1" x14ac:dyDescent="0.25">
      <c r="A1192" t="s">
        <v>1262</v>
      </c>
      <c r="B1192" t="s">
        <v>35</v>
      </c>
      <c r="C1192" t="s">
        <v>54</v>
      </c>
      <c r="D1192" t="str">
        <f t="shared" si="108"/>
        <v>FL</v>
      </c>
      <c r="E1192" t="str">
        <f t="shared" si="109"/>
        <v>Southeast</v>
      </c>
      <c r="F1192" t="s">
        <v>32</v>
      </c>
      <c r="G1192" s="1">
        <v>45011</v>
      </c>
      <c r="H1192" s="1">
        <v>45016</v>
      </c>
      <c r="I1192" s="1">
        <f t="shared" si="113"/>
        <v>45016</v>
      </c>
      <c r="J1192" s="2">
        <v>81.7</v>
      </c>
      <c r="K1192" s="2">
        <v>289.48</v>
      </c>
      <c r="L1192" t="s">
        <v>15</v>
      </c>
      <c r="M1192" s="2">
        <v>1350</v>
      </c>
      <c r="N1192" s="2">
        <v>5</v>
      </c>
      <c r="O1192" s="2">
        <f t="shared" si="110"/>
        <v>270</v>
      </c>
      <c r="P1192" s="2">
        <f t="shared" si="111"/>
        <v>0.9327069227580489</v>
      </c>
      <c r="Q1192" s="3">
        <f t="shared" si="112"/>
        <v>0.21442962962962964</v>
      </c>
    </row>
    <row r="1193" spans="1:17" hidden="1" x14ac:dyDescent="0.25">
      <c r="A1193" t="s">
        <v>1263</v>
      </c>
      <c r="B1193" t="s">
        <v>56</v>
      </c>
      <c r="C1193" t="s">
        <v>28</v>
      </c>
      <c r="D1193" t="str">
        <f t="shared" si="108"/>
        <v>TX</v>
      </c>
      <c r="E1193" t="str">
        <f t="shared" si="109"/>
        <v>Southwest</v>
      </c>
      <c r="F1193" t="s">
        <v>42</v>
      </c>
      <c r="G1193" s="1">
        <v>44958</v>
      </c>
      <c r="H1193" s="1">
        <v>44960</v>
      </c>
      <c r="I1193" s="1">
        <f t="shared" si="113"/>
        <v>44960</v>
      </c>
      <c r="J1193" s="2">
        <v>17.5</v>
      </c>
      <c r="K1193" s="2">
        <v>66.25</v>
      </c>
      <c r="L1193" t="s">
        <v>15</v>
      </c>
      <c r="M1193" s="2">
        <v>438</v>
      </c>
      <c r="N1193" s="2">
        <v>2</v>
      </c>
      <c r="O1193" s="2">
        <f t="shared" si="110"/>
        <v>219</v>
      </c>
      <c r="P1193" s="2">
        <f t="shared" si="111"/>
        <v>3.3056603773584907</v>
      </c>
      <c r="Q1193" s="3">
        <f t="shared" si="112"/>
        <v>0.15125570776255709</v>
      </c>
    </row>
    <row r="1194" spans="1:17" hidden="1" x14ac:dyDescent="0.25">
      <c r="A1194" t="s">
        <v>1264</v>
      </c>
      <c r="B1194" t="s">
        <v>12</v>
      </c>
      <c r="C1194" t="s">
        <v>28</v>
      </c>
      <c r="D1194" t="str">
        <f t="shared" si="108"/>
        <v>TX</v>
      </c>
      <c r="E1194" t="str">
        <f t="shared" si="109"/>
        <v>Southwest</v>
      </c>
      <c r="F1194" t="s">
        <v>37</v>
      </c>
      <c r="G1194" s="1">
        <v>45232</v>
      </c>
      <c r="H1194" s="1">
        <v>45241</v>
      </c>
      <c r="I1194" s="1">
        <f t="shared" si="113"/>
        <v>45241</v>
      </c>
      <c r="J1194" s="2">
        <v>26.1</v>
      </c>
      <c r="K1194" s="2">
        <v>286.32</v>
      </c>
      <c r="L1194" t="s">
        <v>47</v>
      </c>
      <c r="M1194" s="2">
        <v>1611</v>
      </c>
      <c r="N1194" s="2">
        <v>4</v>
      </c>
      <c r="O1194" s="2">
        <f t="shared" si="110"/>
        <v>402.75</v>
      </c>
      <c r="P1194" s="2">
        <f t="shared" si="111"/>
        <v>1.4066429170159263</v>
      </c>
      <c r="Q1194" s="3">
        <f t="shared" si="112"/>
        <v>0.17772811918063314</v>
      </c>
    </row>
    <row r="1195" spans="1:17" x14ac:dyDescent="0.25">
      <c r="A1195" t="s">
        <v>1265</v>
      </c>
      <c r="B1195" t="s">
        <v>49</v>
      </c>
      <c r="C1195" t="s">
        <v>24</v>
      </c>
      <c r="D1195" t="str">
        <f t="shared" ref="D1195:D1257" si="114">IF(C1195="Atlanta","GA",
IF(C1195="Boston","MA",
IF(C1195="Chicago","IL",
IF(C1195="Dallas","TX",
IF(C1195="Denver","CO",
IF(C1195="Detroit","MI",
IF(C1195="Houston","TX",
IF(C1195="Los Angeles","CA",
IF(C1195="Miami","FL",
IF(C1195="Minneapolis","MN",
IF(C1195="New York","NY",
IF(C1195="Phoenix","AZ",
IF(C1195="Portland","OR",
IF(C1195="San Francisco","CA",
IF(C1195="Seattle","WA","Unknown")))))))))))))))</f>
        <v>WA</v>
      </c>
      <c r="E1195" t="str">
        <f t="shared" ref="E1195:E1257" si="115">IF(OR(D1195="NY",D1195="NJ",D1195="PA",D1195="MA",D1195="CT",D1195="RI",D1195="VT",D1195="NH",D1195="ME"),"Northeast",
IF(OR(D1195="FL",D1195="GA",D1195="AL",D1195="MS",D1195="SC",D1195="NC",D1195="TN",D1195="KY"),"Southeast",
IF(OR(D1195="IL",D1195="IN",D1195="OH",D1195="MI",D1195="WI",D1195="MN",D1195="IA",D1195="MO",D1195="KS",D1195="NE",D1195="ND",D1195="SD"),"Midwest",
IF(OR(D1195="TX",D1195="OK",D1195="NM",D1195="AZ"),"Southwest",
IF(OR(D1195="CA",D1195="OR",D1195="WA",D1195="NV",D1195="CO",D1195="UT",D1195="ID",D1195="MT",D1195="WY",D1195="AK",D1195="HI"),"West","Other")))))</f>
        <v>West</v>
      </c>
      <c r="F1195" t="s">
        <v>42</v>
      </c>
      <c r="G1195" s="1">
        <v>45088</v>
      </c>
      <c r="H1195" s="1">
        <v>45093</v>
      </c>
      <c r="I1195" s="1">
        <f t="shared" si="113"/>
        <v>45093</v>
      </c>
      <c r="J1195" s="2">
        <v>80.8</v>
      </c>
      <c r="K1195" s="2">
        <v>209.48</v>
      </c>
      <c r="L1195" t="s">
        <v>15</v>
      </c>
      <c r="M1195" s="2">
        <v>805</v>
      </c>
      <c r="N1195" s="2">
        <v>5</v>
      </c>
      <c r="O1195" s="2">
        <f t="shared" ref="O1195:O1257" si="116">M1195/N1195</f>
        <v>161</v>
      </c>
      <c r="P1195" s="2">
        <f t="shared" ref="P1195:P1257" si="117">O1195/K1195</f>
        <v>0.76856979186557195</v>
      </c>
      <c r="Q1195" s="3">
        <f t="shared" ref="Q1195:Q1257" si="118">K1195/M1195</f>
        <v>0.26022360248447202</v>
      </c>
    </row>
    <row r="1196" spans="1:17" hidden="1" x14ac:dyDescent="0.25">
      <c r="A1196" t="s">
        <v>1266</v>
      </c>
      <c r="B1196" t="s">
        <v>23</v>
      </c>
      <c r="C1196" t="s">
        <v>52</v>
      </c>
      <c r="D1196" t="str">
        <f t="shared" si="114"/>
        <v>AZ</v>
      </c>
      <c r="E1196" t="str">
        <f t="shared" si="115"/>
        <v>Southwest</v>
      </c>
      <c r="F1196" t="s">
        <v>32</v>
      </c>
      <c r="G1196" s="1">
        <v>44982</v>
      </c>
      <c r="H1196" s="1">
        <v>44984</v>
      </c>
      <c r="I1196" s="1">
        <f t="shared" si="113"/>
        <v>44984</v>
      </c>
      <c r="J1196" s="2">
        <v>36.799999999999997</v>
      </c>
      <c r="K1196" s="2">
        <v>78.75</v>
      </c>
      <c r="L1196" t="s">
        <v>15</v>
      </c>
      <c r="M1196" s="2">
        <v>196</v>
      </c>
      <c r="N1196" s="2">
        <v>2</v>
      </c>
      <c r="O1196" s="2">
        <f t="shared" si="116"/>
        <v>98</v>
      </c>
      <c r="P1196" s="2">
        <f t="shared" si="117"/>
        <v>1.2444444444444445</v>
      </c>
      <c r="Q1196" s="3">
        <f t="shared" si="118"/>
        <v>0.4017857142857143</v>
      </c>
    </row>
    <row r="1197" spans="1:17" hidden="1" x14ac:dyDescent="0.25">
      <c r="A1197" t="s">
        <v>1267</v>
      </c>
      <c r="B1197" t="s">
        <v>39</v>
      </c>
      <c r="C1197" t="s">
        <v>57</v>
      </c>
      <c r="D1197" t="str">
        <f t="shared" si="114"/>
        <v>MN</v>
      </c>
      <c r="E1197" t="str">
        <f t="shared" si="115"/>
        <v>Midwest</v>
      </c>
      <c r="F1197" t="s">
        <v>18</v>
      </c>
      <c r="G1197" s="1">
        <v>45045</v>
      </c>
      <c r="H1197" s="1">
        <v>45049</v>
      </c>
      <c r="I1197" s="1">
        <f t="shared" si="113"/>
        <v>45049</v>
      </c>
      <c r="J1197" s="2">
        <v>48.2</v>
      </c>
      <c r="K1197" s="2">
        <v>262.05</v>
      </c>
      <c r="L1197" t="s">
        <v>15</v>
      </c>
      <c r="M1197" s="2">
        <v>1272</v>
      </c>
      <c r="N1197" s="2">
        <v>4</v>
      </c>
      <c r="O1197" s="2">
        <f t="shared" si="116"/>
        <v>318</v>
      </c>
      <c r="P1197" s="2">
        <f t="shared" si="117"/>
        <v>1.2135088723526044</v>
      </c>
      <c r="Q1197" s="3">
        <f t="shared" si="118"/>
        <v>0.20601415094339623</v>
      </c>
    </row>
    <row r="1198" spans="1:17" hidden="1" x14ac:dyDescent="0.25">
      <c r="A1198" t="s">
        <v>1268</v>
      </c>
      <c r="B1198" t="s">
        <v>30</v>
      </c>
      <c r="C1198" t="s">
        <v>52</v>
      </c>
      <c r="D1198" t="str">
        <f t="shared" si="114"/>
        <v>AZ</v>
      </c>
      <c r="E1198" t="str">
        <f t="shared" si="115"/>
        <v>Southwest</v>
      </c>
      <c r="F1198" t="s">
        <v>14</v>
      </c>
      <c r="G1198" s="1">
        <v>45143</v>
      </c>
      <c r="H1198" s="1">
        <v>45150</v>
      </c>
      <c r="I1198" s="1">
        <f t="shared" si="113"/>
        <v>45150</v>
      </c>
      <c r="J1198" s="2">
        <v>42</v>
      </c>
      <c r="K1198" s="2">
        <v>359.87</v>
      </c>
      <c r="L1198" t="s">
        <v>15</v>
      </c>
      <c r="M1198" s="2">
        <v>2255</v>
      </c>
      <c r="N1198" s="2">
        <v>7</v>
      </c>
      <c r="O1198" s="2">
        <f t="shared" si="116"/>
        <v>322.14285714285717</v>
      </c>
      <c r="P1198" s="2">
        <f t="shared" si="117"/>
        <v>0.89516452369704935</v>
      </c>
      <c r="Q1198" s="3">
        <f t="shared" si="118"/>
        <v>0.15958758314855875</v>
      </c>
    </row>
    <row r="1199" spans="1:17" x14ac:dyDescent="0.25">
      <c r="A1199" t="s">
        <v>1269</v>
      </c>
      <c r="B1199" t="s">
        <v>12</v>
      </c>
      <c r="C1199" t="s">
        <v>70</v>
      </c>
      <c r="D1199" t="str">
        <f t="shared" si="114"/>
        <v>CA</v>
      </c>
      <c r="E1199" t="str">
        <f t="shared" si="115"/>
        <v>West</v>
      </c>
      <c r="F1199" t="s">
        <v>42</v>
      </c>
      <c r="G1199" s="1">
        <v>45235</v>
      </c>
      <c r="H1199" s="1">
        <v>45237</v>
      </c>
      <c r="I1199" s="1">
        <f t="shared" si="113"/>
        <v>45237</v>
      </c>
      <c r="J1199" s="2">
        <v>29.5</v>
      </c>
      <c r="K1199" s="2">
        <v>109.58</v>
      </c>
      <c r="L1199" t="s">
        <v>62</v>
      </c>
      <c r="M1199" s="2">
        <v>409</v>
      </c>
      <c r="N1199" s="2">
        <v>2</v>
      </c>
      <c r="O1199" s="2">
        <f t="shared" si="116"/>
        <v>204.5</v>
      </c>
      <c r="P1199" s="2">
        <f t="shared" si="117"/>
        <v>1.8662164628581859</v>
      </c>
      <c r="Q1199" s="3">
        <f t="shared" si="118"/>
        <v>0.26792176039119803</v>
      </c>
    </row>
    <row r="1200" spans="1:17" hidden="1" x14ac:dyDescent="0.25">
      <c r="A1200" t="s">
        <v>1270</v>
      </c>
      <c r="B1200" t="s">
        <v>56</v>
      </c>
      <c r="C1200" t="s">
        <v>17</v>
      </c>
      <c r="D1200" t="str">
        <f t="shared" si="114"/>
        <v>GA</v>
      </c>
      <c r="E1200" t="str">
        <f t="shared" si="115"/>
        <v>Southeast</v>
      </c>
      <c r="F1200" t="s">
        <v>14</v>
      </c>
      <c r="G1200" s="1">
        <v>45211</v>
      </c>
      <c r="I1200" s="1">
        <f t="shared" si="113"/>
        <v>45214</v>
      </c>
      <c r="J1200" s="2">
        <v>5.5</v>
      </c>
      <c r="K1200" s="2">
        <v>49.39</v>
      </c>
      <c r="L1200" t="s">
        <v>15</v>
      </c>
      <c r="M1200" s="2">
        <v>338</v>
      </c>
      <c r="N1200" s="2">
        <v>3</v>
      </c>
      <c r="O1200" s="2">
        <f t="shared" si="116"/>
        <v>112.66666666666667</v>
      </c>
      <c r="P1200" s="2">
        <f t="shared" si="117"/>
        <v>2.2811635283795639</v>
      </c>
      <c r="Q1200" s="3">
        <f t="shared" si="118"/>
        <v>0.14612426035502959</v>
      </c>
    </row>
    <row r="1201" spans="1:17" x14ac:dyDescent="0.25">
      <c r="A1201" t="s">
        <v>1271</v>
      </c>
      <c r="B1201" t="s">
        <v>49</v>
      </c>
      <c r="C1201" t="s">
        <v>13</v>
      </c>
      <c r="D1201" t="str">
        <f t="shared" si="114"/>
        <v>CA</v>
      </c>
      <c r="E1201" t="str">
        <f t="shared" si="115"/>
        <v>West</v>
      </c>
      <c r="F1201" t="s">
        <v>32</v>
      </c>
      <c r="G1201" s="1">
        <v>45174</v>
      </c>
      <c r="H1201" s="1">
        <v>45180</v>
      </c>
      <c r="I1201" s="1">
        <f t="shared" si="113"/>
        <v>45180</v>
      </c>
      <c r="J1201" s="2">
        <v>24.9</v>
      </c>
      <c r="K1201" s="2">
        <v>351.21</v>
      </c>
      <c r="L1201" t="s">
        <v>15</v>
      </c>
      <c r="M1201" s="2">
        <v>2438</v>
      </c>
      <c r="N1201" s="2">
        <v>6</v>
      </c>
      <c r="O1201" s="2">
        <f t="shared" si="116"/>
        <v>406.33333333333331</v>
      </c>
      <c r="P1201" s="2">
        <f t="shared" si="117"/>
        <v>1.156952630430037</v>
      </c>
      <c r="Q1201" s="3">
        <f t="shared" si="118"/>
        <v>0.1440566037735849</v>
      </c>
    </row>
    <row r="1202" spans="1:17" hidden="1" x14ac:dyDescent="0.25">
      <c r="A1202" t="s">
        <v>1272</v>
      </c>
      <c r="B1202" t="s">
        <v>12</v>
      </c>
      <c r="C1202" t="s">
        <v>28</v>
      </c>
      <c r="D1202" t="str">
        <f t="shared" si="114"/>
        <v>TX</v>
      </c>
      <c r="E1202" t="str">
        <f t="shared" si="115"/>
        <v>Southwest</v>
      </c>
      <c r="F1202" t="s">
        <v>14</v>
      </c>
      <c r="G1202" s="1">
        <v>45255</v>
      </c>
      <c r="H1202" s="1">
        <v>45259</v>
      </c>
      <c r="I1202" s="1">
        <f t="shared" si="113"/>
        <v>45259</v>
      </c>
      <c r="J1202" s="2">
        <v>17.899999999999999</v>
      </c>
      <c r="K1202" s="2">
        <v>336.25</v>
      </c>
      <c r="L1202" t="s">
        <v>15</v>
      </c>
      <c r="M1202" s="2">
        <v>2051</v>
      </c>
      <c r="N1202" s="2">
        <v>4</v>
      </c>
      <c r="O1202" s="2">
        <f t="shared" si="116"/>
        <v>512.75</v>
      </c>
      <c r="P1202" s="2">
        <f t="shared" si="117"/>
        <v>1.5249070631970261</v>
      </c>
      <c r="Q1202" s="3">
        <f t="shared" si="118"/>
        <v>0.16394441735738663</v>
      </c>
    </row>
    <row r="1203" spans="1:17" hidden="1" x14ac:dyDescent="0.25">
      <c r="A1203" t="s">
        <v>1273</v>
      </c>
      <c r="B1203" t="s">
        <v>39</v>
      </c>
      <c r="C1203" t="s">
        <v>44</v>
      </c>
      <c r="D1203" t="str">
        <f t="shared" si="114"/>
        <v>IL</v>
      </c>
      <c r="E1203" t="str">
        <f t="shared" si="115"/>
        <v>Midwest</v>
      </c>
      <c r="F1203" t="s">
        <v>59</v>
      </c>
      <c r="G1203" s="1">
        <v>45171</v>
      </c>
      <c r="H1203" s="1">
        <v>45177</v>
      </c>
      <c r="I1203" s="1">
        <f t="shared" si="113"/>
        <v>45177</v>
      </c>
      <c r="J1203" s="2">
        <v>15.1</v>
      </c>
      <c r="K1203" s="2">
        <v>253.23</v>
      </c>
      <c r="L1203" t="s">
        <v>15</v>
      </c>
      <c r="M1203" s="2">
        <v>2145</v>
      </c>
      <c r="N1203" s="2">
        <v>6</v>
      </c>
      <c r="O1203" s="2">
        <f t="shared" si="116"/>
        <v>357.5</v>
      </c>
      <c r="P1203" s="2">
        <f t="shared" si="117"/>
        <v>1.4117600600244837</v>
      </c>
      <c r="Q1203" s="3">
        <f t="shared" si="118"/>
        <v>0.11805594405594405</v>
      </c>
    </row>
    <row r="1204" spans="1:17" hidden="1" x14ac:dyDescent="0.25">
      <c r="A1204" t="s">
        <v>1274</v>
      </c>
      <c r="B1204" t="s">
        <v>30</v>
      </c>
      <c r="C1204" t="s">
        <v>54</v>
      </c>
      <c r="D1204" t="str">
        <f t="shared" si="114"/>
        <v>FL</v>
      </c>
      <c r="E1204" t="str">
        <f t="shared" si="115"/>
        <v>Southeast</v>
      </c>
      <c r="F1204" t="s">
        <v>18</v>
      </c>
      <c r="G1204" s="1">
        <v>45156</v>
      </c>
      <c r="H1204" s="1">
        <v>45171</v>
      </c>
      <c r="I1204" s="1">
        <f t="shared" si="113"/>
        <v>45171</v>
      </c>
      <c r="J1204" s="2">
        <v>36.299999999999997</v>
      </c>
      <c r="K1204" s="2">
        <v>266.23</v>
      </c>
      <c r="L1204" t="s">
        <v>47</v>
      </c>
      <c r="M1204" s="2">
        <v>1635</v>
      </c>
      <c r="N1204" s="2">
        <v>4</v>
      </c>
      <c r="O1204" s="2">
        <f t="shared" si="116"/>
        <v>408.75</v>
      </c>
      <c r="P1204" s="2">
        <f t="shared" si="117"/>
        <v>1.5353265973030836</v>
      </c>
      <c r="Q1204" s="3">
        <f t="shared" si="118"/>
        <v>0.16283180428134558</v>
      </c>
    </row>
    <row r="1205" spans="1:17" hidden="1" x14ac:dyDescent="0.25">
      <c r="A1205" t="s">
        <v>1275</v>
      </c>
      <c r="B1205" t="s">
        <v>12</v>
      </c>
      <c r="C1205" t="s">
        <v>31</v>
      </c>
      <c r="D1205" t="str">
        <f t="shared" si="114"/>
        <v>NY</v>
      </c>
      <c r="E1205" t="str">
        <f t="shared" si="115"/>
        <v>Northeast</v>
      </c>
      <c r="F1205" t="s">
        <v>14</v>
      </c>
      <c r="G1205" s="1">
        <v>45086</v>
      </c>
      <c r="H1205" s="1">
        <v>45093</v>
      </c>
      <c r="I1205" s="1">
        <f t="shared" si="113"/>
        <v>45093</v>
      </c>
      <c r="J1205" s="2">
        <v>17.399999999999999</v>
      </c>
      <c r="K1205" s="2">
        <v>250.19</v>
      </c>
      <c r="L1205" t="s">
        <v>15</v>
      </c>
      <c r="M1205" s="2">
        <v>1839</v>
      </c>
      <c r="N1205" s="2">
        <v>7</v>
      </c>
      <c r="O1205" s="2">
        <f t="shared" si="116"/>
        <v>262.71428571428572</v>
      </c>
      <c r="P1205" s="2">
        <f t="shared" si="117"/>
        <v>1.0500590979427065</v>
      </c>
      <c r="Q1205" s="3">
        <f t="shared" si="118"/>
        <v>0.13604676454594888</v>
      </c>
    </row>
    <row r="1206" spans="1:17" x14ac:dyDescent="0.25">
      <c r="A1206" t="s">
        <v>1276</v>
      </c>
      <c r="B1206" t="s">
        <v>56</v>
      </c>
      <c r="C1206" t="s">
        <v>70</v>
      </c>
      <c r="D1206" t="str">
        <f t="shared" si="114"/>
        <v>CA</v>
      </c>
      <c r="E1206" t="str">
        <f t="shared" si="115"/>
        <v>West</v>
      </c>
      <c r="F1206" t="s">
        <v>37</v>
      </c>
      <c r="G1206" s="1">
        <v>45225</v>
      </c>
      <c r="H1206" s="1">
        <v>45229</v>
      </c>
      <c r="I1206" s="1">
        <f t="shared" si="113"/>
        <v>45229</v>
      </c>
      <c r="J1206" s="2">
        <v>18.399999999999999</v>
      </c>
      <c r="K1206" s="2">
        <v>115.48</v>
      </c>
      <c r="L1206" t="s">
        <v>15</v>
      </c>
      <c r="M1206" s="2">
        <v>723</v>
      </c>
      <c r="N1206" s="2">
        <v>4</v>
      </c>
      <c r="O1206" s="2">
        <f t="shared" si="116"/>
        <v>180.75</v>
      </c>
      <c r="P1206" s="2">
        <f t="shared" si="117"/>
        <v>1.5652060962937304</v>
      </c>
      <c r="Q1206" s="3">
        <f t="shared" si="118"/>
        <v>0.15972337482710927</v>
      </c>
    </row>
    <row r="1207" spans="1:17" hidden="1" x14ac:dyDescent="0.25">
      <c r="A1207" t="s">
        <v>1277</v>
      </c>
      <c r="B1207" t="s">
        <v>30</v>
      </c>
      <c r="C1207" t="s">
        <v>46</v>
      </c>
      <c r="D1207" t="str">
        <f t="shared" si="114"/>
        <v>MA</v>
      </c>
      <c r="E1207" t="str">
        <f t="shared" si="115"/>
        <v>Northeast</v>
      </c>
      <c r="F1207" t="s">
        <v>42</v>
      </c>
      <c r="G1207" s="1">
        <v>45151</v>
      </c>
      <c r="H1207" s="1">
        <v>45153</v>
      </c>
      <c r="I1207" s="1">
        <f t="shared" si="113"/>
        <v>45153</v>
      </c>
      <c r="J1207" s="2">
        <v>10.4</v>
      </c>
      <c r="K1207" s="2">
        <v>80.42</v>
      </c>
      <c r="L1207" t="s">
        <v>15</v>
      </c>
      <c r="M1207" s="2">
        <v>615</v>
      </c>
      <c r="N1207" s="2">
        <v>2</v>
      </c>
      <c r="O1207" s="2">
        <f t="shared" si="116"/>
        <v>307.5</v>
      </c>
      <c r="P1207" s="2">
        <f t="shared" si="117"/>
        <v>3.8236757025615518</v>
      </c>
      <c r="Q1207" s="3">
        <f t="shared" si="118"/>
        <v>0.13076422764227644</v>
      </c>
    </row>
    <row r="1208" spans="1:17" hidden="1" x14ac:dyDescent="0.25">
      <c r="A1208" t="s">
        <v>1278</v>
      </c>
      <c r="B1208" t="s">
        <v>39</v>
      </c>
      <c r="C1208" t="s">
        <v>44</v>
      </c>
      <c r="D1208" t="str">
        <f t="shared" si="114"/>
        <v>IL</v>
      </c>
      <c r="E1208" t="str">
        <f t="shared" si="115"/>
        <v>Midwest</v>
      </c>
      <c r="F1208" t="s">
        <v>37</v>
      </c>
      <c r="G1208" s="1">
        <v>45059</v>
      </c>
      <c r="H1208" s="1">
        <v>45062</v>
      </c>
      <c r="I1208" s="1">
        <f t="shared" si="113"/>
        <v>45062</v>
      </c>
      <c r="J1208" s="2">
        <v>17.8</v>
      </c>
      <c r="K1208" s="2">
        <v>122.76</v>
      </c>
      <c r="L1208" t="s">
        <v>15</v>
      </c>
      <c r="M1208" s="2">
        <v>809</v>
      </c>
      <c r="N1208" s="2">
        <v>3</v>
      </c>
      <c r="O1208" s="2">
        <f t="shared" si="116"/>
        <v>269.66666666666669</v>
      </c>
      <c r="P1208" s="2">
        <f t="shared" si="117"/>
        <v>2.1966981644400998</v>
      </c>
      <c r="Q1208" s="3">
        <f t="shared" si="118"/>
        <v>0.15174289245982694</v>
      </c>
    </row>
    <row r="1209" spans="1:17" hidden="1" x14ac:dyDescent="0.25">
      <c r="A1209" t="s">
        <v>1279</v>
      </c>
      <c r="B1209" t="s">
        <v>30</v>
      </c>
      <c r="C1209" t="s">
        <v>52</v>
      </c>
      <c r="D1209" t="str">
        <f t="shared" si="114"/>
        <v>AZ</v>
      </c>
      <c r="E1209" t="str">
        <f t="shared" si="115"/>
        <v>Southwest</v>
      </c>
      <c r="F1209" t="s">
        <v>59</v>
      </c>
      <c r="G1209" s="1">
        <v>45265</v>
      </c>
      <c r="H1209" s="1">
        <v>45274</v>
      </c>
      <c r="I1209" s="1">
        <f t="shared" si="113"/>
        <v>45274</v>
      </c>
      <c r="J1209" s="2">
        <v>65.599999999999994</v>
      </c>
      <c r="K1209" s="2">
        <v>368.43</v>
      </c>
      <c r="L1209" t="s">
        <v>15</v>
      </c>
      <c r="M1209" s="2">
        <v>2255</v>
      </c>
      <c r="N1209" s="2">
        <v>9</v>
      </c>
      <c r="O1209" s="2">
        <f t="shared" si="116"/>
        <v>250.55555555555554</v>
      </c>
      <c r="P1209" s="2">
        <f t="shared" si="117"/>
        <v>0.68006284926731142</v>
      </c>
      <c r="Q1209" s="3">
        <f t="shared" si="118"/>
        <v>0.16338359201773836</v>
      </c>
    </row>
    <row r="1210" spans="1:17" hidden="1" x14ac:dyDescent="0.25">
      <c r="A1210" t="s">
        <v>1280</v>
      </c>
      <c r="B1210" t="s">
        <v>35</v>
      </c>
      <c r="C1210" t="s">
        <v>28</v>
      </c>
      <c r="D1210" t="str">
        <f t="shared" si="114"/>
        <v>TX</v>
      </c>
      <c r="E1210" t="str">
        <f t="shared" si="115"/>
        <v>Southwest</v>
      </c>
      <c r="F1210" t="s">
        <v>37</v>
      </c>
      <c r="G1210" s="1">
        <v>45047</v>
      </c>
      <c r="H1210" s="1">
        <v>45051</v>
      </c>
      <c r="I1210" s="1">
        <f t="shared" si="113"/>
        <v>45051</v>
      </c>
      <c r="J1210" s="2">
        <v>9.6999999999999993</v>
      </c>
      <c r="K1210" s="2">
        <v>120.4</v>
      </c>
      <c r="L1210" t="s">
        <v>15</v>
      </c>
      <c r="M1210" s="2">
        <v>997</v>
      </c>
      <c r="N1210" s="2">
        <v>4</v>
      </c>
      <c r="O1210" s="2">
        <f t="shared" si="116"/>
        <v>249.25</v>
      </c>
      <c r="P1210" s="2">
        <f t="shared" si="117"/>
        <v>2.0701827242524917</v>
      </c>
      <c r="Q1210" s="3">
        <f t="shared" si="118"/>
        <v>0.12076228686058176</v>
      </c>
    </row>
    <row r="1211" spans="1:17" hidden="1" x14ac:dyDescent="0.25">
      <c r="A1211" t="s">
        <v>1282</v>
      </c>
      <c r="B1211" t="s">
        <v>20</v>
      </c>
      <c r="C1211" t="s">
        <v>28</v>
      </c>
      <c r="D1211" t="str">
        <f t="shared" si="114"/>
        <v>TX</v>
      </c>
      <c r="E1211" t="str">
        <f t="shared" si="115"/>
        <v>Southwest</v>
      </c>
      <c r="F1211" t="s">
        <v>18</v>
      </c>
      <c r="G1211" s="1">
        <v>45063</v>
      </c>
      <c r="H1211" s="1">
        <v>45069</v>
      </c>
      <c r="I1211" s="1">
        <f t="shared" si="113"/>
        <v>45069</v>
      </c>
      <c r="J1211" s="2">
        <v>6.2</v>
      </c>
      <c r="K1211" s="2">
        <v>210.74</v>
      </c>
      <c r="L1211" t="s">
        <v>47</v>
      </c>
      <c r="M1211" s="2">
        <v>1435</v>
      </c>
      <c r="N1211" s="2">
        <v>5</v>
      </c>
      <c r="O1211" s="2">
        <f t="shared" si="116"/>
        <v>287</v>
      </c>
      <c r="P1211" s="2">
        <f t="shared" si="117"/>
        <v>1.3618677042801557</v>
      </c>
      <c r="Q1211" s="3">
        <f t="shared" si="118"/>
        <v>0.14685714285714285</v>
      </c>
    </row>
    <row r="1212" spans="1:17" hidden="1" x14ac:dyDescent="0.25">
      <c r="A1212" t="s">
        <v>1283</v>
      </c>
      <c r="B1212" t="s">
        <v>27</v>
      </c>
      <c r="C1212" t="s">
        <v>57</v>
      </c>
      <c r="D1212" t="str">
        <f t="shared" si="114"/>
        <v>MN</v>
      </c>
      <c r="E1212" t="str">
        <f t="shared" si="115"/>
        <v>Midwest</v>
      </c>
      <c r="F1212" t="s">
        <v>42</v>
      </c>
      <c r="G1212" s="1">
        <v>45114</v>
      </c>
      <c r="H1212" s="1">
        <v>45121</v>
      </c>
      <c r="I1212" s="1">
        <f t="shared" si="113"/>
        <v>45121</v>
      </c>
      <c r="J1212" s="2">
        <v>42.8</v>
      </c>
      <c r="K1212" s="2">
        <v>322.49</v>
      </c>
      <c r="L1212" t="s">
        <v>15</v>
      </c>
      <c r="M1212" s="2">
        <v>2389</v>
      </c>
      <c r="N1212" s="2">
        <v>7</v>
      </c>
      <c r="O1212" s="2">
        <f t="shared" si="116"/>
        <v>341.28571428571428</v>
      </c>
      <c r="P1212" s="2">
        <f t="shared" si="117"/>
        <v>1.0582830918345196</v>
      </c>
      <c r="Q1212" s="3">
        <f t="shared" si="118"/>
        <v>0.13498953537044789</v>
      </c>
    </row>
    <row r="1213" spans="1:17" hidden="1" x14ac:dyDescent="0.25">
      <c r="A1213" t="s">
        <v>1284</v>
      </c>
      <c r="B1213" t="s">
        <v>49</v>
      </c>
      <c r="C1213" t="s">
        <v>28</v>
      </c>
      <c r="D1213" t="str">
        <f t="shared" si="114"/>
        <v>TX</v>
      </c>
      <c r="E1213" t="str">
        <f t="shared" si="115"/>
        <v>Southwest</v>
      </c>
      <c r="F1213" t="s">
        <v>25</v>
      </c>
      <c r="G1213" s="1">
        <v>45007</v>
      </c>
      <c r="H1213" s="1">
        <v>45013</v>
      </c>
      <c r="I1213" s="1">
        <f t="shared" si="113"/>
        <v>45013</v>
      </c>
      <c r="J1213" s="2">
        <v>10.6</v>
      </c>
      <c r="K1213" s="2">
        <v>256.26</v>
      </c>
      <c r="L1213" t="s">
        <v>67</v>
      </c>
      <c r="M1213" s="2">
        <v>2001</v>
      </c>
      <c r="N1213" s="2">
        <v>6</v>
      </c>
      <c r="O1213" s="2">
        <f t="shared" si="116"/>
        <v>333.5</v>
      </c>
      <c r="P1213" s="2">
        <f t="shared" si="117"/>
        <v>1.3014126277998908</v>
      </c>
      <c r="Q1213" s="3">
        <f t="shared" si="118"/>
        <v>0.12806596701649176</v>
      </c>
    </row>
    <row r="1214" spans="1:17" hidden="1" x14ac:dyDescent="0.25">
      <c r="A1214" t="s">
        <v>1285</v>
      </c>
      <c r="B1214" t="s">
        <v>12</v>
      </c>
      <c r="C1214" t="s">
        <v>40</v>
      </c>
      <c r="D1214" t="str">
        <f t="shared" si="114"/>
        <v>MI</v>
      </c>
      <c r="E1214" t="str">
        <f t="shared" si="115"/>
        <v>Midwest</v>
      </c>
      <c r="F1214" t="s">
        <v>59</v>
      </c>
      <c r="G1214" s="1">
        <v>44953</v>
      </c>
      <c r="H1214" s="1">
        <v>44957</v>
      </c>
      <c r="I1214" s="1">
        <f t="shared" si="113"/>
        <v>44957</v>
      </c>
      <c r="J1214" s="2">
        <v>10.6</v>
      </c>
      <c r="K1214" s="2">
        <v>107.5</v>
      </c>
      <c r="L1214" t="s">
        <v>15</v>
      </c>
      <c r="M1214" s="2">
        <v>788</v>
      </c>
      <c r="N1214" s="2">
        <v>4</v>
      </c>
      <c r="O1214" s="2">
        <f t="shared" si="116"/>
        <v>197</v>
      </c>
      <c r="P1214" s="2">
        <f t="shared" si="117"/>
        <v>1.8325581395348838</v>
      </c>
      <c r="Q1214" s="3">
        <f t="shared" si="118"/>
        <v>0.13642131979695432</v>
      </c>
    </row>
    <row r="1215" spans="1:17" x14ac:dyDescent="0.25">
      <c r="A1215" t="s">
        <v>1286</v>
      </c>
      <c r="B1215" t="s">
        <v>56</v>
      </c>
      <c r="C1215" t="s">
        <v>70</v>
      </c>
      <c r="D1215" t="str">
        <f t="shared" si="114"/>
        <v>CA</v>
      </c>
      <c r="E1215" t="str">
        <f t="shared" si="115"/>
        <v>West</v>
      </c>
      <c r="F1215" t="s">
        <v>59</v>
      </c>
      <c r="G1215" s="1">
        <v>45045</v>
      </c>
      <c r="H1215" s="1">
        <v>45050</v>
      </c>
      <c r="I1215" s="1">
        <f t="shared" si="113"/>
        <v>45050</v>
      </c>
      <c r="J1215" s="2">
        <v>81.2</v>
      </c>
      <c r="K1215" s="2">
        <v>243.39</v>
      </c>
      <c r="L1215" t="s">
        <v>15</v>
      </c>
      <c r="M1215" s="2">
        <v>1220</v>
      </c>
      <c r="N1215" s="2">
        <v>5</v>
      </c>
      <c r="O1215" s="2">
        <f t="shared" si="116"/>
        <v>244</v>
      </c>
      <c r="P1215" s="2">
        <f t="shared" si="117"/>
        <v>1.0025062656641606</v>
      </c>
      <c r="Q1215" s="3">
        <f t="shared" si="118"/>
        <v>0.19949999999999998</v>
      </c>
    </row>
    <row r="1216" spans="1:17" hidden="1" x14ac:dyDescent="0.25">
      <c r="A1216" t="s">
        <v>1287</v>
      </c>
      <c r="B1216" t="s">
        <v>56</v>
      </c>
      <c r="C1216" t="s">
        <v>28</v>
      </c>
      <c r="D1216" t="str">
        <f t="shared" si="114"/>
        <v>TX</v>
      </c>
      <c r="E1216" t="str">
        <f t="shared" si="115"/>
        <v>Southwest</v>
      </c>
      <c r="F1216" t="s">
        <v>42</v>
      </c>
      <c r="G1216" s="1">
        <v>44950</v>
      </c>
      <c r="H1216" s="1">
        <v>44952</v>
      </c>
      <c r="I1216" s="1">
        <f t="shared" si="113"/>
        <v>44952</v>
      </c>
      <c r="J1216" s="2">
        <v>25.9</v>
      </c>
      <c r="K1216" s="2">
        <v>66.72</v>
      </c>
      <c r="L1216" t="s">
        <v>15</v>
      </c>
      <c r="M1216" s="2">
        <v>300</v>
      </c>
      <c r="N1216" s="2">
        <v>2</v>
      </c>
      <c r="O1216" s="2">
        <f t="shared" si="116"/>
        <v>150</v>
      </c>
      <c r="P1216" s="2">
        <f t="shared" si="117"/>
        <v>2.2482014388489211</v>
      </c>
      <c r="Q1216" s="3">
        <f t="shared" si="118"/>
        <v>0.22239999999999999</v>
      </c>
    </row>
    <row r="1217" spans="1:17" x14ac:dyDescent="0.25">
      <c r="A1217" t="s">
        <v>1288</v>
      </c>
      <c r="B1217" t="s">
        <v>30</v>
      </c>
      <c r="C1217" t="s">
        <v>81</v>
      </c>
      <c r="D1217" t="str">
        <f t="shared" si="114"/>
        <v>CO</v>
      </c>
      <c r="E1217" t="str">
        <f t="shared" si="115"/>
        <v>West</v>
      </c>
      <c r="F1217" t="s">
        <v>18</v>
      </c>
      <c r="G1217" s="1">
        <v>44941</v>
      </c>
      <c r="H1217" s="1">
        <v>44947</v>
      </c>
      <c r="I1217" s="1">
        <f t="shared" si="113"/>
        <v>44947</v>
      </c>
      <c r="J1217" s="2">
        <v>10.3</v>
      </c>
      <c r="K1217" s="2">
        <v>310.05</v>
      </c>
      <c r="L1217" t="s">
        <v>15</v>
      </c>
      <c r="M1217" s="2">
        <v>2006</v>
      </c>
      <c r="N1217" s="2">
        <v>6</v>
      </c>
      <c r="O1217" s="2">
        <f t="shared" si="116"/>
        <v>334.33333333333331</v>
      </c>
      <c r="P1217" s="2">
        <f t="shared" si="117"/>
        <v>1.0783207009622102</v>
      </c>
      <c r="Q1217" s="3">
        <f t="shared" si="118"/>
        <v>0.15456131605184448</v>
      </c>
    </row>
    <row r="1218" spans="1:17" x14ac:dyDescent="0.25">
      <c r="A1218" t="s">
        <v>1289</v>
      </c>
      <c r="B1218" t="s">
        <v>30</v>
      </c>
      <c r="C1218" t="s">
        <v>81</v>
      </c>
      <c r="D1218" t="str">
        <f t="shared" si="114"/>
        <v>CO</v>
      </c>
      <c r="E1218" t="str">
        <f t="shared" si="115"/>
        <v>West</v>
      </c>
      <c r="F1218" t="s">
        <v>42</v>
      </c>
      <c r="G1218" s="1">
        <v>45146</v>
      </c>
      <c r="H1218" s="1">
        <v>45148</v>
      </c>
      <c r="I1218" s="1">
        <f t="shared" ref="I1218:I1281" si="119">IF(H1218="", G1218 + N1218, H1218)</f>
        <v>45148</v>
      </c>
      <c r="J1218" s="2">
        <v>22.8</v>
      </c>
      <c r="K1218" s="2">
        <v>46.91</v>
      </c>
      <c r="L1218" t="s">
        <v>15</v>
      </c>
      <c r="M1218" s="2">
        <v>203</v>
      </c>
      <c r="N1218" s="2">
        <v>2</v>
      </c>
      <c r="O1218" s="2">
        <f t="shared" si="116"/>
        <v>101.5</v>
      </c>
      <c r="P1218" s="2">
        <f t="shared" si="117"/>
        <v>2.1637177574078024</v>
      </c>
      <c r="Q1218" s="3">
        <f t="shared" si="118"/>
        <v>0.23108374384236452</v>
      </c>
    </row>
    <row r="1219" spans="1:17" hidden="1" x14ac:dyDescent="0.25">
      <c r="A1219" t="s">
        <v>1290</v>
      </c>
      <c r="B1219" t="s">
        <v>56</v>
      </c>
      <c r="C1219" t="s">
        <v>21</v>
      </c>
      <c r="D1219" t="str">
        <f t="shared" si="114"/>
        <v>TX</v>
      </c>
      <c r="E1219" t="str">
        <f t="shared" si="115"/>
        <v>Southwest</v>
      </c>
      <c r="F1219" t="s">
        <v>18</v>
      </c>
      <c r="G1219" s="1">
        <v>44946</v>
      </c>
      <c r="H1219" s="1">
        <v>44948</v>
      </c>
      <c r="I1219" s="1">
        <f t="shared" si="119"/>
        <v>44948</v>
      </c>
      <c r="J1219" s="2">
        <v>10.199999999999999</v>
      </c>
      <c r="K1219" s="2">
        <v>112.82</v>
      </c>
      <c r="L1219" t="s">
        <v>15</v>
      </c>
      <c r="M1219" s="2">
        <v>751</v>
      </c>
      <c r="N1219" s="2">
        <v>2</v>
      </c>
      <c r="O1219" s="2">
        <f t="shared" si="116"/>
        <v>375.5</v>
      </c>
      <c r="P1219" s="2">
        <f t="shared" si="117"/>
        <v>3.328310583229924</v>
      </c>
      <c r="Q1219" s="3">
        <f t="shared" si="118"/>
        <v>0.15022636484687082</v>
      </c>
    </row>
    <row r="1220" spans="1:17" x14ac:dyDescent="0.25">
      <c r="A1220" t="s">
        <v>1291</v>
      </c>
      <c r="B1220" t="s">
        <v>39</v>
      </c>
      <c r="C1220" t="s">
        <v>24</v>
      </c>
      <c r="D1220" t="str">
        <f t="shared" si="114"/>
        <v>WA</v>
      </c>
      <c r="E1220" t="str">
        <f t="shared" si="115"/>
        <v>West</v>
      </c>
      <c r="F1220" t="s">
        <v>18</v>
      </c>
      <c r="G1220" s="1">
        <v>45068</v>
      </c>
      <c r="H1220" s="1">
        <v>45073</v>
      </c>
      <c r="I1220" s="1">
        <f t="shared" si="119"/>
        <v>45073</v>
      </c>
      <c r="J1220" s="2">
        <v>37.4</v>
      </c>
      <c r="K1220" s="2">
        <v>350.17</v>
      </c>
      <c r="L1220" t="s">
        <v>62</v>
      </c>
      <c r="M1220" s="2">
        <v>2290</v>
      </c>
      <c r="N1220" s="2">
        <v>5</v>
      </c>
      <c r="O1220" s="2">
        <f t="shared" si="116"/>
        <v>458</v>
      </c>
      <c r="P1220" s="2">
        <f t="shared" si="117"/>
        <v>1.3079361453008538</v>
      </c>
      <c r="Q1220" s="3">
        <f t="shared" si="118"/>
        <v>0.15291266375545853</v>
      </c>
    </row>
    <row r="1221" spans="1:17" hidden="1" x14ac:dyDescent="0.25">
      <c r="A1221" t="s">
        <v>1292</v>
      </c>
      <c r="B1221" t="s">
        <v>27</v>
      </c>
      <c r="C1221" t="s">
        <v>57</v>
      </c>
      <c r="D1221" t="str">
        <f t="shared" si="114"/>
        <v>MN</v>
      </c>
      <c r="E1221" t="str">
        <f t="shared" si="115"/>
        <v>Midwest</v>
      </c>
      <c r="F1221" t="s">
        <v>18</v>
      </c>
      <c r="G1221" s="1">
        <v>45200</v>
      </c>
      <c r="H1221" s="1">
        <v>45202</v>
      </c>
      <c r="I1221" s="1">
        <f t="shared" si="119"/>
        <v>45202</v>
      </c>
      <c r="J1221" s="2">
        <v>13.8</v>
      </c>
      <c r="K1221" s="2">
        <v>60.56</v>
      </c>
      <c r="L1221" t="s">
        <v>15</v>
      </c>
      <c r="M1221" s="2">
        <v>261</v>
      </c>
      <c r="N1221" s="2">
        <v>2</v>
      </c>
      <c r="O1221" s="2">
        <f t="shared" si="116"/>
        <v>130.5</v>
      </c>
      <c r="P1221" s="2">
        <f t="shared" si="117"/>
        <v>2.1548877146631438</v>
      </c>
      <c r="Q1221" s="3">
        <f t="shared" si="118"/>
        <v>0.23203065134099618</v>
      </c>
    </row>
    <row r="1222" spans="1:17" x14ac:dyDescent="0.25">
      <c r="A1222" t="s">
        <v>1293</v>
      </c>
      <c r="B1222" t="s">
        <v>12</v>
      </c>
      <c r="C1222" t="s">
        <v>24</v>
      </c>
      <c r="D1222" t="str">
        <f t="shared" si="114"/>
        <v>WA</v>
      </c>
      <c r="E1222" t="str">
        <f t="shared" si="115"/>
        <v>West</v>
      </c>
      <c r="F1222" t="s">
        <v>14</v>
      </c>
      <c r="G1222" s="1">
        <v>45180</v>
      </c>
      <c r="H1222" s="1">
        <v>45185</v>
      </c>
      <c r="I1222" s="1">
        <f t="shared" si="119"/>
        <v>45185</v>
      </c>
      <c r="J1222" s="2">
        <v>45.4</v>
      </c>
      <c r="K1222" s="2">
        <v>270.54000000000002</v>
      </c>
      <c r="L1222" t="s">
        <v>15</v>
      </c>
      <c r="M1222" s="2">
        <v>1794</v>
      </c>
      <c r="N1222" s="2">
        <v>5</v>
      </c>
      <c r="O1222" s="2">
        <f t="shared" si="116"/>
        <v>358.8</v>
      </c>
      <c r="P1222" s="2">
        <f t="shared" si="117"/>
        <v>1.3262364160567752</v>
      </c>
      <c r="Q1222" s="3">
        <f t="shared" si="118"/>
        <v>0.15080267558528429</v>
      </c>
    </row>
    <row r="1223" spans="1:17" hidden="1" x14ac:dyDescent="0.25">
      <c r="A1223" t="s">
        <v>1294</v>
      </c>
      <c r="B1223" t="s">
        <v>51</v>
      </c>
      <c r="C1223" t="s">
        <v>44</v>
      </c>
      <c r="D1223" t="str">
        <f t="shared" si="114"/>
        <v>IL</v>
      </c>
      <c r="E1223" t="str">
        <f t="shared" si="115"/>
        <v>Midwest</v>
      </c>
      <c r="F1223" t="s">
        <v>25</v>
      </c>
      <c r="G1223" s="1">
        <v>44973</v>
      </c>
      <c r="H1223" s="1">
        <v>44975</v>
      </c>
      <c r="I1223" s="1">
        <f t="shared" si="119"/>
        <v>44975</v>
      </c>
      <c r="J1223" s="2">
        <v>10.8</v>
      </c>
      <c r="K1223" s="2">
        <v>105.44</v>
      </c>
      <c r="L1223" t="s">
        <v>15</v>
      </c>
      <c r="M1223" s="2">
        <v>790</v>
      </c>
      <c r="N1223" s="2">
        <v>2</v>
      </c>
      <c r="O1223" s="2">
        <f t="shared" si="116"/>
        <v>395</v>
      </c>
      <c r="P1223" s="2">
        <f t="shared" si="117"/>
        <v>3.7462063732928681</v>
      </c>
      <c r="Q1223" s="3">
        <f t="shared" si="118"/>
        <v>0.13346835443037974</v>
      </c>
    </row>
    <row r="1224" spans="1:17" hidden="1" x14ac:dyDescent="0.25">
      <c r="A1224" t="s">
        <v>1295</v>
      </c>
      <c r="B1224" t="s">
        <v>35</v>
      </c>
      <c r="C1224" t="s">
        <v>21</v>
      </c>
      <c r="D1224" t="str">
        <f t="shared" si="114"/>
        <v>TX</v>
      </c>
      <c r="E1224" t="str">
        <f t="shared" si="115"/>
        <v>Southwest</v>
      </c>
      <c r="F1224" t="s">
        <v>18</v>
      </c>
      <c r="G1224" s="1">
        <v>45106</v>
      </c>
      <c r="H1224" s="1">
        <v>45111</v>
      </c>
      <c r="I1224" s="1">
        <f t="shared" si="119"/>
        <v>45111</v>
      </c>
      <c r="J1224" s="2">
        <v>47.3</v>
      </c>
      <c r="K1224" s="2">
        <v>347.27</v>
      </c>
      <c r="L1224" t="s">
        <v>15</v>
      </c>
      <c r="M1224" s="2">
        <v>2055</v>
      </c>
      <c r="N1224" s="2">
        <v>5</v>
      </c>
      <c r="O1224" s="2">
        <f t="shared" si="116"/>
        <v>411</v>
      </c>
      <c r="P1224" s="2">
        <f t="shared" si="117"/>
        <v>1.1835171480404296</v>
      </c>
      <c r="Q1224" s="3">
        <f t="shared" si="118"/>
        <v>0.16898783454987834</v>
      </c>
    </row>
    <row r="1225" spans="1:17" x14ac:dyDescent="0.25">
      <c r="A1225" t="s">
        <v>1296</v>
      </c>
      <c r="B1225" t="s">
        <v>49</v>
      </c>
      <c r="C1225" t="s">
        <v>81</v>
      </c>
      <c r="D1225" t="str">
        <f t="shared" si="114"/>
        <v>CO</v>
      </c>
      <c r="E1225" t="str">
        <f t="shared" si="115"/>
        <v>West</v>
      </c>
      <c r="F1225" t="s">
        <v>18</v>
      </c>
      <c r="G1225" s="1">
        <v>45179</v>
      </c>
      <c r="H1225" s="1">
        <v>45186</v>
      </c>
      <c r="I1225" s="1">
        <f t="shared" si="119"/>
        <v>45186</v>
      </c>
      <c r="J1225" s="2">
        <v>58</v>
      </c>
      <c r="K1225" s="2">
        <v>389.41</v>
      </c>
      <c r="L1225" t="s">
        <v>47</v>
      </c>
      <c r="M1225" s="2">
        <v>2199</v>
      </c>
      <c r="N1225" s="2">
        <v>6</v>
      </c>
      <c r="O1225" s="2">
        <f t="shared" si="116"/>
        <v>366.5</v>
      </c>
      <c r="P1225" s="2">
        <f t="shared" si="117"/>
        <v>0.94116740710305324</v>
      </c>
      <c r="Q1225" s="3">
        <f t="shared" si="118"/>
        <v>0.17708503865393363</v>
      </c>
    </row>
    <row r="1226" spans="1:17" hidden="1" x14ac:dyDescent="0.25">
      <c r="A1226" t="s">
        <v>1297</v>
      </c>
      <c r="B1226" t="s">
        <v>27</v>
      </c>
      <c r="C1226" t="s">
        <v>57</v>
      </c>
      <c r="D1226" t="str">
        <f t="shared" si="114"/>
        <v>MN</v>
      </c>
      <c r="E1226" t="str">
        <f t="shared" si="115"/>
        <v>Midwest</v>
      </c>
      <c r="F1226" t="s">
        <v>32</v>
      </c>
      <c r="G1226" s="1">
        <v>44983</v>
      </c>
      <c r="H1226" s="1">
        <v>44986</v>
      </c>
      <c r="I1226" s="1">
        <f t="shared" si="119"/>
        <v>44986</v>
      </c>
      <c r="J1226" s="2">
        <v>21.4</v>
      </c>
      <c r="K1226" s="2">
        <v>136.38999999999999</v>
      </c>
      <c r="L1226" t="s">
        <v>62</v>
      </c>
      <c r="M1226" s="2">
        <v>799</v>
      </c>
      <c r="N1226" s="2">
        <v>3</v>
      </c>
      <c r="O1226" s="2">
        <f t="shared" si="116"/>
        <v>266.33333333333331</v>
      </c>
      <c r="P1226" s="2">
        <f t="shared" si="117"/>
        <v>1.9527335826184715</v>
      </c>
      <c r="Q1226" s="3">
        <f t="shared" si="118"/>
        <v>0.17070087609511889</v>
      </c>
    </row>
    <row r="1227" spans="1:17" x14ac:dyDescent="0.25">
      <c r="A1227" t="s">
        <v>1298</v>
      </c>
      <c r="B1227" t="s">
        <v>20</v>
      </c>
      <c r="C1227" t="s">
        <v>36</v>
      </c>
      <c r="D1227" t="str">
        <f t="shared" si="114"/>
        <v>OR</v>
      </c>
      <c r="E1227" t="str">
        <f t="shared" si="115"/>
        <v>West</v>
      </c>
      <c r="F1227" t="s">
        <v>42</v>
      </c>
      <c r="G1227" s="1">
        <v>44953</v>
      </c>
      <c r="H1227" s="1">
        <v>44954</v>
      </c>
      <c r="I1227" s="1">
        <f t="shared" si="119"/>
        <v>44954</v>
      </c>
      <c r="J1227" s="2">
        <v>15.8</v>
      </c>
      <c r="K1227" s="2">
        <v>48.13</v>
      </c>
      <c r="L1227" t="s">
        <v>15</v>
      </c>
      <c r="M1227" s="2">
        <v>250</v>
      </c>
      <c r="N1227" s="2">
        <v>1</v>
      </c>
      <c r="O1227" s="2">
        <f t="shared" si="116"/>
        <v>250</v>
      </c>
      <c r="P1227" s="2">
        <f t="shared" si="117"/>
        <v>5.1942655308539374</v>
      </c>
      <c r="Q1227" s="3">
        <f t="shared" si="118"/>
        <v>0.19252</v>
      </c>
    </row>
    <row r="1228" spans="1:17" hidden="1" x14ac:dyDescent="0.25">
      <c r="A1228" t="s">
        <v>1299</v>
      </c>
      <c r="B1228" t="s">
        <v>23</v>
      </c>
      <c r="C1228" t="s">
        <v>21</v>
      </c>
      <c r="D1228" t="str">
        <f t="shared" si="114"/>
        <v>TX</v>
      </c>
      <c r="E1228" t="str">
        <f t="shared" si="115"/>
        <v>Southwest</v>
      </c>
      <c r="F1228" t="s">
        <v>18</v>
      </c>
      <c r="G1228" s="1">
        <v>45118</v>
      </c>
      <c r="H1228" s="1">
        <v>45123</v>
      </c>
      <c r="I1228" s="1">
        <f t="shared" si="119"/>
        <v>45123</v>
      </c>
      <c r="J1228" s="2">
        <v>10.8</v>
      </c>
      <c r="K1228" s="2">
        <v>224.13</v>
      </c>
      <c r="L1228" t="s">
        <v>15</v>
      </c>
      <c r="M1228" s="2">
        <v>1409</v>
      </c>
      <c r="N1228" s="2">
        <v>5</v>
      </c>
      <c r="O1228" s="2">
        <f t="shared" si="116"/>
        <v>281.8</v>
      </c>
      <c r="P1228" s="2">
        <f t="shared" si="117"/>
        <v>1.2573060277517514</v>
      </c>
      <c r="Q1228" s="3">
        <f t="shared" si="118"/>
        <v>0.15907026259758694</v>
      </c>
    </row>
    <row r="1229" spans="1:17" hidden="1" x14ac:dyDescent="0.25">
      <c r="A1229" t="s">
        <v>1300</v>
      </c>
      <c r="B1229" t="s">
        <v>27</v>
      </c>
      <c r="C1229" t="s">
        <v>17</v>
      </c>
      <c r="D1229" t="str">
        <f t="shared" si="114"/>
        <v>GA</v>
      </c>
      <c r="E1229" t="str">
        <f t="shared" si="115"/>
        <v>Southeast</v>
      </c>
      <c r="F1229" t="s">
        <v>37</v>
      </c>
      <c r="G1229" s="1">
        <v>45050</v>
      </c>
      <c r="H1229" s="1">
        <v>45058</v>
      </c>
      <c r="I1229" s="1">
        <f t="shared" si="119"/>
        <v>45058</v>
      </c>
      <c r="J1229" s="2">
        <v>40.5</v>
      </c>
      <c r="K1229" s="2">
        <v>236.11</v>
      </c>
      <c r="L1229" t="s">
        <v>47</v>
      </c>
      <c r="M1229" s="2">
        <v>1756</v>
      </c>
      <c r="N1229" s="2">
        <v>4</v>
      </c>
      <c r="O1229" s="2">
        <f t="shared" si="116"/>
        <v>439</v>
      </c>
      <c r="P1229" s="2">
        <f t="shared" si="117"/>
        <v>1.8593028673076109</v>
      </c>
      <c r="Q1229" s="3">
        <f t="shared" si="118"/>
        <v>0.13445899772209569</v>
      </c>
    </row>
    <row r="1230" spans="1:17" x14ac:dyDescent="0.25">
      <c r="A1230" t="s">
        <v>1301</v>
      </c>
      <c r="B1230" t="s">
        <v>35</v>
      </c>
      <c r="C1230" t="s">
        <v>36</v>
      </c>
      <c r="D1230" t="str">
        <f t="shared" si="114"/>
        <v>OR</v>
      </c>
      <c r="E1230" t="str">
        <f t="shared" si="115"/>
        <v>West</v>
      </c>
      <c r="F1230" t="s">
        <v>59</v>
      </c>
      <c r="G1230" s="1">
        <v>45074</v>
      </c>
      <c r="H1230" s="1">
        <v>45078</v>
      </c>
      <c r="I1230" s="1">
        <f t="shared" si="119"/>
        <v>45078</v>
      </c>
      <c r="J1230" s="2">
        <v>9.9</v>
      </c>
      <c r="K1230" s="2">
        <v>150.46</v>
      </c>
      <c r="L1230" t="s">
        <v>15</v>
      </c>
      <c r="M1230" s="2">
        <v>1129</v>
      </c>
      <c r="N1230" s="2">
        <v>4</v>
      </c>
      <c r="O1230" s="2">
        <f t="shared" si="116"/>
        <v>282.25</v>
      </c>
      <c r="P1230" s="2">
        <f t="shared" si="117"/>
        <v>1.87591386414994</v>
      </c>
      <c r="Q1230" s="3">
        <f t="shared" si="118"/>
        <v>0.13326837909654562</v>
      </c>
    </row>
    <row r="1231" spans="1:17" hidden="1" x14ac:dyDescent="0.25">
      <c r="A1231" t="s">
        <v>1302</v>
      </c>
      <c r="B1231" t="s">
        <v>39</v>
      </c>
      <c r="C1231" t="s">
        <v>17</v>
      </c>
      <c r="D1231" t="str">
        <f t="shared" si="114"/>
        <v>GA</v>
      </c>
      <c r="E1231" t="str">
        <f t="shared" si="115"/>
        <v>Southeast</v>
      </c>
      <c r="F1231" t="s">
        <v>42</v>
      </c>
      <c r="G1231" s="1">
        <v>45198</v>
      </c>
      <c r="H1231" s="1">
        <v>45203</v>
      </c>
      <c r="I1231" s="1">
        <f t="shared" si="119"/>
        <v>45203</v>
      </c>
      <c r="J1231" s="2">
        <v>44.4</v>
      </c>
      <c r="K1231" s="2">
        <v>152.04</v>
      </c>
      <c r="L1231" t="s">
        <v>15</v>
      </c>
      <c r="M1231" s="2">
        <v>800</v>
      </c>
      <c r="N1231" s="2">
        <v>5</v>
      </c>
      <c r="O1231" s="2">
        <f t="shared" si="116"/>
        <v>160</v>
      </c>
      <c r="P1231" s="2">
        <f t="shared" si="117"/>
        <v>1.0523546435148645</v>
      </c>
      <c r="Q1231" s="3">
        <f t="shared" si="118"/>
        <v>0.19005</v>
      </c>
    </row>
    <row r="1232" spans="1:17" hidden="1" x14ac:dyDescent="0.25">
      <c r="A1232" t="s">
        <v>1303</v>
      </c>
      <c r="B1232" t="s">
        <v>51</v>
      </c>
      <c r="C1232" t="s">
        <v>31</v>
      </c>
      <c r="D1232" t="str">
        <f t="shared" si="114"/>
        <v>NY</v>
      </c>
      <c r="E1232" t="str">
        <f t="shared" si="115"/>
        <v>Northeast</v>
      </c>
      <c r="F1232" t="s">
        <v>14</v>
      </c>
      <c r="G1232" s="1">
        <v>45228</v>
      </c>
      <c r="H1232" s="1">
        <v>45231</v>
      </c>
      <c r="I1232" s="1">
        <f t="shared" si="119"/>
        <v>45231</v>
      </c>
      <c r="J1232" s="2">
        <v>15.5</v>
      </c>
      <c r="K1232" s="2">
        <v>159.84</v>
      </c>
      <c r="L1232" t="s">
        <v>15</v>
      </c>
      <c r="M1232" s="2">
        <v>1090</v>
      </c>
      <c r="N1232" s="2">
        <v>3</v>
      </c>
      <c r="O1232" s="2">
        <f t="shared" si="116"/>
        <v>363.33333333333331</v>
      </c>
      <c r="P1232" s="2">
        <f t="shared" si="117"/>
        <v>2.2731064397731062</v>
      </c>
      <c r="Q1232" s="3">
        <f t="shared" si="118"/>
        <v>0.1466422018348624</v>
      </c>
    </row>
    <row r="1233" spans="1:17" hidden="1" x14ac:dyDescent="0.25">
      <c r="A1233" t="s">
        <v>1304</v>
      </c>
      <c r="B1233" t="s">
        <v>51</v>
      </c>
      <c r="C1233" t="s">
        <v>44</v>
      </c>
      <c r="D1233" t="str">
        <f t="shared" si="114"/>
        <v>IL</v>
      </c>
      <c r="E1233" t="str">
        <f t="shared" si="115"/>
        <v>Midwest</v>
      </c>
      <c r="F1233" t="s">
        <v>25</v>
      </c>
      <c r="G1233" s="1">
        <v>45279</v>
      </c>
      <c r="H1233" s="1">
        <v>45283</v>
      </c>
      <c r="I1233" s="1">
        <f t="shared" si="119"/>
        <v>45283</v>
      </c>
      <c r="J1233" s="2">
        <v>13.5</v>
      </c>
      <c r="K1233" s="2">
        <v>123.13</v>
      </c>
      <c r="L1233" t="s">
        <v>15</v>
      </c>
      <c r="M1233" s="2">
        <v>790</v>
      </c>
      <c r="N1233" s="2">
        <v>4</v>
      </c>
      <c r="O1233" s="2">
        <f t="shared" si="116"/>
        <v>197.5</v>
      </c>
      <c r="P1233" s="2">
        <f t="shared" si="117"/>
        <v>1.6039957768212458</v>
      </c>
      <c r="Q1233" s="3">
        <f t="shared" si="118"/>
        <v>0.15586075949367087</v>
      </c>
    </row>
    <row r="1234" spans="1:17" hidden="1" x14ac:dyDescent="0.25">
      <c r="A1234" t="s">
        <v>1305</v>
      </c>
      <c r="B1234" t="s">
        <v>39</v>
      </c>
      <c r="C1234" t="s">
        <v>57</v>
      </c>
      <c r="D1234" t="str">
        <f t="shared" si="114"/>
        <v>MN</v>
      </c>
      <c r="E1234" t="str">
        <f t="shared" si="115"/>
        <v>Midwest</v>
      </c>
      <c r="F1234" t="s">
        <v>59</v>
      </c>
      <c r="G1234" s="1">
        <v>45212</v>
      </c>
      <c r="I1234" s="1">
        <f t="shared" si="119"/>
        <v>45218</v>
      </c>
      <c r="J1234" s="2">
        <v>6.4</v>
      </c>
      <c r="K1234" s="2">
        <v>191.61</v>
      </c>
      <c r="L1234" t="s">
        <v>15</v>
      </c>
      <c r="M1234" s="2">
        <v>1770</v>
      </c>
      <c r="N1234" s="2">
        <v>6</v>
      </c>
      <c r="O1234" s="2">
        <f t="shared" si="116"/>
        <v>295</v>
      </c>
      <c r="P1234" s="2">
        <f t="shared" si="117"/>
        <v>1.5395856166170867</v>
      </c>
      <c r="Q1234" s="3">
        <f t="shared" si="118"/>
        <v>0.1082542372881356</v>
      </c>
    </row>
    <row r="1235" spans="1:17" hidden="1" x14ac:dyDescent="0.25">
      <c r="A1235" t="s">
        <v>1306</v>
      </c>
      <c r="B1235" t="s">
        <v>35</v>
      </c>
      <c r="C1235" t="s">
        <v>28</v>
      </c>
      <c r="D1235" t="str">
        <f t="shared" si="114"/>
        <v>TX</v>
      </c>
      <c r="E1235" t="str">
        <f t="shared" si="115"/>
        <v>Southwest</v>
      </c>
      <c r="F1235" t="s">
        <v>37</v>
      </c>
      <c r="G1235" s="1">
        <v>45220</v>
      </c>
      <c r="H1235" s="1">
        <v>45225</v>
      </c>
      <c r="I1235" s="1">
        <f t="shared" si="119"/>
        <v>45225</v>
      </c>
      <c r="J1235" s="2">
        <v>14.5</v>
      </c>
      <c r="K1235" s="2">
        <v>202.38</v>
      </c>
      <c r="L1235" t="s">
        <v>15</v>
      </c>
      <c r="M1235" s="2">
        <v>1704</v>
      </c>
      <c r="N1235" s="2">
        <v>5</v>
      </c>
      <c r="O1235" s="2">
        <f t="shared" si="116"/>
        <v>340.8</v>
      </c>
      <c r="P1235" s="2">
        <f t="shared" si="117"/>
        <v>1.6839608656981917</v>
      </c>
      <c r="Q1235" s="3">
        <f t="shared" si="118"/>
        <v>0.11876760563380281</v>
      </c>
    </row>
    <row r="1236" spans="1:17" x14ac:dyDescent="0.25">
      <c r="A1236" t="s">
        <v>1307</v>
      </c>
      <c r="B1236" t="s">
        <v>23</v>
      </c>
      <c r="C1236" t="s">
        <v>70</v>
      </c>
      <c r="D1236" t="str">
        <f t="shared" si="114"/>
        <v>CA</v>
      </c>
      <c r="E1236" t="str">
        <f t="shared" si="115"/>
        <v>West</v>
      </c>
      <c r="F1236" t="s">
        <v>42</v>
      </c>
      <c r="G1236" s="1">
        <v>45037</v>
      </c>
      <c r="H1236" s="1">
        <v>45043</v>
      </c>
      <c r="I1236" s="1">
        <f t="shared" si="119"/>
        <v>45043</v>
      </c>
      <c r="J1236" s="2">
        <v>45.4</v>
      </c>
      <c r="K1236" s="2">
        <v>102.09</v>
      </c>
      <c r="L1236" t="s">
        <v>47</v>
      </c>
      <c r="M1236" s="2">
        <v>473</v>
      </c>
      <c r="N1236" s="2">
        <v>2</v>
      </c>
      <c r="O1236" s="2">
        <f t="shared" si="116"/>
        <v>236.5</v>
      </c>
      <c r="P1236" s="2">
        <f t="shared" si="117"/>
        <v>2.3165834067979234</v>
      </c>
      <c r="Q1236" s="3">
        <f t="shared" si="118"/>
        <v>0.21583509513742072</v>
      </c>
    </row>
    <row r="1237" spans="1:17" hidden="1" x14ac:dyDescent="0.25">
      <c r="A1237" t="s">
        <v>1308</v>
      </c>
      <c r="B1237" t="s">
        <v>12</v>
      </c>
      <c r="C1237" t="s">
        <v>44</v>
      </c>
      <c r="D1237" t="str">
        <f t="shared" si="114"/>
        <v>IL</v>
      </c>
      <c r="E1237" t="str">
        <f t="shared" si="115"/>
        <v>Midwest</v>
      </c>
      <c r="F1237" t="s">
        <v>14</v>
      </c>
      <c r="G1237" s="1">
        <v>44961</v>
      </c>
      <c r="H1237" s="1">
        <v>44964</v>
      </c>
      <c r="I1237" s="1">
        <f t="shared" si="119"/>
        <v>44964</v>
      </c>
      <c r="J1237" s="2">
        <v>13.1</v>
      </c>
      <c r="K1237" s="2">
        <v>195.45</v>
      </c>
      <c r="L1237" t="s">
        <v>15</v>
      </c>
      <c r="M1237" s="2">
        <v>1331</v>
      </c>
      <c r="N1237" s="2">
        <v>3</v>
      </c>
      <c r="O1237" s="2">
        <f t="shared" si="116"/>
        <v>443.66666666666669</v>
      </c>
      <c r="P1237" s="2">
        <f t="shared" si="117"/>
        <v>2.2699752707427305</v>
      </c>
      <c r="Q1237" s="3">
        <f t="shared" si="118"/>
        <v>0.14684447783621338</v>
      </c>
    </row>
    <row r="1238" spans="1:17" x14ac:dyDescent="0.25">
      <c r="A1238" t="s">
        <v>1309</v>
      </c>
      <c r="B1238" t="s">
        <v>51</v>
      </c>
      <c r="C1238" t="s">
        <v>24</v>
      </c>
      <c r="D1238" t="str">
        <f t="shared" si="114"/>
        <v>WA</v>
      </c>
      <c r="E1238" t="str">
        <f t="shared" si="115"/>
        <v>West</v>
      </c>
      <c r="F1238" t="s">
        <v>42</v>
      </c>
      <c r="G1238" s="1">
        <v>44979</v>
      </c>
      <c r="H1238" s="1">
        <v>44982</v>
      </c>
      <c r="I1238" s="1">
        <f t="shared" si="119"/>
        <v>44982</v>
      </c>
      <c r="J1238" s="2">
        <v>25.7</v>
      </c>
      <c r="K1238" s="2">
        <v>159.21</v>
      </c>
      <c r="L1238" t="s">
        <v>15</v>
      </c>
      <c r="M1238" s="2">
        <v>1023</v>
      </c>
      <c r="N1238" s="2">
        <v>3</v>
      </c>
      <c r="O1238" s="2">
        <f t="shared" si="116"/>
        <v>341</v>
      </c>
      <c r="P1238" s="2">
        <f t="shared" si="117"/>
        <v>2.1418252622322718</v>
      </c>
      <c r="Q1238" s="3">
        <f t="shared" si="118"/>
        <v>0.15563049853372435</v>
      </c>
    </row>
    <row r="1239" spans="1:17" x14ac:dyDescent="0.25">
      <c r="A1239" t="s">
        <v>1310</v>
      </c>
      <c r="B1239" t="s">
        <v>20</v>
      </c>
      <c r="C1239" t="s">
        <v>36</v>
      </c>
      <c r="D1239" t="str">
        <f t="shared" si="114"/>
        <v>OR</v>
      </c>
      <c r="E1239" t="str">
        <f t="shared" si="115"/>
        <v>West</v>
      </c>
      <c r="F1239" t="s">
        <v>59</v>
      </c>
      <c r="G1239" s="1">
        <v>45077</v>
      </c>
      <c r="H1239" s="1">
        <v>45080</v>
      </c>
      <c r="I1239" s="1">
        <f t="shared" si="119"/>
        <v>45080</v>
      </c>
      <c r="J1239" s="2">
        <v>70.5</v>
      </c>
      <c r="K1239" s="2">
        <v>159.12</v>
      </c>
      <c r="L1239" t="s">
        <v>15</v>
      </c>
      <c r="M1239" s="2">
        <v>800</v>
      </c>
      <c r="N1239" s="2">
        <v>3</v>
      </c>
      <c r="O1239" s="2">
        <f t="shared" si="116"/>
        <v>266.66666666666669</v>
      </c>
      <c r="P1239" s="2">
        <f t="shared" si="117"/>
        <v>1.6758840288252053</v>
      </c>
      <c r="Q1239" s="3">
        <f t="shared" si="118"/>
        <v>0.19889999999999999</v>
      </c>
    </row>
    <row r="1240" spans="1:17" hidden="1" x14ac:dyDescent="0.25">
      <c r="A1240" t="s">
        <v>1311</v>
      </c>
      <c r="B1240" t="s">
        <v>39</v>
      </c>
      <c r="C1240" t="s">
        <v>40</v>
      </c>
      <c r="D1240" t="str">
        <f t="shared" si="114"/>
        <v>MI</v>
      </c>
      <c r="E1240" t="str">
        <f t="shared" si="115"/>
        <v>Midwest</v>
      </c>
      <c r="F1240" t="s">
        <v>42</v>
      </c>
      <c r="G1240" s="1">
        <v>45172</v>
      </c>
      <c r="H1240" s="1">
        <v>45176</v>
      </c>
      <c r="I1240" s="1">
        <f t="shared" si="119"/>
        <v>45176</v>
      </c>
      <c r="J1240" s="2">
        <v>17</v>
      </c>
      <c r="K1240" s="2">
        <v>257.86</v>
      </c>
      <c r="L1240" t="s">
        <v>15</v>
      </c>
      <c r="M1240" s="2">
        <v>1985</v>
      </c>
      <c r="N1240" s="2">
        <v>4</v>
      </c>
      <c r="O1240" s="2">
        <f t="shared" si="116"/>
        <v>496.25</v>
      </c>
      <c r="P1240" s="2">
        <f t="shared" si="117"/>
        <v>1.9244939114248041</v>
      </c>
      <c r="Q1240" s="3">
        <f t="shared" si="118"/>
        <v>0.12990428211586902</v>
      </c>
    </row>
    <row r="1241" spans="1:17" x14ac:dyDescent="0.25">
      <c r="A1241" t="s">
        <v>1312</v>
      </c>
      <c r="B1241" t="s">
        <v>49</v>
      </c>
      <c r="C1241" t="s">
        <v>36</v>
      </c>
      <c r="D1241" t="str">
        <f t="shared" si="114"/>
        <v>OR</v>
      </c>
      <c r="E1241" t="str">
        <f t="shared" si="115"/>
        <v>West</v>
      </c>
      <c r="F1241" t="s">
        <v>42</v>
      </c>
      <c r="G1241" s="1">
        <v>45147</v>
      </c>
      <c r="H1241" s="1">
        <v>45150</v>
      </c>
      <c r="I1241" s="1">
        <f t="shared" si="119"/>
        <v>45150</v>
      </c>
      <c r="J1241" s="2">
        <v>36.4</v>
      </c>
      <c r="K1241" s="2">
        <v>77.58</v>
      </c>
      <c r="L1241" t="s">
        <v>15</v>
      </c>
      <c r="M1241" s="2">
        <v>243</v>
      </c>
      <c r="N1241" s="2">
        <v>3</v>
      </c>
      <c r="O1241" s="2">
        <f t="shared" si="116"/>
        <v>81</v>
      </c>
      <c r="P1241" s="2">
        <f t="shared" si="117"/>
        <v>1.0440835266821347</v>
      </c>
      <c r="Q1241" s="3">
        <f t="shared" si="118"/>
        <v>0.31925925925925924</v>
      </c>
    </row>
    <row r="1242" spans="1:17" x14ac:dyDescent="0.25">
      <c r="A1242" t="s">
        <v>1313</v>
      </c>
      <c r="B1242" t="s">
        <v>23</v>
      </c>
      <c r="C1242" t="s">
        <v>36</v>
      </c>
      <c r="D1242" t="str">
        <f t="shared" si="114"/>
        <v>OR</v>
      </c>
      <c r="E1242" t="str">
        <f t="shared" si="115"/>
        <v>West</v>
      </c>
      <c r="F1242" t="s">
        <v>14</v>
      </c>
      <c r="G1242" s="1">
        <v>45117</v>
      </c>
      <c r="H1242" s="1">
        <v>45124</v>
      </c>
      <c r="I1242" s="1">
        <f t="shared" si="119"/>
        <v>45124</v>
      </c>
      <c r="J1242" s="2">
        <v>16.399999999999999</v>
      </c>
      <c r="K1242" s="2">
        <v>265.38</v>
      </c>
      <c r="L1242" t="s">
        <v>15</v>
      </c>
      <c r="M1242" s="2">
        <v>1834</v>
      </c>
      <c r="N1242" s="2">
        <v>7</v>
      </c>
      <c r="O1242" s="2">
        <f t="shared" si="116"/>
        <v>262</v>
      </c>
      <c r="P1242" s="2">
        <f t="shared" si="117"/>
        <v>0.9872635466124049</v>
      </c>
      <c r="Q1242" s="3">
        <f t="shared" si="118"/>
        <v>0.14470010905125408</v>
      </c>
    </row>
    <row r="1243" spans="1:17" x14ac:dyDescent="0.25">
      <c r="A1243" t="s">
        <v>1314</v>
      </c>
      <c r="B1243" t="s">
        <v>49</v>
      </c>
      <c r="C1243" t="s">
        <v>36</v>
      </c>
      <c r="D1243" t="str">
        <f t="shared" si="114"/>
        <v>OR</v>
      </c>
      <c r="E1243" t="str">
        <f t="shared" si="115"/>
        <v>West</v>
      </c>
      <c r="F1243" t="s">
        <v>32</v>
      </c>
      <c r="G1243" s="1">
        <v>45164</v>
      </c>
      <c r="H1243" s="1">
        <v>45168</v>
      </c>
      <c r="I1243" s="1">
        <f t="shared" si="119"/>
        <v>45168</v>
      </c>
      <c r="J1243" s="2">
        <v>16.399999999999999</v>
      </c>
      <c r="K1243" s="2">
        <v>240.73</v>
      </c>
      <c r="L1243" t="s">
        <v>15</v>
      </c>
      <c r="M1243" s="2">
        <v>1726</v>
      </c>
      <c r="N1243" s="2">
        <v>4</v>
      </c>
      <c r="O1243" s="2">
        <f t="shared" si="116"/>
        <v>431.5</v>
      </c>
      <c r="P1243" s="2">
        <f t="shared" si="117"/>
        <v>1.7924645868815687</v>
      </c>
      <c r="Q1243" s="3">
        <f t="shared" si="118"/>
        <v>0.13947276940903824</v>
      </c>
    </row>
    <row r="1244" spans="1:17" x14ac:dyDescent="0.25">
      <c r="A1244" t="s">
        <v>1315</v>
      </c>
      <c r="B1244" t="s">
        <v>20</v>
      </c>
      <c r="C1244" t="s">
        <v>36</v>
      </c>
      <c r="D1244" t="str">
        <f t="shared" si="114"/>
        <v>OR</v>
      </c>
      <c r="E1244" t="str">
        <f t="shared" si="115"/>
        <v>West</v>
      </c>
      <c r="F1244" t="s">
        <v>37</v>
      </c>
      <c r="G1244" s="1">
        <v>44957</v>
      </c>
      <c r="H1244" s="1">
        <v>44960</v>
      </c>
      <c r="I1244" s="1">
        <f t="shared" si="119"/>
        <v>44960</v>
      </c>
      <c r="J1244" s="2">
        <v>9.6</v>
      </c>
      <c r="K1244" s="2">
        <v>153.94999999999999</v>
      </c>
      <c r="L1244" t="s">
        <v>15</v>
      </c>
      <c r="M1244" s="2">
        <v>1168</v>
      </c>
      <c r="N1244" s="2">
        <v>3</v>
      </c>
      <c r="O1244" s="2">
        <f t="shared" si="116"/>
        <v>389.33333333333331</v>
      </c>
      <c r="P1244" s="2">
        <f t="shared" si="117"/>
        <v>2.528959618923893</v>
      </c>
      <c r="Q1244" s="3">
        <f t="shared" si="118"/>
        <v>0.13180650684931505</v>
      </c>
    </row>
    <row r="1245" spans="1:17" hidden="1" x14ac:dyDescent="0.25">
      <c r="A1245" t="s">
        <v>1316</v>
      </c>
      <c r="B1245" t="s">
        <v>39</v>
      </c>
      <c r="C1245" t="s">
        <v>21</v>
      </c>
      <c r="D1245" t="str">
        <f t="shared" si="114"/>
        <v>TX</v>
      </c>
      <c r="E1245" t="str">
        <f t="shared" si="115"/>
        <v>Southwest</v>
      </c>
      <c r="F1245" t="s">
        <v>37</v>
      </c>
      <c r="G1245" s="1">
        <v>45102</v>
      </c>
      <c r="H1245" s="1">
        <v>45104</v>
      </c>
      <c r="I1245" s="1">
        <f t="shared" si="119"/>
        <v>45104</v>
      </c>
      <c r="J1245" s="2">
        <v>26.1</v>
      </c>
      <c r="K1245" s="2">
        <v>142.55000000000001</v>
      </c>
      <c r="L1245" t="s">
        <v>15</v>
      </c>
      <c r="M1245" s="2">
        <v>880</v>
      </c>
      <c r="N1245" s="2">
        <v>2</v>
      </c>
      <c r="O1245" s="2">
        <f t="shared" si="116"/>
        <v>440</v>
      </c>
      <c r="P1245" s="2">
        <f t="shared" si="117"/>
        <v>3.0866362679761483</v>
      </c>
      <c r="Q1245" s="3">
        <f t="shared" si="118"/>
        <v>0.16198863636363639</v>
      </c>
    </row>
    <row r="1246" spans="1:17" hidden="1" x14ac:dyDescent="0.25">
      <c r="A1246" t="s">
        <v>1317</v>
      </c>
      <c r="B1246" t="s">
        <v>35</v>
      </c>
      <c r="C1246" t="s">
        <v>57</v>
      </c>
      <c r="D1246" t="str">
        <f t="shared" si="114"/>
        <v>MN</v>
      </c>
      <c r="E1246" t="str">
        <f t="shared" si="115"/>
        <v>Midwest</v>
      </c>
      <c r="F1246" t="s">
        <v>25</v>
      </c>
      <c r="G1246" s="1">
        <v>44967</v>
      </c>
      <c r="H1246" s="1">
        <v>44969</v>
      </c>
      <c r="I1246" s="1">
        <f t="shared" si="119"/>
        <v>44969</v>
      </c>
      <c r="J1246" s="2">
        <v>21.6</v>
      </c>
      <c r="K1246" s="2">
        <v>60.18</v>
      </c>
      <c r="L1246" t="s">
        <v>15</v>
      </c>
      <c r="M1246" s="2">
        <v>267</v>
      </c>
      <c r="N1246" s="2">
        <v>2</v>
      </c>
      <c r="O1246" s="2">
        <f t="shared" si="116"/>
        <v>133.5</v>
      </c>
      <c r="P1246" s="2">
        <f t="shared" si="117"/>
        <v>2.218344965104686</v>
      </c>
      <c r="Q1246" s="3">
        <f t="shared" si="118"/>
        <v>0.22539325842696628</v>
      </c>
    </row>
    <row r="1247" spans="1:17" hidden="1" x14ac:dyDescent="0.25">
      <c r="A1247" t="s">
        <v>1318</v>
      </c>
      <c r="B1247" t="s">
        <v>35</v>
      </c>
      <c r="C1247" t="s">
        <v>46</v>
      </c>
      <c r="D1247" t="str">
        <f t="shared" si="114"/>
        <v>MA</v>
      </c>
      <c r="E1247" t="str">
        <f t="shared" si="115"/>
        <v>Northeast</v>
      </c>
      <c r="F1247" t="s">
        <v>42</v>
      </c>
      <c r="G1247" s="1">
        <v>45111</v>
      </c>
      <c r="H1247" s="1">
        <v>45114</v>
      </c>
      <c r="I1247" s="1">
        <f t="shared" si="119"/>
        <v>45114</v>
      </c>
      <c r="J1247" s="2">
        <v>19.3</v>
      </c>
      <c r="K1247" s="2">
        <v>163.72999999999999</v>
      </c>
      <c r="L1247" t="s">
        <v>15</v>
      </c>
      <c r="M1247" s="2">
        <v>1097</v>
      </c>
      <c r="N1247" s="2">
        <v>3</v>
      </c>
      <c r="O1247" s="2">
        <f t="shared" si="116"/>
        <v>365.66666666666669</v>
      </c>
      <c r="P1247" s="2">
        <f t="shared" si="117"/>
        <v>2.233351656181926</v>
      </c>
      <c r="Q1247" s="3">
        <f t="shared" si="118"/>
        <v>0.1492525068368277</v>
      </c>
    </row>
    <row r="1248" spans="1:17" hidden="1" x14ac:dyDescent="0.25">
      <c r="A1248" t="s">
        <v>1319</v>
      </c>
      <c r="B1248" t="s">
        <v>23</v>
      </c>
      <c r="C1248" t="s">
        <v>40</v>
      </c>
      <c r="D1248" t="str">
        <f t="shared" si="114"/>
        <v>MI</v>
      </c>
      <c r="E1248" t="str">
        <f t="shared" si="115"/>
        <v>Midwest</v>
      </c>
      <c r="F1248" t="s">
        <v>14</v>
      </c>
      <c r="G1248" s="1">
        <v>45085</v>
      </c>
      <c r="H1248" s="1">
        <v>45087</v>
      </c>
      <c r="I1248" s="1">
        <f t="shared" si="119"/>
        <v>45087</v>
      </c>
      <c r="J1248" s="2">
        <v>10.5</v>
      </c>
      <c r="K1248" s="2">
        <v>56.72</v>
      </c>
      <c r="L1248" t="s">
        <v>15</v>
      </c>
      <c r="M1248" s="2">
        <v>329</v>
      </c>
      <c r="N1248" s="2">
        <v>2</v>
      </c>
      <c r="O1248" s="2">
        <f t="shared" si="116"/>
        <v>164.5</v>
      </c>
      <c r="P1248" s="2">
        <f t="shared" si="117"/>
        <v>2.9002115655853316</v>
      </c>
      <c r="Q1248" s="3">
        <f t="shared" si="118"/>
        <v>0.17240121580547113</v>
      </c>
    </row>
    <row r="1249" spans="1:17" x14ac:dyDescent="0.25">
      <c r="A1249" t="s">
        <v>1320</v>
      </c>
      <c r="B1249" t="s">
        <v>30</v>
      </c>
      <c r="C1249" t="s">
        <v>24</v>
      </c>
      <c r="D1249" t="str">
        <f t="shared" si="114"/>
        <v>WA</v>
      </c>
      <c r="E1249" t="str">
        <f t="shared" si="115"/>
        <v>West</v>
      </c>
      <c r="F1249" t="s">
        <v>32</v>
      </c>
      <c r="G1249" s="1">
        <v>45262</v>
      </c>
      <c r="H1249" s="1">
        <v>45266</v>
      </c>
      <c r="I1249" s="1">
        <f t="shared" si="119"/>
        <v>45266</v>
      </c>
      <c r="J1249" s="2">
        <v>30.9</v>
      </c>
      <c r="K1249" s="2">
        <v>196.94</v>
      </c>
      <c r="L1249" t="s">
        <v>15</v>
      </c>
      <c r="M1249" s="2">
        <v>880</v>
      </c>
      <c r="N1249" s="2">
        <v>4</v>
      </c>
      <c r="O1249" s="2">
        <f t="shared" si="116"/>
        <v>220</v>
      </c>
      <c r="P1249" s="2">
        <f t="shared" si="117"/>
        <v>1.1170914999492232</v>
      </c>
      <c r="Q1249" s="3">
        <f t="shared" si="118"/>
        <v>0.22379545454545455</v>
      </c>
    </row>
    <row r="1250" spans="1:17" x14ac:dyDescent="0.25">
      <c r="A1250" t="s">
        <v>1321</v>
      </c>
      <c r="B1250" t="s">
        <v>39</v>
      </c>
      <c r="C1250" t="s">
        <v>70</v>
      </c>
      <c r="D1250" t="str">
        <f t="shared" si="114"/>
        <v>CA</v>
      </c>
      <c r="E1250" t="str">
        <f t="shared" si="115"/>
        <v>West</v>
      </c>
      <c r="F1250" t="s">
        <v>42</v>
      </c>
      <c r="G1250" s="1">
        <v>44943</v>
      </c>
      <c r="H1250" s="1">
        <v>44946</v>
      </c>
      <c r="I1250" s="1">
        <f t="shared" si="119"/>
        <v>44946</v>
      </c>
      <c r="J1250" s="2">
        <v>12</v>
      </c>
      <c r="K1250" s="2">
        <v>59.08</v>
      </c>
      <c r="L1250" t="s">
        <v>62</v>
      </c>
      <c r="M1250" s="2">
        <v>376</v>
      </c>
      <c r="N1250" s="2">
        <v>3</v>
      </c>
      <c r="O1250" s="2">
        <f t="shared" si="116"/>
        <v>125.33333333333333</v>
      </c>
      <c r="P1250" s="2">
        <f t="shared" si="117"/>
        <v>2.1214172872940646</v>
      </c>
      <c r="Q1250" s="3">
        <f t="shared" si="118"/>
        <v>0.15712765957446809</v>
      </c>
    </row>
    <row r="1251" spans="1:17" hidden="1" x14ac:dyDescent="0.25">
      <c r="A1251" t="s">
        <v>1322</v>
      </c>
      <c r="B1251" t="s">
        <v>39</v>
      </c>
      <c r="C1251" t="s">
        <v>40</v>
      </c>
      <c r="D1251" t="str">
        <f t="shared" si="114"/>
        <v>MI</v>
      </c>
      <c r="E1251" t="str">
        <f t="shared" si="115"/>
        <v>Midwest</v>
      </c>
      <c r="F1251" t="s">
        <v>32</v>
      </c>
      <c r="G1251" s="1">
        <v>45271</v>
      </c>
      <c r="H1251" s="1">
        <v>45279</v>
      </c>
      <c r="I1251" s="1">
        <f t="shared" si="119"/>
        <v>45279</v>
      </c>
      <c r="J1251" s="2">
        <v>13.7</v>
      </c>
      <c r="K1251" s="2">
        <v>383.07</v>
      </c>
      <c r="L1251" t="s">
        <v>15</v>
      </c>
      <c r="M1251" s="2">
        <v>2205</v>
      </c>
      <c r="N1251" s="2">
        <v>8</v>
      </c>
      <c r="O1251" s="2">
        <f t="shared" si="116"/>
        <v>275.625</v>
      </c>
      <c r="P1251" s="2">
        <f t="shared" si="117"/>
        <v>0.71951601534967502</v>
      </c>
      <c r="Q1251" s="3">
        <f t="shared" si="118"/>
        <v>0.17372789115646259</v>
      </c>
    </row>
    <row r="1252" spans="1:17" hidden="1" x14ac:dyDescent="0.25">
      <c r="A1252" t="s">
        <v>1323</v>
      </c>
      <c r="B1252" t="s">
        <v>20</v>
      </c>
      <c r="C1252" t="s">
        <v>44</v>
      </c>
      <c r="D1252" t="str">
        <f t="shared" si="114"/>
        <v>IL</v>
      </c>
      <c r="E1252" t="str">
        <f t="shared" si="115"/>
        <v>Midwest</v>
      </c>
      <c r="F1252" t="s">
        <v>32</v>
      </c>
      <c r="G1252" s="1">
        <v>44934</v>
      </c>
      <c r="H1252" s="1">
        <v>44936</v>
      </c>
      <c r="I1252" s="1">
        <f t="shared" si="119"/>
        <v>44936</v>
      </c>
      <c r="J1252" s="2">
        <v>48.3</v>
      </c>
      <c r="K1252" s="2">
        <v>146.26</v>
      </c>
      <c r="L1252" t="s">
        <v>62</v>
      </c>
      <c r="M1252" s="2">
        <v>545</v>
      </c>
      <c r="N1252" s="2">
        <v>2</v>
      </c>
      <c r="O1252" s="2">
        <f t="shared" si="116"/>
        <v>272.5</v>
      </c>
      <c r="P1252" s="2">
        <f t="shared" si="117"/>
        <v>1.8631204703951867</v>
      </c>
      <c r="Q1252" s="3">
        <f t="shared" si="118"/>
        <v>0.2683669724770642</v>
      </c>
    </row>
    <row r="1253" spans="1:17" hidden="1" x14ac:dyDescent="0.25">
      <c r="A1253" t="s">
        <v>1324</v>
      </c>
      <c r="B1253" t="s">
        <v>35</v>
      </c>
      <c r="C1253" t="s">
        <v>46</v>
      </c>
      <c r="D1253" t="str">
        <f t="shared" si="114"/>
        <v>MA</v>
      </c>
      <c r="E1253" t="str">
        <f t="shared" si="115"/>
        <v>Northeast</v>
      </c>
      <c r="F1253" t="s">
        <v>37</v>
      </c>
      <c r="G1253" s="1">
        <v>45180</v>
      </c>
      <c r="H1253" s="1">
        <v>45191</v>
      </c>
      <c r="I1253" s="1">
        <f t="shared" si="119"/>
        <v>45191</v>
      </c>
      <c r="J1253" s="2">
        <v>63.6</v>
      </c>
      <c r="K1253" s="2">
        <v>171.47</v>
      </c>
      <c r="L1253" t="s">
        <v>47</v>
      </c>
      <c r="M1253" s="2">
        <v>737</v>
      </c>
      <c r="N1253" s="2">
        <v>2</v>
      </c>
      <c r="O1253" s="2">
        <f t="shared" si="116"/>
        <v>368.5</v>
      </c>
      <c r="P1253" s="2">
        <f t="shared" si="117"/>
        <v>2.1490639762057504</v>
      </c>
      <c r="Q1253" s="3">
        <f t="shared" si="118"/>
        <v>0.23265943012211668</v>
      </c>
    </row>
    <row r="1254" spans="1:17" hidden="1" x14ac:dyDescent="0.25">
      <c r="A1254" t="s">
        <v>1325</v>
      </c>
      <c r="B1254" t="s">
        <v>20</v>
      </c>
      <c r="C1254" t="s">
        <v>57</v>
      </c>
      <c r="D1254" t="str">
        <f t="shared" si="114"/>
        <v>MN</v>
      </c>
      <c r="E1254" t="str">
        <f t="shared" si="115"/>
        <v>Midwest</v>
      </c>
      <c r="F1254" t="s">
        <v>59</v>
      </c>
      <c r="G1254" s="1">
        <v>45062</v>
      </c>
      <c r="H1254" s="1">
        <v>45069</v>
      </c>
      <c r="I1254" s="1">
        <f t="shared" si="119"/>
        <v>45069</v>
      </c>
      <c r="J1254" s="2">
        <v>24</v>
      </c>
      <c r="K1254" s="2">
        <v>307.61</v>
      </c>
      <c r="L1254" t="s">
        <v>15</v>
      </c>
      <c r="M1254" s="2">
        <v>2479</v>
      </c>
      <c r="N1254" s="2">
        <v>7</v>
      </c>
      <c r="O1254" s="2">
        <f t="shared" si="116"/>
        <v>354.14285714285717</v>
      </c>
      <c r="P1254" s="2">
        <f t="shared" si="117"/>
        <v>1.1512722510414393</v>
      </c>
      <c r="Q1254" s="3">
        <f t="shared" si="118"/>
        <v>0.12408632513110125</v>
      </c>
    </row>
    <row r="1255" spans="1:17" hidden="1" x14ac:dyDescent="0.25">
      <c r="A1255" t="s">
        <v>1326</v>
      </c>
      <c r="B1255" t="s">
        <v>20</v>
      </c>
      <c r="C1255" t="s">
        <v>28</v>
      </c>
      <c r="D1255" t="str">
        <f t="shared" si="114"/>
        <v>TX</v>
      </c>
      <c r="E1255" t="str">
        <f t="shared" si="115"/>
        <v>Southwest</v>
      </c>
      <c r="F1255" t="s">
        <v>42</v>
      </c>
      <c r="G1255" s="1">
        <v>45233</v>
      </c>
      <c r="H1255" s="1">
        <v>45238</v>
      </c>
      <c r="I1255" s="1">
        <f t="shared" si="119"/>
        <v>45238</v>
      </c>
      <c r="J1255" s="2">
        <v>35.700000000000003</v>
      </c>
      <c r="K1255" s="2">
        <v>268.47000000000003</v>
      </c>
      <c r="L1255" t="s">
        <v>15</v>
      </c>
      <c r="M1255" s="2">
        <v>1435</v>
      </c>
      <c r="N1255" s="2">
        <v>5</v>
      </c>
      <c r="O1255" s="2">
        <f t="shared" si="116"/>
        <v>287</v>
      </c>
      <c r="P1255" s="2">
        <f t="shared" si="117"/>
        <v>1.0690207471970796</v>
      </c>
      <c r="Q1255" s="3">
        <f t="shared" si="118"/>
        <v>0.1870871080139373</v>
      </c>
    </row>
    <row r="1256" spans="1:17" hidden="1" x14ac:dyDescent="0.25">
      <c r="A1256" t="s">
        <v>1327</v>
      </c>
      <c r="B1256" t="s">
        <v>39</v>
      </c>
      <c r="C1256" t="s">
        <v>40</v>
      </c>
      <c r="D1256" t="str">
        <f t="shared" si="114"/>
        <v>MI</v>
      </c>
      <c r="E1256" t="str">
        <f t="shared" si="115"/>
        <v>Midwest</v>
      </c>
      <c r="F1256" t="s">
        <v>14</v>
      </c>
      <c r="G1256" s="1">
        <v>45130</v>
      </c>
      <c r="H1256" s="1">
        <v>45134</v>
      </c>
      <c r="I1256" s="1">
        <f t="shared" si="119"/>
        <v>45134</v>
      </c>
      <c r="J1256" s="2">
        <v>33.4</v>
      </c>
      <c r="K1256" s="2">
        <v>131.33000000000001</v>
      </c>
      <c r="L1256" t="s">
        <v>15</v>
      </c>
      <c r="M1256" s="2">
        <v>662</v>
      </c>
      <c r="N1256" s="2">
        <v>4</v>
      </c>
      <c r="O1256" s="2">
        <f t="shared" si="116"/>
        <v>165.5</v>
      </c>
      <c r="P1256" s="2">
        <f t="shared" si="117"/>
        <v>1.2601842686362597</v>
      </c>
      <c r="Q1256" s="3">
        <f t="shared" si="118"/>
        <v>0.19838368580060425</v>
      </c>
    </row>
    <row r="1257" spans="1:17" x14ac:dyDescent="0.25">
      <c r="A1257" t="s">
        <v>1328</v>
      </c>
      <c r="B1257" t="s">
        <v>39</v>
      </c>
      <c r="C1257" t="s">
        <v>36</v>
      </c>
      <c r="D1257" t="str">
        <f t="shared" si="114"/>
        <v>OR</v>
      </c>
      <c r="E1257" t="str">
        <f t="shared" si="115"/>
        <v>West</v>
      </c>
      <c r="F1257" t="s">
        <v>59</v>
      </c>
      <c r="G1257" s="1">
        <v>45255</v>
      </c>
      <c r="H1257" s="1">
        <v>45263</v>
      </c>
      <c r="I1257" s="1">
        <f t="shared" si="119"/>
        <v>45263</v>
      </c>
      <c r="J1257" s="2">
        <v>110.7</v>
      </c>
      <c r="K1257" s="2">
        <v>429.91</v>
      </c>
      <c r="L1257" t="s">
        <v>67</v>
      </c>
      <c r="M1257" s="2">
        <v>1985</v>
      </c>
      <c r="N1257" s="2">
        <v>8</v>
      </c>
      <c r="O1257" s="2">
        <f t="shared" si="116"/>
        <v>248.125</v>
      </c>
      <c r="P1257" s="2">
        <f t="shared" si="117"/>
        <v>0.57715568374776116</v>
      </c>
      <c r="Q1257" s="3">
        <f t="shared" si="118"/>
        <v>0.21657934508816123</v>
      </c>
    </row>
    <row r="1258" spans="1:17" hidden="1" x14ac:dyDescent="0.25">
      <c r="A1258" t="s">
        <v>1329</v>
      </c>
      <c r="B1258" t="s">
        <v>51</v>
      </c>
      <c r="C1258" t="s">
        <v>40</v>
      </c>
      <c r="D1258" t="str">
        <f t="shared" ref="D1258:D1321" si="120">IF(C1258="Atlanta","GA",
IF(C1258="Boston","MA",
IF(C1258="Chicago","IL",
IF(C1258="Dallas","TX",
IF(C1258="Denver","CO",
IF(C1258="Detroit","MI",
IF(C1258="Houston","TX",
IF(C1258="Los Angeles","CA",
IF(C1258="Miami","FL",
IF(C1258="Minneapolis","MN",
IF(C1258="New York","NY",
IF(C1258="Phoenix","AZ",
IF(C1258="Portland","OR",
IF(C1258="San Francisco","CA",
IF(C1258="Seattle","WA","Unknown")))))))))))))))</f>
        <v>MI</v>
      </c>
      <c r="E1258" t="str">
        <f t="shared" ref="E1258:E1321" si="121">IF(OR(D1258="NY",D1258="NJ",D1258="PA",D1258="MA",D1258="CT",D1258="RI",D1258="VT",D1258="NH",D1258="ME"),"Northeast",
IF(OR(D1258="FL",D1258="GA",D1258="AL",D1258="MS",D1258="SC",D1258="NC",D1258="TN",D1258="KY"),"Southeast",
IF(OR(D1258="IL",D1258="IN",D1258="OH",D1258="MI",D1258="WI",D1258="MN",D1258="IA",D1258="MO",D1258="KS",D1258="NE",D1258="ND",D1258="SD"),"Midwest",
IF(OR(D1258="TX",D1258="OK",D1258="NM",D1258="AZ"),"Southwest",
IF(OR(D1258="CA",D1258="OR",D1258="WA",D1258="NV",D1258="CO",D1258="UT",D1258="ID",D1258="MT",D1258="WY",D1258="AK",D1258="HI"),"West","Other")))))</f>
        <v>Midwest</v>
      </c>
      <c r="F1258" t="s">
        <v>25</v>
      </c>
      <c r="G1258" s="1">
        <v>45191</v>
      </c>
      <c r="H1258" s="1">
        <v>45211</v>
      </c>
      <c r="I1258" s="1">
        <f t="shared" si="119"/>
        <v>45211</v>
      </c>
      <c r="J1258" s="2">
        <v>22.5</v>
      </c>
      <c r="K1258" s="2">
        <v>304.33999999999997</v>
      </c>
      <c r="L1258" t="s">
        <v>47</v>
      </c>
      <c r="M1258" s="2">
        <v>2161</v>
      </c>
      <c r="N1258" s="2">
        <v>7</v>
      </c>
      <c r="O1258" s="2">
        <f t="shared" ref="O1258:O1321" si="122">M1258/N1258</f>
        <v>308.71428571428572</v>
      </c>
      <c r="P1258" s="2">
        <f t="shared" ref="P1258:P1321" si="123">O1258/K1258</f>
        <v>1.0143730226532357</v>
      </c>
      <c r="Q1258" s="3">
        <f t="shared" ref="Q1258:Q1321" si="124">K1258/M1258</f>
        <v>0.14083294770939378</v>
      </c>
    </row>
    <row r="1259" spans="1:17" hidden="1" x14ac:dyDescent="0.25">
      <c r="A1259" t="s">
        <v>1330</v>
      </c>
      <c r="B1259" t="s">
        <v>30</v>
      </c>
      <c r="C1259" t="s">
        <v>54</v>
      </c>
      <c r="D1259" t="str">
        <f t="shared" si="120"/>
        <v>FL</v>
      </c>
      <c r="E1259" t="str">
        <f t="shared" si="121"/>
        <v>Southeast</v>
      </c>
      <c r="F1259" t="s">
        <v>59</v>
      </c>
      <c r="G1259" s="1">
        <v>45210</v>
      </c>
      <c r="H1259" s="1">
        <v>45180</v>
      </c>
      <c r="I1259" s="1">
        <f t="shared" si="119"/>
        <v>45180</v>
      </c>
      <c r="J1259" s="2">
        <v>3.3</v>
      </c>
      <c r="K1259" s="2">
        <v>80</v>
      </c>
      <c r="L1259" t="s">
        <v>15</v>
      </c>
      <c r="M1259" s="2">
        <v>677</v>
      </c>
      <c r="N1259" s="2">
        <v>4</v>
      </c>
      <c r="O1259" s="2">
        <f t="shared" si="122"/>
        <v>169.25</v>
      </c>
      <c r="P1259" s="2">
        <f t="shared" si="123"/>
        <v>2.1156250000000001</v>
      </c>
      <c r="Q1259" s="3">
        <f t="shared" si="124"/>
        <v>0.11816838995568685</v>
      </c>
    </row>
    <row r="1260" spans="1:17" hidden="1" x14ac:dyDescent="0.25">
      <c r="A1260" t="s">
        <v>1331</v>
      </c>
      <c r="B1260" t="s">
        <v>30</v>
      </c>
      <c r="C1260" t="s">
        <v>57</v>
      </c>
      <c r="D1260" t="str">
        <f t="shared" si="120"/>
        <v>MN</v>
      </c>
      <c r="E1260" t="str">
        <f t="shared" si="121"/>
        <v>Midwest</v>
      </c>
      <c r="F1260" t="s">
        <v>32</v>
      </c>
      <c r="G1260" s="1">
        <v>44956</v>
      </c>
      <c r="H1260" s="1">
        <v>44960</v>
      </c>
      <c r="I1260" s="1">
        <f t="shared" si="119"/>
        <v>44960</v>
      </c>
      <c r="J1260" s="2">
        <v>40.1</v>
      </c>
      <c r="K1260" s="2">
        <v>122.44</v>
      </c>
      <c r="L1260" t="s">
        <v>15</v>
      </c>
      <c r="M1260" s="2">
        <v>454</v>
      </c>
      <c r="N1260" s="2">
        <v>4</v>
      </c>
      <c r="O1260" s="2">
        <f t="shared" si="122"/>
        <v>113.5</v>
      </c>
      <c r="P1260" s="2">
        <f t="shared" si="123"/>
        <v>0.92698464554067295</v>
      </c>
      <c r="Q1260" s="3">
        <f t="shared" si="124"/>
        <v>0.26969162995594714</v>
      </c>
    </row>
    <row r="1261" spans="1:17" hidden="1" x14ac:dyDescent="0.25">
      <c r="A1261" t="s">
        <v>1332</v>
      </c>
      <c r="B1261" t="s">
        <v>39</v>
      </c>
      <c r="C1261" t="s">
        <v>52</v>
      </c>
      <c r="D1261" t="str">
        <f t="shared" si="120"/>
        <v>AZ</v>
      </c>
      <c r="E1261" t="str">
        <f t="shared" si="121"/>
        <v>Southwest</v>
      </c>
      <c r="F1261" t="s">
        <v>25</v>
      </c>
      <c r="G1261" s="1">
        <v>45236</v>
      </c>
      <c r="H1261" s="1">
        <v>45240</v>
      </c>
      <c r="I1261" s="1">
        <f t="shared" si="119"/>
        <v>45240</v>
      </c>
      <c r="J1261" s="2">
        <v>13.6</v>
      </c>
      <c r="K1261" s="2">
        <v>233.78</v>
      </c>
      <c r="L1261" t="s">
        <v>15</v>
      </c>
      <c r="M1261" s="2">
        <v>1402</v>
      </c>
      <c r="N1261" s="2">
        <v>4</v>
      </c>
      <c r="O1261" s="2">
        <f t="shared" si="122"/>
        <v>350.5</v>
      </c>
      <c r="P1261" s="2">
        <f t="shared" si="123"/>
        <v>1.4992728206005645</v>
      </c>
      <c r="Q1261" s="3">
        <f t="shared" si="124"/>
        <v>0.1667475035663338</v>
      </c>
    </row>
    <row r="1262" spans="1:17" hidden="1" x14ac:dyDescent="0.25">
      <c r="A1262" t="s">
        <v>1333</v>
      </c>
      <c r="B1262" t="s">
        <v>27</v>
      </c>
      <c r="C1262" t="s">
        <v>54</v>
      </c>
      <c r="D1262" t="str">
        <f t="shared" si="120"/>
        <v>FL</v>
      </c>
      <c r="E1262" t="str">
        <f t="shared" si="121"/>
        <v>Southeast</v>
      </c>
      <c r="F1262" t="s">
        <v>18</v>
      </c>
      <c r="G1262" s="1">
        <v>45133</v>
      </c>
      <c r="H1262" s="1">
        <v>45136</v>
      </c>
      <c r="I1262" s="1">
        <f t="shared" si="119"/>
        <v>45136</v>
      </c>
      <c r="J1262" s="2">
        <v>24.5</v>
      </c>
      <c r="K1262" s="2">
        <v>70.28</v>
      </c>
      <c r="L1262" t="s">
        <v>15</v>
      </c>
      <c r="M1262" s="2">
        <v>244</v>
      </c>
      <c r="N1262" s="2">
        <v>3</v>
      </c>
      <c r="O1262" s="2">
        <f t="shared" si="122"/>
        <v>81.333333333333329</v>
      </c>
      <c r="P1262" s="2">
        <f t="shared" si="123"/>
        <v>1.1572756592676912</v>
      </c>
      <c r="Q1262" s="3">
        <f t="shared" si="124"/>
        <v>0.28803278688524592</v>
      </c>
    </row>
    <row r="1263" spans="1:17" hidden="1" x14ac:dyDescent="0.25">
      <c r="A1263" t="s">
        <v>1334</v>
      </c>
      <c r="B1263" t="s">
        <v>20</v>
      </c>
      <c r="C1263" t="s">
        <v>44</v>
      </c>
      <c r="D1263" t="str">
        <f t="shared" si="120"/>
        <v>IL</v>
      </c>
      <c r="E1263" t="str">
        <f t="shared" si="121"/>
        <v>Midwest</v>
      </c>
      <c r="F1263" t="s">
        <v>25</v>
      </c>
      <c r="G1263" s="1">
        <v>45169</v>
      </c>
      <c r="H1263" s="1">
        <v>45172</v>
      </c>
      <c r="I1263" s="1">
        <f t="shared" si="119"/>
        <v>45172</v>
      </c>
      <c r="J1263" s="2">
        <v>23.1</v>
      </c>
      <c r="K1263" s="2">
        <v>157.08000000000001</v>
      </c>
      <c r="L1263" t="s">
        <v>15</v>
      </c>
      <c r="M1263" s="2">
        <v>1139</v>
      </c>
      <c r="N1263" s="2">
        <v>3</v>
      </c>
      <c r="O1263" s="2">
        <f t="shared" si="122"/>
        <v>379.66666666666669</v>
      </c>
      <c r="P1263" s="2">
        <f t="shared" si="123"/>
        <v>2.4170274170274171</v>
      </c>
      <c r="Q1263" s="3">
        <f t="shared" si="124"/>
        <v>0.13791044776119404</v>
      </c>
    </row>
    <row r="1264" spans="1:17" x14ac:dyDescent="0.25">
      <c r="A1264" t="s">
        <v>1335</v>
      </c>
      <c r="B1264" t="s">
        <v>39</v>
      </c>
      <c r="C1264" t="s">
        <v>13</v>
      </c>
      <c r="D1264" t="str">
        <f t="shared" si="120"/>
        <v>CA</v>
      </c>
      <c r="E1264" t="str">
        <f t="shared" si="121"/>
        <v>West</v>
      </c>
      <c r="F1264" t="s">
        <v>42</v>
      </c>
      <c r="G1264" s="1">
        <v>45112</v>
      </c>
      <c r="H1264" s="1">
        <v>45113</v>
      </c>
      <c r="I1264" s="1">
        <f t="shared" si="119"/>
        <v>45113</v>
      </c>
      <c r="J1264" s="2">
        <v>56.4</v>
      </c>
      <c r="K1264" s="2">
        <v>141.61000000000001</v>
      </c>
      <c r="L1264" t="s">
        <v>15</v>
      </c>
      <c r="M1264" s="2">
        <v>531</v>
      </c>
      <c r="N1264" s="2">
        <v>1</v>
      </c>
      <c r="O1264" s="2">
        <f t="shared" si="122"/>
        <v>531</v>
      </c>
      <c r="P1264" s="2">
        <f t="shared" si="123"/>
        <v>3.7497351881929237</v>
      </c>
      <c r="Q1264" s="3">
        <f t="shared" si="124"/>
        <v>0.26668549905838046</v>
      </c>
    </row>
    <row r="1265" spans="1:17" hidden="1" x14ac:dyDescent="0.25">
      <c r="A1265" t="s">
        <v>1336</v>
      </c>
      <c r="B1265" t="s">
        <v>30</v>
      </c>
      <c r="C1265" t="s">
        <v>17</v>
      </c>
      <c r="D1265" t="str">
        <f t="shared" si="120"/>
        <v>GA</v>
      </c>
      <c r="E1265" t="str">
        <f t="shared" si="121"/>
        <v>Southeast</v>
      </c>
      <c r="F1265" t="s">
        <v>14</v>
      </c>
      <c r="G1265" s="1">
        <v>44990</v>
      </c>
      <c r="H1265" s="1">
        <v>44993</v>
      </c>
      <c r="I1265" s="1">
        <f t="shared" si="119"/>
        <v>44993</v>
      </c>
      <c r="J1265" s="2">
        <v>29.4</v>
      </c>
      <c r="K1265" s="2">
        <v>124.1</v>
      </c>
      <c r="L1265" t="s">
        <v>15</v>
      </c>
      <c r="M1265" s="2">
        <v>796</v>
      </c>
      <c r="N1265" s="2">
        <v>3</v>
      </c>
      <c r="O1265" s="2">
        <f t="shared" si="122"/>
        <v>265.33333333333331</v>
      </c>
      <c r="P1265" s="2">
        <f t="shared" si="123"/>
        <v>2.1380607037335482</v>
      </c>
      <c r="Q1265" s="3">
        <f t="shared" si="124"/>
        <v>0.15590452261306531</v>
      </c>
    </row>
    <row r="1266" spans="1:17" hidden="1" x14ac:dyDescent="0.25">
      <c r="A1266" t="s">
        <v>1337</v>
      </c>
      <c r="B1266" t="s">
        <v>27</v>
      </c>
      <c r="C1266" t="s">
        <v>44</v>
      </c>
      <c r="D1266" t="str">
        <f t="shared" si="120"/>
        <v>IL</v>
      </c>
      <c r="E1266" t="str">
        <f t="shared" si="121"/>
        <v>Midwest</v>
      </c>
      <c r="F1266" t="s">
        <v>42</v>
      </c>
      <c r="G1266" s="1">
        <v>45233</v>
      </c>
      <c r="H1266" s="1">
        <v>45234</v>
      </c>
      <c r="I1266" s="1">
        <f t="shared" si="119"/>
        <v>45234</v>
      </c>
      <c r="J1266" s="2">
        <v>10.3</v>
      </c>
      <c r="K1266" s="2">
        <v>40.65</v>
      </c>
      <c r="L1266" t="s">
        <v>60</v>
      </c>
      <c r="M1266" s="2">
        <v>188</v>
      </c>
      <c r="N1266" s="2">
        <v>1</v>
      </c>
      <c r="O1266" s="2">
        <f t="shared" si="122"/>
        <v>188</v>
      </c>
      <c r="P1266" s="2">
        <f t="shared" si="123"/>
        <v>4.624846248462485</v>
      </c>
      <c r="Q1266" s="3">
        <f t="shared" si="124"/>
        <v>0.21622340425531913</v>
      </c>
    </row>
    <row r="1267" spans="1:17" x14ac:dyDescent="0.25">
      <c r="A1267" t="s">
        <v>1338</v>
      </c>
      <c r="B1267" t="s">
        <v>35</v>
      </c>
      <c r="C1267" t="s">
        <v>81</v>
      </c>
      <c r="D1267" t="str">
        <f t="shared" si="120"/>
        <v>CO</v>
      </c>
      <c r="E1267" t="str">
        <f t="shared" si="121"/>
        <v>West</v>
      </c>
      <c r="F1267" t="s">
        <v>32</v>
      </c>
      <c r="G1267" s="1">
        <v>44991</v>
      </c>
      <c r="H1267" s="1">
        <v>44994</v>
      </c>
      <c r="I1267" s="1">
        <f t="shared" si="119"/>
        <v>44994</v>
      </c>
      <c r="J1267" s="2">
        <v>10.9</v>
      </c>
      <c r="K1267" s="2">
        <v>138.79</v>
      </c>
      <c r="L1267" t="s">
        <v>15</v>
      </c>
      <c r="M1267" s="2">
        <v>1000</v>
      </c>
      <c r="N1267" s="2">
        <v>3</v>
      </c>
      <c r="O1267" s="2">
        <f t="shared" si="122"/>
        <v>333.33333333333331</v>
      </c>
      <c r="P1267" s="2">
        <f t="shared" si="123"/>
        <v>2.401710017532483</v>
      </c>
      <c r="Q1267" s="3">
        <f t="shared" si="124"/>
        <v>0.13879</v>
      </c>
    </row>
    <row r="1268" spans="1:17" hidden="1" x14ac:dyDescent="0.25">
      <c r="A1268" t="s">
        <v>1339</v>
      </c>
      <c r="B1268" t="s">
        <v>12</v>
      </c>
      <c r="C1268" t="s">
        <v>57</v>
      </c>
      <c r="D1268" t="str">
        <f t="shared" si="120"/>
        <v>MN</v>
      </c>
      <c r="E1268" t="str">
        <f t="shared" si="121"/>
        <v>Midwest</v>
      </c>
      <c r="F1268" t="s">
        <v>37</v>
      </c>
      <c r="G1268" s="1">
        <v>45050</v>
      </c>
      <c r="H1268" s="1">
        <v>45055</v>
      </c>
      <c r="I1268" s="1">
        <f t="shared" si="119"/>
        <v>45055</v>
      </c>
      <c r="J1268" s="2">
        <v>42.1</v>
      </c>
      <c r="K1268" s="2">
        <v>344.29</v>
      </c>
      <c r="L1268" t="s">
        <v>67</v>
      </c>
      <c r="M1268" s="2">
        <v>2219</v>
      </c>
      <c r="N1268" s="2">
        <v>5</v>
      </c>
      <c r="O1268" s="2">
        <f t="shared" si="122"/>
        <v>443.8</v>
      </c>
      <c r="P1268" s="2">
        <f t="shared" si="123"/>
        <v>1.2890295971419443</v>
      </c>
      <c r="Q1268" s="3">
        <f t="shared" si="124"/>
        <v>0.15515547543938712</v>
      </c>
    </row>
    <row r="1269" spans="1:17" hidden="1" x14ac:dyDescent="0.25">
      <c r="A1269" t="s">
        <v>1340</v>
      </c>
      <c r="B1269" t="s">
        <v>35</v>
      </c>
      <c r="C1269" t="s">
        <v>57</v>
      </c>
      <c r="D1269" t="str">
        <f t="shared" si="120"/>
        <v>MN</v>
      </c>
      <c r="E1269" t="str">
        <f t="shared" si="121"/>
        <v>Midwest</v>
      </c>
      <c r="F1269" t="s">
        <v>32</v>
      </c>
      <c r="G1269" s="1">
        <v>45237</v>
      </c>
      <c r="H1269" s="1">
        <v>45207</v>
      </c>
      <c r="I1269" s="1">
        <f t="shared" si="119"/>
        <v>45207</v>
      </c>
      <c r="J1269" s="2">
        <v>53</v>
      </c>
      <c r="K1269" s="2">
        <v>355.09</v>
      </c>
      <c r="L1269" t="s">
        <v>47</v>
      </c>
      <c r="M1269" s="2">
        <v>1709</v>
      </c>
      <c r="N1269" s="2">
        <v>4</v>
      </c>
      <c r="O1269" s="2">
        <f t="shared" si="122"/>
        <v>427.25</v>
      </c>
      <c r="P1269" s="2">
        <f t="shared" si="123"/>
        <v>1.2032160860626884</v>
      </c>
      <c r="Q1269" s="3">
        <f t="shared" si="124"/>
        <v>0.20777647747220596</v>
      </c>
    </row>
    <row r="1270" spans="1:17" hidden="1" x14ac:dyDescent="0.25">
      <c r="A1270" t="s">
        <v>1341</v>
      </c>
      <c r="B1270" t="s">
        <v>30</v>
      </c>
      <c r="C1270" t="s">
        <v>28</v>
      </c>
      <c r="D1270" t="str">
        <f t="shared" si="120"/>
        <v>TX</v>
      </c>
      <c r="E1270" t="str">
        <f t="shared" si="121"/>
        <v>Southwest</v>
      </c>
      <c r="F1270" t="s">
        <v>59</v>
      </c>
      <c r="G1270" s="1">
        <v>44939</v>
      </c>
      <c r="H1270" s="1">
        <v>44944</v>
      </c>
      <c r="I1270" s="1">
        <f t="shared" si="119"/>
        <v>44944</v>
      </c>
      <c r="J1270" s="2">
        <v>25.4</v>
      </c>
      <c r="K1270" s="2">
        <v>245.02</v>
      </c>
      <c r="L1270" t="s">
        <v>15</v>
      </c>
      <c r="M1270" s="2">
        <v>2110</v>
      </c>
      <c r="N1270" s="2">
        <v>5</v>
      </c>
      <c r="O1270" s="2">
        <f t="shared" si="122"/>
        <v>422</v>
      </c>
      <c r="P1270" s="2">
        <f t="shared" si="123"/>
        <v>1.7223083829891437</v>
      </c>
      <c r="Q1270" s="3">
        <f t="shared" si="124"/>
        <v>0.11612322274881517</v>
      </c>
    </row>
    <row r="1271" spans="1:17" hidden="1" x14ac:dyDescent="0.25">
      <c r="A1271" t="s">
        <v>1342</v>
      </c>
      <c r="B1271" t="s">
        <v>35</v>
      </c>
      <c r="C1271" t="s">
        <v>57</v>
      </c>
      <c r="D1271" t="str">
        <f t="shared" si="120"/>
        <v>MN</v>
      </c>
      <c r="E1271" t="str">
        <f t="shared" si="121"/>
        <v>Midwest</v>
      </c>
      <c r="F1271" t="s">
        <v>42</v>
      </c>
      <c r="G1271" s="1">
        <v>44927</v>
      </c>
      <c r="H1271" s="1">
        <v>44929</v>
      </c>
      <c r="I1271" s="1">
        <f t="shared" si="119"/>
        <v>44929</v>
      </c>
      <c r="J1271" s="2">
        <v>19.7</v>
      </c>
      <c r="K1271" s="2">
        <v>106.66</v>
      </c>
      <c r="L1271" t="s">
        <v>15</v>
      </c>
      <c r="M1271" s="2">
        <v>784</v>
      </c>
      <c r="N1271" s="2">
        <v>2</v>
      </c>
      <c r="O1271" s="2">
        <f t="shared" si="122"/>
        <v>392</v>
      </c>
      <c r="P1271" s="2">
        <f t="shared" si="123"/>
        <v>3.6752297018563662</v>
      </c>
      <c r="Q1271" s="3">
        <f t="shared" si="124"/>
        <v>0.13604591836734695</v>
      </c>
    </row>
    <row r="1272" spans="1:17" hidden="1" x14ac:dyDescent="0.25">
      <c r="A1272" t="s">
        <v>1343</v>
      </c>
      <c r="B1272" t="s">
        <v>30</v>
      </c>
      <c r="C1272" t="s">
        <v>21</v>
      </c>
      <c r="D1272" t="str">
        <f t="shared" si="120"/>
        <v>TX</v>
      </c>
      <c r="E1272" t="str">
        <f t="shared" si="121"/>
        <v>Southwest</v>
      </c>
      <c r="F1272" t="s">
        <v>59</v>
      </c>
      <c r="G1272" s="1">
        <v>44928</v>
      </c>
      <c r="H1272" s="1">
        <v>44931</v>
      </c>
      <c r="I1272" s="1">
        <f t="shared" si="119"/>
        <v>44931</v>
      </c>
      <c r="J1272" s="2">
        <v>31.8</v>
      </c>
      <c r="K1272" s="2">
        <v>134.96</v>
      </c>
      <c r="L1272" t="s">
        <v>15</v>
      </c>
      <c r="M1272" s="2">
        <v>786</v>
      </c>
      <c r="N1272" s="2">
        <v>3</v>
      </c>
      <c r="O1272" s="2">
        <f t="shared" si="122"/>
        <v>262</v>
      </c>
      <c r="P1272" s="2">
        <f t="shared" si="123"/>
        <v>1.941315945465323</v>
      </c>
      <c r="Q1272" s="3">
        <f t="shared" si="124"/>
        <v>0.17170483460559796</v>
      </c>
    </row>
    <row r="1273" spans="1:17" hidden="1" x14ac:dyDescent="0.25">
      <c r="A1273" t="s">
        <v>1344</v>
      </c>
      <c r="B1273" t="s">
        <v>39</v>
      </c>
      <c r="C1273" t="s">
        <v>28</v>
      </c>
      <c r="D1273" t="str">
        <f t="shared" si="120"/>
        <v>TX</v>
      </c>
      <c r="E1273" t="str">
        <f t="shared" si="121"/>
        <v>Southwest</v>
      </c>
      <c r="F1273" t="s">
        <v>42</v>
      </c>
      <c r="G1273" s="1">
        <v>45239</v>
      </c>
      <c r="H1273" s="1">
        <v>45242</v>
      </c>
      <c r="I1273" s="1">
        <f t="shared" si="119"/>
        <v>45242</v>
      </c>
      <c r="J1273" s="2">
        <v>22.8</v>
      </c>
      <c r="K1273" s="2">
        <v>260.19</v>
      </c>
      <c r="L1273" t="s">
        <v>15</v>
      </c>
      <c r="M1273" s="2">
        <v>1512</v>
      </c>
      <c r="N1273" s="2">
        <v>3</v>
      </c>
      <c r="O1273" s="2">
        <f t="shared" si="122"/>
        <v>504</v>
      </c>
      <c r="P1273" s="2">
        <f t="shared" si="123"/>
        <v>1.937046004842615</v>
      </c>
      <c r="Q1273" s="3">
        <f t="shared" si="124"/>
        <v>0.17208333333333334</v>
      </c>
    </row>
    <row r="1274" spans="1:17" x14ac:dyDescent="0.25">
      <c r="A1274" t="s">
        <v>1345</v>
      </c>
      <c r="B1274" t="s">
        <v>49</v>
      </c>
      <c r="C1274" t="s">
        <v>36</v>
      </c>
      <c r="D1274" t="str">
        <f t="shared" si="120"/>
        <v>OR</v>
      </c>
      <c r="E1274" t="str">
        <f t="shared" si="121"/>
        <v>West</v>
      </c>
      <c r="F1274" t="s">
        <v>42</v>
      </c>
      <c r="G1274" s="1">
        <v>45162</v>
      </c>
      <c r="H1274" s="1">
        <v>45167</v>
      </c>
      <c r="I1274" s="1">
        <f t="shared" si="119"/>
        <v>45167</v>
      </c>
      <c r="J1274" s="2">
        <v>10.1</v>
      </c>
      <c r="K1274" s="2">
        <v>185.32</v>
      </c>
      <c r="L1274" t="s">
        <v>15</v>
      </c>
      <c r="M1274" s="2">
        <v>1310</v>
      </c>
      <c r="N1274" s="2">
        <v>5</v>
      </c>
      <c r="O1274" s="2">
        <f t="shared" si="122"/>
        <v>262</v>
      </c>
      <c r="P1274" s="2">
        <f t="shared" si="123"/>
        <v>1.4137707748758903</v>
      </c>
      <c r="Q1274" s="3">
        <f t="shared" si="124"/>
        <v>0.14146564885496182</v>
      </c>
    </row>
    <row r="1275" spans="1:17" hidden="1" x14ac:dyDescent="0.25">
      <c r="A1275" t="s">
        <v>1346</v>
      </c>
      <c r="B1275" t="s">
        <v>51</v>
      </c>
      <c r="C1275" t="s">
        <v>40</v>
      </c>
      <c r="D1275" t="str">
        <f t="shared" si="120"/>
        <v>MI</v>
      </c>
      <c r="E1275" t="str">
        <f t="shared" si="121"/>
        <v>Midwest</v>
      </c>
      <c r="F1275" t="s">
        <v>32</v>
      </c>
      <c r="G1275" s="1">
        <v>45085</v>
      </c>
      <c r="H1275" s="1">
        <v>45093</v>
      </c>
      <c r="I1275" s="1">
        <f t="shared" si="119"/>
        <v>45093</v>
      </c>
      <c r="J1275" s="2">
        <v>17.3</v>
      </c>
      <c r="K1275" s="2">
        <v>325.14</v>
      </c>
      <c r="L1275" t="s">
        <v>15</v>
      </c>
      <c r="M1275" s="2">
        <v>2398</v>
      </c>
      <c r="N1275" s="2">
        <v>8</v>
      </c>
      <c r="O1275" s="2">
        <f t="shared" si="122"/>
        <v>299.75</v>
      </c>
      <c r="P1275" s="2">
        <f t="shared" si="123"/>
        <v>0.92191056160423202</v>
      </c>
      <c r="Q1275" s="3">
        <f t="shared" si="124"/>
        <v>0.13558798999165972</v>
      </c>
    </row>
    <row r="1276" spans="1:17" x14ac:dyDescent="0.25">
      <c r="A1276" t="s">
        <v>1347</v>
      </c>
      <c r="B1276" t="s">
        <v>12</v>
      </c>
      <c r="C1276" t="s">
        <v>13</v>
      </c>
      <c r="D1276" t="str">
        <f t="shared" si="120"/>
        <v>CA</v>
      </c>
      <c r="E1276" t="str">
        <f t="shared" si="121"/>
        <v>West</v>
      </c>
      <c r="F1276" t="s">
        <v>37</v>
      </c>
      <c r="G1276" s="1">
        <v>45149</v>
      </c>
      <c r="H1276" s="1">
        <v>45153</v>
      </c>
      <c r="I1276" s="1">
        <f t="shared" si="119"/>
        <v>45153</v>
      </c>
      <c r="J1276" s="2">
        <v>24.5</v>
      </c>
      <c r="K1276" s="2">
        <v>191.05</v>
      </c>
      <c r="L1276" t="s">
        <v>15</v>
      </c>
      <c r="M1276" s="2">
        <v>1373</v>
      </c>
      <c r="N1276" s="2">
        <v>4</v>
      </c>
      <c r="O1276" s="2">
        <f t="shared" si="122"/>
        <v>343.25</v>
      </c>
      <c r="P1276" s="2">
        <f t="shared" si="123"/>
        <v>1.7966500915990578</v>
      </c>
      <c r="Q1276" s="3">
        <f t="shared" si="124"/>
        <v>0.13914785142024763</v>
      </c>
    </row>
    <row r="1277" spans="1:17" hidden="1" x14ac:dyDescent="0.25">
      <c r="A1277" t="s">
        <v>1348</v>
      </c>
      <c r="B1277" t="s">
        <v>12</v>
      </c>
      <c r="C1277" t="s">
        <v>17</v>
      </c>
      <c r="D1277" t="str">
        <f t="shared" si="120"/>
        <v>GA</v>
      </c>
      <c r="E1277" t="str">
        <f t="shared" si="121"/>
        <v>Southeast</v>
      </c>
      <c r="F1277" t="s">
        <v>37</v>
      </c>
      <c r="G1277" s="1">
        <v>45174</v>
      </c>
      <c r="H1277" s="1">
        <v>45178</v>
      </c>
      <c r="I1277" s="1">
        <f t="shared" si="119"/>
        <v>45178</v>
      </c>
      <c r="J1277" s="2">
        <v>6.8</v>
      </c>
      <c r="K1277" s="2">
        <v>141.35</v>
      </c>
      <c r="L1277" t="s">
        <v>15</v>
      </c>
      <c r="M1277" s="2">
        <v>1036</v>
      </c>
      <c r="N1277" s="2">
        <v>4</v>
      </c>
      <c r="O1277" s="2">
        <f t="shared" si="122"/>
        <v>259</v>
      </c>
      <c r="P1277" s="2">
        <f t="shared" si="123"/>
        <v>1.8323310930314822</v>
      </c>
      <c r="Q1277" s="3">
        <f t="shared" si="124"/>
        <v>0.13643822393822394</v>
      </c>
    </row>
    <row r="1278" spans="1:17" x14ac:dyDescent="0.25">
      <c r="A1278" t="s">
        <v>1349</v>
      </c>
      <c r="B1278" t="s">
        <v>12</v>
      </c>
      <c r="C1278" t="s">
        <v>13</v>
      </c>
      <c r="D1278" t="str">
        <f t="shared" si="120"/>
        <v>CA</v>
      </c>
      <c r="E1278" t="str">
        <f t="shared" si="121"/>
        <v>West</v>
      </c>
      <c r="F1278" t="s">
        <v>25</v>
      </c>
      <c r="G1278" s="1">
        <v>45195</v>
      </c>
      <c r="H1278" s="1">
        <v>45199</v>
      </c>
      <c r="I1278" s="1">
        <f t="shared" si="119"/>
        <v>45199</v>
      </c>
      <c r="J1278" s="2">
        <v>40.5</v>
      </c>
      <c r="K1278" s="2">
        <v>147.62</v>
      </c>
      <c r="L1278" t="s">
        <v>15</v>
      </c>
      <c r="M1278" s="2">
        <v>894</v>
      </c>
      <c r="N1278" s="2">
        <v>4</v>
      </c>
      <c r="O1278" s="2">
        <f t="shared" si="122"/>
        <v>223.5</v>
      </c>
      <c r="P1278" s="2">
        <f t="shared" si="123"/>
        <v>1.5140224901774826</v>
      </c>
      <c r="Q1278" s="3">
        <f t="shared" si="124"/>
        <v>0.16512304250559284</v>
      </c>
    </row>
    <row r="1279" spans="1:17" hidden="1" x14ac:dyDescent="0.25">
      <c r="A1279" t="s">
        <v>1350</v>
      </c>
      <c r="B1279" t="s">
        <v>23</v>
      </c>
      <c r="C1279" t="s">
        <v>31</v>
      </c>
      <c r="D1279" t="str">
        <f t="shared" si="120"/>
        <v>NY</v>
      </c>
      <c r="E1279" t="str">
        <f t="shared" si="121"/>
        <v>Northeast</v>
      </c>
      <c r="F1279" t="s">
        <v>18</v>
      </c>
      <c r="G1279" s="1">
        <v>44928</v>
      </c>
      <c r="H1279" s="1">
        <v>44932</v>
      </c>
      <c r="I1279" s="1">
        <f t="shared" si="119"/>
        <v>44932</v>
      </c>
      <c r="J1279" s="2">
        <v>41.8</v>
      </c>
      <c r="K1279" s="2">
        <v>254.48</v>
      </c>
      <c r="L1279" t="s">
        <v>15</v>
      </c>
      <c r="M1279" s="2">
        <v>1261</v>
      </c>
      <c r="N1279" s="2">
        <v>4</v>
      </c>
      <c r="O1279" s="2">
        <f t="shared" si="122"/>
        <v>315.25</v>
      </c>
      <c r="P1279" s="2">
        <f t="shared" si="123"/>
        <v>1.2388006916064132</v>
      </c>
      <c r="Q1279" s="3">
        <f t="shared" si="124"/>
        <v>0.2018080888183981</v>
      </c>
    </row>
    <row r="1280" spans="1:17" hidden="1" x14ac:dyDescent="0.25">
      <c r="A1280" t="s">
        <v>1351</v>
      </c>
      <c r="B1280" t="s">
        <v>23</v>
      </c>
      <c r="C1280" t="s">
        <v>57</v>
      </c>
      <c r="D1280" t="str">
        <f t="shared" si="120"/>
        <v>MN</v>
      </c>
      <c r="E1280" t="str">
        <f t="shared" si="121"/>
        <v>Midwest</v>
      </c>
      <c r="F1280" t="s">
        <v>42</v>
      </c>
      <c r="G1280" s="1">
        <v>45139</v>
      </c>
      <c r="H1280" s="1">
        <v>45141</v>
      </c>
      <c r="I1280" s="1">
        <f t="shared" si="119"/>
        <v>45141</v>
      </c>
      <c r="J1280" s="2">
        <v>78.900000000000006</v>
      </c>
      <c r="K1280" s="2">
        <v>171.25</v>
      </c>
      <c r="L1280" t="s">
        <v>15</v>
      </c>
      <c r="M1280" s="2">
        <v>729</v>
      </c>
      <c r="N1280" s="2">
        <v>2</v>
      </c>
      <c r="O1280" s="2">
        <f t="shared" si="122"/>
        <v>364.5</v>
      </c>
      <c r="P1280" s="2">
        <f t="shared" si="123"/>
        <v>2.1284671532846717</v>
      </c>
      <c r="Q1280" s="3">
        <f t="shared" si="124"/>
        <v>0.23491083676268862</v>
      </c>
    </row>
    <row r="1281" spans="1:17" hidden="1" x14ac:dyDescent="0.25">
      <c r="A1281" t="s">
        <v>1352</v>
      </c>
      <c r="B1281" t="s">
        <v>51</v>
      </c>
      <c r="C1281" t="s">
        <v>54</v>
      </c>
      <c r="D1281" t="str">
        <f t="shared" si="120"/>
        <v>FL</v>
      </c>
      <c r="E1281" t="str">
        <f t="shared" si="121"/>
        <v>Southeast</v>
      </c>
      <c r="F1281" t="s">
        <v>59</v>
      </c>
      <c r="G1281" s="1">
        <v>45285</v>
      </c>
      <c r="H1281" s="1">
        <v>45290</v>
      </c>
      <c r="I1281" s="1">
        <f t="shared" si="119"/>
        <v>45290</v>
      </c>
      <c r="J1281" s="2">
        <v>12.3</v>
      </c>
      <c r="K1281" s="2">
        <v>325.51</v>
      </c>
      <c r="L1281" t="s">
        <v>15</v>
      </c>
      <c r="M1281" s="2">
        <v>2145</v>
      </c>
      <c r="N1281" s="2">
        <v>5</v>
      </c>
      <c r="O1281" s="2">
        <f t="shared" si="122"/>
        <v>429</v>
      </c>
      <c r="P1281" s="2">
        <f t="shared" si="123"/>
        <v>1.3179318607723265</v>
      </c>
      <c r="Q1281" s="3">
        <f t="shared" si="124"/>
        <v>0.15175291375291375</v>
      </c>
    </row>
    <row r="1282" spans="1:17" hidden="1" x14ac:dyDescent="0.25">
      <c r="A1282" t="s">
        <v>1353</v>
      </c>
      <c r="B1282" t="s">
        <v>39</v>
      </c>
      <c r="C1282" t="s">
        <v>57</v>
      </c>
      <c r="D1282" t="str">
        <f t="shared" si="120"/>
        <v>MN</v>
      </c>
      <c r="E1282" t="str">
        <f t="shared" si="121"/>
        <v>Midwest</v>
      </c>
      <c r="F1282" t="s">
        <v>25</v>
      </c>
      <c r="G1282" s="1">
        <v>45291</v>
      </c>
      <c r="H1282" s="1">
        <v>45296</v>
      </c>
      <c r="I1282" s="1">
        <f t="shared" ref="I1282:I1345" si="125">IF(H1282="", G1282 + N1282, H1282)</f>
        <v>45296</v>
      </c>
      <c r="J1282" s="2">
        <v>55.7</v>
      </c>
      <c r="K1282" s="2">
        <v>335.88</v>
      </c>
      <c r="L1282" t="s">
        <v>15</v>
      </c>
      <c r="M1282" s="2">
        <v>1737</v>
      </c>
      <c r="N1282" s="2">
        <v>5</v>
      </c>
      <c r="O1282" s="2">
        <f t="shared" si="122"/>
        <v>347.4</v>
      </c>
      <c r="P1282" s="2">
        <f t="shared" si="123"/>
        <v>1.0342979635584137</v>
      </c>
      <c r="Q1282" s="3">
        <f t="shared" si="124"/>
        <v>0.19336787564766839</v>
      </c>
    </row>
    <row r="1283" spans="1:17" hidden="1" x14ac:dyDescent="0.25">
      <c r="A1283" t="s">
        <v>1354</v>
      </c>
      <c r="B1283" t="s">
        <v>30</v>
      </c>
      <c r="C1283" t="s">
        <v>17</v>
      </c>
      <c r="D1283" t="str">
        <f t="shared" si="120"/>
        <v>GA</v>
      </c>
      <c r="E1283" t="str">
        <f t="shared" si="121"/>
        <v>Southeast</v>
      </c>
      <c r="F1283" t="s">
        <v>14</v>
      </c>
      <c r="G1283" s="1">
        <v>44941</v>
      </c>
      <c r="H1283" s="1">
        <v>44946</v>
      </c>
      <c r="I1283" s="1">
        <f t="shared" si="125"/>
        <v>44946</v>
      </c>
      <c r="J1283" s="2">
        <v>8.3000000000000007</v>
      </c>
      <c r="K1283" s="2">
        <v>275.36</v>
      </c>
      <c r="L1283" t="s">
        <v>15</v>
      </c>
      <c r="M1283" s="2">
        <v>1965</v>
      </c>
      <c r="N1283" s="2">
        <v>5</v>
      </c>
      <c r="O1283" s="2">
        <f t="shared" si="122"/>
        <v>393</v>
      </c>
      <c r="P1283" s="2">
        <f t="shared" si="123"/>
        <v>1.427222545031958</v>
      </c>
      <c r="Q1283" s="3">
        <f t="shared" si="124"/>
        <v>0.1401323155216285</v>
      </c>
    </row>
    <row r="1284" spans="1:17" hidden="1" x14ac:dyDescent="0.25">
      <c r="A1284" t="s">
        <v>1355</v>
      </c>
      <c r="B1284" t="s">
        <v>23</v>
      </c>
      <c r="C1284" t="s">
        <v>44</v>
      </c>
      <c r="D1284" t="str">
        <f t="shared" si="120"/>
        <v>IL</v>
      </c>
      <c r="E1284" t="str">
        <f t="shared" si="121"/>
        <v>Midwest</v>
      </c>
      <c r="F1284" t="s">
        <v>32</v>
      </c>
      <c r="G1284" s="1">
        <v>45215</v>
      </c>
      <c r="H1284" s="1">
        <v>45219</v>
      </c>
      <c r="I1284" s="1">
        <f t="shared" si="125"/>
        <v>45219</v>
      </c>
      <c r="J1284" s="2">
        <v>42.3</v>
      </c>
      <c r="K1284" s="2">
        <v>221.5</v>
      </c>
      <c r="L1284" t="s">
        <v>15</v>
      </c>
      <c r="M1284" s="2">
        <v>1178</v>
      </c>
      <c r="N1284" s="2">
        <v>4</v>
      </c>
      <c r="O1284" s="2">
        <f t="shared" si="122"/>
        <v>294.5</v>
      </c>
      <c r="P1284" s="2">
        <f t="shared" si="123"/>
        <v>1.3295711060948081</v>
      </c>
      <c r="Q1284" s="3">
        <f t="shared" si="124"/>
        <v>0.18803056027164686</v>
      </c>
    </row>
    <row r="1285" spans="1:17" hidden="1" x14ac:dyDescent="0.25">
      <c r="A1285" t="s">
        <v>1356</v>
      </c>
      <c r="B1285" t="s">
        <v>20</v>
      </c>
      <c r="C1285" t="s">
        <v>52</v>
      </c>
      <c r="D1285" t="str">
        <f t="shared" si="120"/>
        <v>AZ</v>
      </c>
      <c r="E1285" t="str">
        <f t="shared" si="121"/>
        <v>Southwest</v>
      </c>
      <c r="F1285" t="s">
        <v>18</v>
      </c>
      <c r="G1285" s="1">
        <v>44999</v>
      </c>
      <c r="H1285" s="1">
        <v>45003</v>
      </c>
      <c r="I1285" s="1">
        <f t="shared" si="125"/>
        <v>45003</v>
      </c>
      <c r="J1285" s="2">
        <v>7.6</v>
      </c>
      <c r="K1285" s="2">
        <v>61.28</v>
      </c>
      <c r="L1285" t="s">
        <v>15</v>
      </c>
      <c r="M1285" s="2">
        <v>373</v>
      </c>
      <c r="N1285" s="2">
        <v>4</v>
      </c>
      <c r="O1285" s="2">
        <f t="shared" si="122"/>
        <v>93.25</v>
      </c>
      <c r="P1285" s="2">
        <f t="shared" si="123"/>
        <v>1.5217036553524803</v>
      </c>
      <c r="Q1285" s="3">
        <f t="shared" si="124"/>
        <v>0.16428954423592493</v>
      </c>
    </row>
    <row r="1286" spans="1:17" hidden="1" x14ac:dyDescent="0.25">
      <c r="A1286" t="s">
        <v>1357</v>
      </c>
      <c r="B1286" t="s">
        <v>27</v>
      </c>
      <c r="C1286" t="s">
        <v>46</v>
      </c>
      <c r="D1286" t="str">
        <f t="shared" si="120"/>
        <v>MA</v>
      </c>
      <c r="E1286" t="str">
        <f t="shared" si="121"/>
        <v>Northeast</v>
      </c>
      <c r="F1286" t="s">
        <v>42</v>
      </c>
      <c r="G1286" s="1">
        <v>45132</v>
      </c>
      <c r="H1286" s="1">
        <v>45144</v>
      </c>
      <c r="I1286" s="1">
        <f t="shared" si="125"/>
        <v>45144</v>
      </c>
      <c r="J1286" s="2">
        <v>4.5999999999999996</v>
      </c>
      <c r="K1286" s="2">
        <v>209.12</v>
      </c>
      <c r="L1286" t="s">
        <v>47</v>
      </c>
      <c r="M1286" s="2">
        <v>1868</v>
      </c>
      <c r="N1286" s="2">
        <v>6</v>
      </c>
      <c r="O1286" s="2">
        <f t="shared" si="122"/>
        <v>311.33333333333331</v>
      </c>
      <c r="P1286" s="2">
        <f t="shared" si="123"/>
        <v>1.4887783728640651</v>
      </c>
      <c r="Q1286" s="3">
        <f t="shared" si="124"/>
        <v>0.11194860813704496</v>
      </c>
    </row>
    <row r="1287" spans="1:17" hidden="1" x14ac:dyDescent="0.25">
      <c r="A1287" t="s">
        <v>1358</v>
      </c>
      <c r="B1287" t="s">
        <v>27</v>
      </c>
      <c r="C1287" t="s">
        <v>44</v>
      </c>
      <c r="D1287" t="str">
        <f t="shared" si="120"/>
        <v>IL</v>
      </c>
      <c r="E1287" t="str">
        <f t="shared" si="121"/>
        <v>Midwest</v>
      </c>
      <c r="F1287" t="s">
        <v>18</v>
      </c>
      <c r="G1287" s="1">
        <v>45226</v>
      </c>
      <c r="H1287" s="1">
        <v>45230</v>
      </c>
      <c r="I1287" s="1">
        <f t="shared" si="125"/>
        <v>45230</v>
      </c>
      <c r="J1287" s="2">
        <v>11.1</v>
      </c>
      <c r="K1287" s="2">
        <v>100.08</v>
      </c>
      <c r="L1287" t="s">
        <v>15</v>
      </c>
      <c r="M1287" s="2">
        <v>640</v>
      </c>
      <c r="N1287" s="2">
        <v>4</v>
      </c>
      <c r="O1287" s="2">
        <f t="shared" si="122"/>
        <v>160</v>
      </c>
      <c r="P1287" s="2">
        <f t="shared" si="123"/>
        <v>1.5987210231814548</v>
      </c>
      <c r="Q1287" s="3">
        <f t="shared" si="124"/>
        <v>0.15637499999999999</v>
      </c>
    </row>
    <row r="1288" spans="1:17" hidden="1" x14ac:dyDescent="0.25">
      <c r="A1288" t="s">
        <v>1359</v>
      </c>
      <c r="B1288" t="s">
        <v>27</v>
      </c>
      <c r="C1288" t="s">
        <v>31</v>
      </c>
      <c r="D1288" t="str">
        <f t="shared" si="120"/>
        <v>NY</v>
      </c>
      <c r="E1288" t="str">
        <f t="shared" si="121"/>
        <v>Northeast</v>
      </c>
      <c r="F1288" t="s">
        <v>42</v>
      </c>
      <c r="G1288" s="1">
        <v>45172</v>
      </c>
      <c r="H1288" s="1">
        <v>45175</v>
      </c>
      <c r="I1288" s="1">
        <f t="shared" si="125"/>
        <v>45175</v>
      </c>
      <c r="J1288" s="2">
        <v>7</v>
      </c>
      <c r="K1288" s="2">
        <v>204.47</v>
      </c>
      <c r="L1288" t="s">
        <v>15</v>
      </c>
      <c r="M1288" s="2">
        <v>1503</v>
      </c>
      <c r="N1288" s="2">
        <v>3</v>
      </c>
      <c r="O1288" s="2">
        <f t="shared" si="122"/>
        <v>501</v>
      </c>
      <c r="P1288" s="2">
        <f t="shared" si="123"/>
        <v>2.4502371986110432</v>
      </c>
      <c r="Q1288" s="3">
        <f t="shared" si="124"/>
        <v>0.13604125083166999</v>
      </c>
    </row>
    <row r="1289" spans="1:17" hidden="1" x14ac:dyDescent="0.25">
      <c r="A1289" t="s">
        <v>1360</v>
      </c>
      <c r="B1289" t="s">
        <v>56</v>
      </c>
      <c r="C1289" t="s">
        <v>52</v>
      </c>
      <c r="D1289" t="str">
        <f t="shared" si="120"/>
        <v>AZ</v>
      </c>
      <c r="E1289" t="str">
        <f t="shared" si="121"/>
        <v>Southwest</v>
      </c>
      <c r="F1289" t="s">
        <v>37</v>
      </c>
      <c r="G1289" s="1">
        <v>45234</v>
      </c>
      <c r="H1289" s="1">
        <v>45238</v>
      </c>
      <c r="I1289" s="1">
        <f t="shared" si="125"/>
        <v>45238</v>
      </c>
      <c r="J1289" s="2">
        <v>25.6</v>
      </c>
      <c r="K1289" s="2">
        <v>270.11</v>
      </c>
      <c r="L1289" t="s">
        <v>15</v>
      </c>
      <c r="M1289" s="2">
        <v>1671</v>
      </c>
      <c r="N1289" s="2">
        <v>4</v>
      </c>
      <c r="O1289" s="2">
        <f t="shared" si="122"/>
        <v>417.75</v>
      </c>
      <c r="P1289" s="2">
        <f t="shared" si="123"/>
        <v>1.5465921291325755</v>
      </c>
      <c r="Q1289" s="3">
        <f t="shared" si="124"/>
        <v>0.1616457211250748</v>
      </c>
    </row>
    <row r="1290" spans="1:17" hidden="1" x14ac:dyDescent="0.25">
      <c r="A1290" t="s">
        <v>1361</v>
      </c>
      <c r="B1290" t="s">
        <v>30</v>
      </c>
      <c r="C1290" t="s">
        <v>21</v>
      </c>
      <c r="D1290" t="str">
        <f t="shared" si="120"/>
        <v>TX</v>
      </c>
      <c r="E1290" t="str">
        <f t="shared" si="121"/>
        <v>Southwest</v>
      </c>
      <c r="F1290" t="s">
        <v>25</v>
      </c>
      <c r="G1290" s="1">
        <v>45048</v>
      </c>
      <c r="H1290" s="1">
        <v>45055</v>
      </c>
      <c r="I1290" s="1">
        <f t="shared" si="125"/>
        <v>45055</v>
      </c>
      <c r="J1290" s="2">
        <v>16</v>
      </c>
      <c r="K1290" s="2">
        <v>322.60000000000002</v>
      </c>
      <c r="L1290" t="s">
        <v>15</v>
      </c>
      <c r="M1290" s="2">
        <v>2289</v>
      </c>
      <c r="N1290" s="2">
        <v>7</v>
      </c>
      <c r="O1290" s="2">
        <f t="shared" si="122"/>
        <v>327</v>
      </c>
      <c r="P1290" s="2">
        <f t="shared" si="123"/>
        <v>1.0136391816491011</v>
      </c>
      <c r="Q1290" s="3">
        <f t="shared" si="124"/>
        <v>0.14093490607252077</v>
      </c>
    </row>
    <row r="1291" spans="1:17" hidden="1" x14ac:dyDescent="0.25">
      <c r="A1291" t="s">
        <v>1362</v>
      </c>
      <c r="B1291" t="s">
        <v>39</v>
      </c>
      <c r="C1291" t="s">
        <v>52</v>
      </c>
      <c r="D1291" t="str">
        <f t="shared" si="120"/>
        <v>AZ</v>
      </c>
      <c r="E1291" t="str">
        <f t="shared" si="121"/>
        <v>Southwest</v>
      </c>
      <c r="F1291" t="s">
        <v>18</v>
      </c>
      <c r="G1291" s="1">
        <v>45154</v>
      </c>
      <c r="H1291" s="1">
        <v>45161</v>
      </c>
      <c r="I1291" s="1">
        <f t="shared" si="125"/>
        <v>45161</v>
      </c>
      <c r="J1291" s="2">
        <v>9.6</v>
      </c>
      <c r="K1291" s="2">
        <v>248.88</v>
      </c>
      <c r="L1291" t="s">
        <v>15</v>
      </c>
      <c r="M1291" s="2">
        <v>1664</v>
      </c>
      <c r="N1291" s="2">
        <v>7</v>
      </c>
      <c r="O1291" s="2">
        <f t="shared" si="122"/>
        <v>237.71428571428572</v>
      </c>
      <c r="P1291" s="2">
        <f t="shared" si="123"/>
        <v>0.95513615282178455</v>
      </c>
      <c r="Q1291" s="3">
        <f t="shared" si="124"/>
        <v>0.14956730769230769</v>
      </c>
    </row>
    <row r="1292" spans="1:17" hidden="1" x14ac:dyDescent="0.25">
      <c r="A1292" t="s">
        <v>1363</v>
      </c>
      <c r="B1292" t="s">
        <v>23</v>
      </c>
      <c r="C1292" t="s">
        <v>21</v>
      </c>
      <c r="D1292" t="str">
        <f t="shared" si="120"/>
        <v>TX</v>
      </c>
      <c r="E1292" t="str">
        <f t="shared" si="121"/>
        <v>Southwest</v>
      </c>
      <c r="F1292" t="s">
        <v>37</v>
      </c>
      <c r="G1292" s="1">
        <v>45003</v>
      </c>
      <c r="H1292" s="1">
        <v>45005</v>
      </c>
      <c r="I1292" s="1">
        <f t="shared" si="125"/>
        <v>45005</v>
      </c>
      <c r="J1292" s="2">
        <v>28.8</v>
      </c>
      <c r="K1292" s="2">
        <v>93.05</v>
      </c>
      <c r="L1292" t="s">
        <v>60</v>
      </c>
      <c r="M1292" s="2">
        <v>499</v>
      </c>
      <c r="N1292" s="2">
        <v>2</v>
      </c>
      <c r="O1292" s="2">
        <f t="shared" si="122"/>
        <v>249.5</v>
      </c>
      <c r="P1292" s="2">
        <f t="shared" si="123"/>
        <v>2.6813541106931758</v>
      </c>
      <c r="Q1292" s="3">
        <f t="shared" si="124"/>
        <v>0.18647294589178356</v>
      </c>
    </row>
    <row r="1293" spans="1:17" hidden="1" x14ac:dyDescent="0.25">
      <c r="A1293" t="s">
        <v>1364</v>
      </c>
      <c r="B1293" t="s">
        <v>49</v>
      </c>
      <c r="C1293" t="s">
        <v>44</v>
      </c>
      <c r="D1293" t="str">
        <f t="shared" si="120"/>
        <v>IL</v>
      </c>
      <c r="E1293" t="str">
        <f t="shared" si="121"/>
        <v>Midwest</v>
      </c>
      <c r="F1293" t="s">
        <v>59</v>
      </c>
      <c r="G1293" s="1">
        <v>44957</v>
      </c>
      <c r="H1293" s="1">
        <v>44963</v>
      </c>
      <c r="I1293" s="1">
        <f t="shared" si="125"/>
        <v>44963</v>
      </c>
      <c r="J1293" s="2">
        <v>34.6</v>
      </c>
      <c r="K1293" s="2">
        <v>280.52999999999997</v>
      </c>
      <c r="L1293" t="s">
        <v>15</v>
      </c>
      <c r="M1293" s="2">
        <v>2109</v>
      </c>
      <c r="N1293" s="2">
        <v>6</v>
      </c>
      <c r="O1293" s="2">
        <f t="shared" si="122"/>
        <v>351.5</v>
      </c>
      <c r="P1293" s="2">
        <f t="shared" si="123"/>
        <v>1.2529854204541404</v>
      </c>
      <c r="Q1293" s="3">
        <f t="shared" si="124"/>
        <v>0.13301564722617354</v>
      </c>
    </row>
    <row r="1294" spans="1:17" x14ac:dyDescent="0.25">
      <c r="A1294" t="s">
        <v>1365</v>
      </c>
      <c r="B1294" t="s">
        <v>27</v>
      </c>
      <c r="C1294" t="s">
        <v>81</v>
      </c>
      <c r="D1294" t="str">
        <f t="shared" si="120"/>
        <v>CO</v>
      </c>
      <c r="E1294" t="str">
        <f t="shared" si="121"/>
        <v>West</v>
      </c>
      <c r="F1294" t="s">
        <v>14</v>
      </c>
      <c r="G1294" s="1">
        <v>45028</v>
      </c>
      <c r="H1294" s="1">
        <v>45029</v>
      </c>
      <c r="I1294" s="1">
        <f t="shared" si="125"/>
        <v>45029</v>
      </c>
      <c r="J1294" s="2">
        <v>21</v>
      </c>
      <c r="K1294" s="2">
        <v>88.46</v>
      </c>
      <c r="L1294" t="s">
        <v>15</v>
      </c>
      <c r="M1294" s="2">
        <v>510</v>
      </c>
      <c r="N1294" s="2">
        <v>1</v>
      </c>
      <c r="O1294" s="2">
        <f t="shared" si="122"/>
        <v>510</v>
      </c>
      <c r="P1294" s="2">
        <f t="shared" si="123"/>
        <v>5.7653176576983949</v>
      </c>
      <c r="Q1294" s="3">
        <f t="shared" si="124"/>
        <v>0.17345098039215684</v>
      </c>
    </row>
    <row r="1295" spans="1:17" x14ac:dyDescent="0.25">
      <c r="A1295" t="s">
        <v>1366</v>
      </c>
      <c r="B1295" t="s">
        <v>35</v>
      </c>
      <c r="C1295" t="s">
        <v>24</v>
      </c>
      <c r="D1295" t="str">
        <f t="shared" si="120"/>
        <v>WA</v>
      </c>
      <c r="E1295" t="str">
        <f t="shared" si="121"/>
        <v>West</v>
      </c>
      <c r="F1295" t="s">
        <v>59</v>
      </c>
      <c r="G1295" s="1">
        <v>45087</v>
      </c>
      <c r="H1295" s="1">
        <v>45093</v>
      </c>
      <c r="I1295" s="1">
        <f t="shared" si="125"/>
        <v>45093</v>
      </c>
      <c r="J1295" s="2">
        <v>16.899999999999999</v>
      </c>
      <c r="K1295" s="2">
        <v>281.93</v>
      </c>
      <c r="L1295" t="s">
        <v>15</v>
      </c>
      <c r="M1295" s="2">
        <v>2329</v>
      </c>
      <c r="N1295" s="2">
        <v>6</v>
      </c>
      <c r="O1295" s="2">
        <f t="shared" si="122"/>
        <v>388.16666666666669</v>
      </c>
      <c r="P1295" s="2">
        <f t="shared" si="123"/>
        <v>1.376819305028435</v>
      </c>
      <c r="Q1295" s="3">
        <f t="shared" si="124"/>
        <v>0.12105195362816659</v>
      </c>
    </row>
    <row r="1296" spans="1:17" hidden="1" x14ac:dyDescent="0.25">
      <c r="A1296" t="s">
        <v>1367</v>
      </c>
      <c r="B1296" t="s">
        <v>35</v>
      </c>
      <c r="C1296" t="s">
        <v>21</v>
      </c>
      <c r="D1296" t="str">
        <f t="shared" si="120"/>
        <v>TX</v>
      </c>
      <c r="E1296" t="str">
        <f t="shared" si="121"/>
        <v>Southwest</v>
      </c>
      <c r="F1296" t="s">
        <v>14</v>
      </c>
      <c r="G1296" s="1">
        <v>45171</v>
      </c>
      <c r="H1296" s="1">
        <v>45176</v>
      </c>
      <c r="I1296" s="1">
        <f t="shared" si="125"/>
        <v>45176</v>
      </c>
      <c r="J1296" s="2">
        <v>21.6</v>
      </c>
      <c r="K1296" s="2">
        <v>251.91</v>
      </c>
      <c r="L1296" t="s">
        <v>15</v>
      </c>
      <c r="M1296" s="2">
        <v>2001</v>
      </c>
      <c r="N1296" s="2">
        <v>5</v>
      </c>
      <c r="O1296" s="2">
        <f t="shared" si="122"/>
        <v>400.2</v>
      </c>
      <c r="P1296" s="2">
        <f t="shared" si="123"/>
        <v>1.5886626176015244</v>
      </c>
      <c r="Q1296" s="3">
        <f t="shared" si="124"/>
        <v>0.12589205397301348</v>
      </c>
    </row>
    <row r="1297" spans="1:17" hidden="1" x14ac:dyDescent="0.25">
      <c r="A1297" t="s">
        <v>1368</v>
      </c>
      <c r="B1297" t="s">
        <v>20</v>
      </c>
      <c r="C1297" t="s">
        <v>40</v>
      </c>
      <c r="D1297" t="str">
        <f t="shared" si="120"/>
        <v>MI</v>
      </c>
      <c r="E1297" t="str">
        <f t="shared" si="121"/>
        <v>Midwest</v>
      </c>
      <c r="F1297" t="s">
        <v>37</v>
      </c>
      <c r="G1297" s="1">
        <v>45195</v>
      </c>
      <c r="H1297" s="1">
        <v>45196</v>
      </c>
      <c r="I1297" s="1">
        <f t="shared" si="125"/>
        <v>45196</v>
      </c>
      <c r="J1297" s="2">
        <v>11.8</v>
      </c>
      <c r="K1297" s="2">
        <v>45.15</v>
      </c>
      <c r="L1297" t="s">
        <v>62</v>
      </c>
      <c r="M1297" s="2">
        <v>278</v>
      </c>
      <c r="N1297" s="2">
        <v>1</v>
      </c>
      <c r="O1297" s="2">
        <f t="shared" si="122"/>
        <v>278</v>
      </c>
      <c r="P1297" s="2">
        <f t="shared" si="123"/>
        <v>6.157253599114064</v>
      </c>
      <c r="Q1297" s="3">
        <f t="shared" si="124"/>
        <v>0.16241007194244603</v>
      </c>
    </row>
    <row r="1298" spans="1:17" x14ac:dyDescent="0.25">
      <c r="A1298" t="s">
        <v>1369</v>
      </c>
      <c r="B1298" t="s">
        <v>56</v>
      </c>
      <c r="C1298" t="s">
        <v>13</v>
      </c>
      <c r="D1298" t="str">
        <f t="shared" si="120"/>
        <v>CA</v>
      </c>
      <c r="E1298" t="str">
        <f t="shared" si="121"/>
        <v>West</v>
      </c>
      <c r="F1298" t="s">
        <v>32</v>
      </c>
      <c r="G1298" s="1">
        <v>45289</v>
      </c>
      <c r="H1298" s="1">
        <v>45293</v>
      </c>
      <c r="I1298" s="1">
        <f t="shared" si="125"/>
        <v>45293</v>
      </c>
      <c r="J1298" s="2">
        <v>17.2</v>
      </c>
      <c r="K1298" s="2">
        <v>226.51</v>
      </c>
      <c r="L1298" t="s">
        <v>15</v>
      </c>
      <c r="M1298" s="2">
        <v>1179</v>
      </c>
      <c r="N1298" s="2">
        <v>4</v>
      </c>
      <c r="O1298" s="2">
        <f t="shared" si="122"/>
        <v>294.75</v>
      </c>
      <c r="P1298" s="2">
        <f t="shared" si="123"/>
        <v>1.3012670522272747</v>
      </c>
      <c r="Q1298" s="3">
        <f t="shared" si="124"/>
        <v>0.19212044105173876</v>
      </c>
    </row>
    <row r="1299" spans="1:17" hidden="1" x14ac:dyDescent="0.25">
      <c r="A1299" t="s">
        <v>1370</v>
      </c>
      <c r="B1299" t="s">
        <v>23</v>
      </c>
      <c r="C1299" t="s">
        <v>40</v>
      </c>
      <c r="D1299" t="str">
        <f t="shared" si="120"/>
        <v>MI</v>
      </c>
      <c r="E1299" t="str">
        <f t="shared" si="121"/>
        <v>Midwest</v>
      </c>
      <c r="F1299" t="s">
        <v>42</v>
      </c>
      <c r="G1299" s="1">
        <v>45168</v>
      </c>
      <c r="H1299" s="1">
        <v>45173</v>
      </c>
      <c r="I1299" s="1">
        <f t="shared" si="125"/>
        <v>45173</v>
      </c>
      <c r="J1299" s="2">
        <v>25.7</v>
      </c>
      <c r="K1299" s="2">
        <v>62.58</v>
      </c>
      <c r="L1299" t="s">
        <v>15</v>
      </c>
      <c r="M1299" s="2">
        <v>251</v>
      </c>
      <c r="N1299" s="2">
        <v>5</v>
      </c>
      <c r="O1299" s="2">
        <f t="shared" si="122"/>
        <v>50.2</v>
      </c>
      <c r="P1299" s="2">
        <f t="shared" si="123"/>
        <v>0.80217321828060095</v>
      </c>
      <c r="Q1299" s="3">
        <f t="shared" si="124"/>
        <v>0.24932270916334662</v>
      </c>
    </row>
    <row r="1300" spans="1:17" hidden="1" x14ac:dyDescent="0.25">
      <c r="A1300" t="s">
        <v>1371</v>
      </c>
      <c r="B1300" t="s">
        <v>49</v>
      </c>
      <c r="C1300" t="s">
        <v>40</v>
      </c>
      <c r="D1300" t="str">
        <f t="shared" si="120"/>
        <v>MI</v>
      </c>
      <c r="E1300" t="str">
        <f t="shared" si="121"/>
        <v>Midwest</v>
      </c>
      <c r="F1300" t="s">
        <v>14</v>
      </c>
      <c r="G1300" s="1">
        <v>44969</v>
      </c>
      <c r="H1300" s="1">
        <v>44984</v>
      </c>
      <c r="I1300" s="1">
        <f t="shared" si="125"/>
        <v>44984</v>
      </c>
      <c r="J1300" s="2">
        <v>48.2</v>
      </c>
      <c r="K1300" s="2">
        <v>79.739999999999995</v>
      </c>
      <c r="L1300" t="s">
        <v>47</v>
      </c>
      <c r="M1300" s="2">
        <v>205</v>
      </c>
      <c r="N1300" s="2">
        <v>2</v>
      </c>
      <c r="O1300" s="2">
        <f t="shared" si="122"/>
        <v>102.5</v>
      </c>
      <c r="P1300" s="2">
        <f t="shared" si="123"/>
        <v>1.2854276398294457</v>
      </c>
      <c r="Q1300" s="3">
        <f t="shared" si="124"/>
        <v>0.38897560975609752</v>
      </c>
    </row>
    <row r="1301" spans="1:17" x14ac:dyDescent="0.25">
      <c r="A1301" t="s">
        <v>1372</v>
      </c>
      <c r="B1301" t="s">
        <v>20</v>
      </c>
      <c r="C1301" t="s">
        <v>70</v>
      </c>
      <c r="D1301" t="str">
        <f t="shared" si="120"/>
        <v>CA</v>
      </c>
      <c r="E1301" t="str">
        <f t="shared" si="121"/>
        <v>West</v>
      </c>
      <c r="F1301" t="s">
        <v>14</v>
      </c>
      <c r="G1301" s="1">
        <v>44954</v>
      </c>
      <c r="H1301" s="1">
        <v>44957</v>
      </c>
      <c r="I1301" s="1">
        <f t="shared" si="125"/>
        <v>44957</v>
      </c>
      <c r="J1301" s="2">
        <v>51.5</v>
      </c>
      <c r="K1301" s="2">
        <v>165.79</v>
      </c>
      <c r="L1301" t="s">
        <v>15</v>
      </c>
      <c r="M1301" s="2">
        <v>926</v>
      </c>
      <c r="N1301" s="2">
        <v>3</v>
      </c>
      <c r="O1301" s="2">
        <f t="shared" si="122"/>
        <v>308.66666666666669</v>
      </c>
      <c r="P1301" s="2">
        <f t="shared" si="123"/>
        <v>1.8617930313448743</v>
      </c>
      <c r="Q1301" s="3">
        <f t="shared" si="124"/>
        <v>0.17903887688984879</v>
      </c>
    </row>
    <row r="1302" spans="1:17" hidden="1" x14ac:dyDescent="0.25">
      <c r="A1302" t="s">
        <v>1373</v>
      </c>
      <c r="B1302" t="s">
        <v>27</v>
      </c>
      <c r="C1302" t="s">
        <v>40</v>
      </c>
      <c r="D1302" t="str">
        <f t="shared" si="120"/>
        <v>MI</v>
      </c>
      <c r="E1302" t="str">
        <f t="shared" si="121"/>
        <v>Midwest</v>
      </c>
      <c r="F1302" t="s">
        <v>25</v>
      </c>
      <c r="G1302" s="1">
        <v>45030</v>
      </c>
      <c r="H1302" s="1">
        <v>45033</v>
      </c>
      <c r="I1302" s="1">
        <f t="shared" si="125"/>
        <v>45033</v>
      </c>
      <c r="J1302" s="2">
        <v>26.6</v>
      </c>
      <c r="K1302" s="2">
        <v>68.27</v>
      </c>
      <c r="L1302" t="s">
        <v>67</v>
      </c>
      <c r="M1302" s="2">
        <v>365</v>
      </c>
      <c r="N1302" s="2">
        <v>3</v>
      </c>
      <c r="O1302" s="2">
        <f t="shared" si="122"/>
        <v>121.66666666666667</v>
      </c>
      <c r="P1302" s="2">
        <f t="shared" si="123"/>
        <v>1.7821395439675798</v>
      </c>
      <c r="Q1302" s="3">
        <f t="shared" si="124"/>
        <v>0.18704109589041096</v>
      </c>
    </row>
    <row r="1303" spans="1:17" x14ac:dyDescent="0.25">
      <c r="A1303" t="s">
        <v>1374</v>
      </c>
      <c r="B1303" t="s">
        <v>27</v>
      </c>
      <c r="C1303" t="s">
        <v>36</v>
      </c>
      <c r="D1303" t="str">
        <f t="shared" si="120"/>
        <v>OR</v>
      </c>
      <c r="E1303" t="str">
        <f t="shared" si="121"/>
        <v>West</v>
      </c>
      <c r="F1303" t="s">
        <v>14</v>
      </c>
      <c r="G1303" s="1">
        <v>45015</v>
      </c>
      <c r="H1303" s="1">
        <v>45019</v>
      </c>
      <c r="I1303" s="1">
        <f t="shared" si="125"/>
        <v>45019</v>
      </c>
      <c r="J1303" s="2">
        <v>127</v>
      </c>
      <c r="K1303" s="2">
        <v>342.1</v>
      </c>
      <c r="L1303" t="s">
        <v>15</v>
      </c>
      <c r="M1303" s="2">
        <v>1334</v>
      </c>
      <c r="N1303" s="2">
        <v>4</v>
      </c>
      <c r="O1303" s="2">
        <f t="shared" si="122"/>
        <v>333.5</v>
      </c>
      <c r="P1303" s="2">
        <f t="shared" si="123"/>
        <v>0.9748611517100263</v>
      </c>
      <c r="Q1303" s="3">
        <f t="shared" si="124"/>
        <v>0.25644677661169418</v>
      </c>
    </row>
    <row r="1304" spans="1:17" hidden="1" x14ac:dyDescent="0.25">
      <c r="A1304" t="s">
        <v>1375</v>
      </c>
      <c r="B1304" t="s">
        <v>30</v>
      </c>
      <c r="C1304" t="s">
        <v>28</v>
      </c>
      <c r="D1304" t="str">
        <f t="shared" si="120"/>
        <v>TX</v>
      </c>
      <c r="E1304" t="str">
        <f t="shared" si="121"/>
        <v>Southwest</v>
      </c>
      <c r="F1304" t="s">
        <v>14</v>
      </c>
      <c r="G1304" s="1">
        <v>45027</v>
      </c>
      <c r="H1304" s="1">
        <v>45029</v>
      </c>
      <c r="I1304" s="1">
        <f t="shared" si="125"/>
        <v>45029</v>
      </c>
      <c r="J1304" s="2">
        <v>25.9</v>
      </c>
      <c r="K1304" s="2">
        <v>70.31</v>
      </c>
      <c r="L1304" t="s">
        <v>15</v>
      </c>
      <c r="M1304" s="2">
        <v>326</v>
      </c>
      <c r="N1304" s="2">
        <v>2</v>
      </c>
      <c r="O1304" s="2">
        <f t="shared" si="122"/>
        <v>163</v>
      </c>
      <c r="P1304" s="2">
        <f t="shared" si="123"/>
        <v>2.3183046508320295</v>
      </c>
      <c r="Q1304" s="3">
        <f t="shared" si="124"/>
        <v>0.21567484662576689</v>
      </c>
    </row>
    <row r="1305" spans="1:17" x14ac:dyDescent="0.25">
      <c r="A1305" t="s">
        <v>1376</v>
      </c>
      <c r="B1305" t="s">
        <v>23</v>
      </c>
      <c r="C1305" t="s">
        <v>24</v>
      </c>
      <c r="D1305" t="str">
        <f t="shared" si="120"/>
        <v>WA</v>
      </c>
      <c r="E1305" t="str">
        <f t="shared" si="121"/>
        <v>West</v>
      </c>
      <c r="F1305" t="s">
        <v>25</v>
      </c>
      <c r="G1305" s="1">
        <v>44980</v>
      </c>
      <c r="H1305" s="1">
        <v>44987</v>
      </c>
      <c r="I1305" s="1">
        <f t="shared" si="125"/>
        <v>44987</v>
      </c>
      <c r="J1305" s="2">
        <v>13.2</v>
      </c>
      <c r="K1305" s="2">
        <v>300.36</v>
      </c>
      <c r="L1305" t="s">
        <v>15</v>
      </c>
      <c r="M1305" s="2">
        <v>2207</v>
      </c>
      <c r="N1305" s="2">
        <v>7</v>
      </c>
      <c r="O1305" s="2">
        <f t="shared" si="122"/>
        <v>315.28571428571428</v>
      </c>
      <c r="P1305" s="2">
        <f t="shared" si="123"/>
        <v>1.0496927496527975</v>
      </c>
      <c r="Q1305" s="3">
        <f t="shared" si="124"/>
        <v>0.13609424558223834</v>
      </c>
    </row>
    <row r="1306" spans="1:17" hidden="1" x14ac:dyDescent="0.25">
      <c r="A1306" t="s">
        <v>1377</v>
      </c>
      <c r="B1306" t="s">
        <v>49</v>
      </c>
      <c r="C1306" t="s">
        <v>21</v>
      </c>
      <c r="D1306" t="str">
        <f t="shared" si="120"/>
        <v>TX</v>
      </c>
      <c r="E1306" t="str">
        <f t="shared" si="121"/>
        <v>Southwest</v>
      </c>
      <c r="F1306" t="s">
        <v>25</v>
      </c>
      <c r="G1306" s="1">
        <v>45289</v>
      </c>
      <c r="H1306" s="1">
        <v>45292</v>
      </c>
      <c r="I1306" s="1">
        <f t="shared" si="125"/>
        <v>45292</v>
      </c>
      <c r="J1306" s="2">
        <v>14.2</v>
      </c>
      <c r="K1306" s="2">
        <v>109.64</v>
      </c>
      <c r="L1306" t="s">
        <v>15</v>
      </c>
      <c r="M1306" s="2">
        <v>656</v>
      </c>
      <c r="N1306" s="2">
        <v>3</v>
      </c>
      <c r="O1306" s="2">
        <f t="shared" si="122"/>
        <v>218.66666666666666</v>
      </c>
      <c r="P1306" s="2">
        <f t="shared" si="123"/>
        <v>1.9944059345737564</v>
      </c>
      <c r="Q1306" s="3">
        <f t="shared" si="124"/>
        <v>0.16713414634146342</v>
      </c>
    </row>
    <row r="1307" spans="1:17" x14ac:dyDescent="0.25">
      <c r="A1307" t="s">
        <v>1378</v>
      </c>
      <c r="B1307" t="s">
        <v>49</v>
      </c>
      <c r="C1307" t="s">
        <v>36</v>
      </c>
      <c r="D1307" t="str">
        <f t="shared" si="120"/>
        <v>OR</v>
      </c>
      <c r="E1307" t="str">
        <f t="shared" si="121"/>
        <v>West</v>
      </c>
      <c r="F1307" t="s">
        <v>42</v>
      </c>
      <c r="G1307" s="1">
        <v>45103</v>
      </c>
      <c r="H1307" s="1">
        <v>45106</v>
      </c>
      <c r="I1307" s="1">
        <f t="shared" si="125"/>
        <v>45106</v>
      </c>
      <c r="J1307" s="2">
        <v>16.600000000000001</v>
      </c>
      <c r="K1307" s="2">
        <v>105.6</v>
      </c>
      <c r="L1307" t="s">
        <v>15</v>
      </c>
      <c r="M1307" s="2">
        <v>761</v>
      </c>
      <c r="N1307" s="2">
        <v>3</v>
      </c>
      <c r="O1307" s="2">
        <f t="shared" si="122"/>
        <v>253.66666666666666</v>
      </c>
      <c r="P1307" s="2">
        <f t="shared" si="123"/>
        <v>2.4021464646464645</v>
      </c>
      <c r="Q1307" s="3">
        <f t="shared" si="124"/>
        <v>0.13876478318002627</v>
      </c>
    </row>
    <row r="1308" spans="1:17" hidden="1" x14ac:dyDescent="0.25">
      <c r="A1308" t="s">
        <v>1379</v>
      </c>
      <c r="B1308" t="s">
        <v>51</v>
      </c>
      <c r="C1308" t="s">
        <v>21</v>
      </c>
      <c r="D1308" t="str">
        <f t="shared" si="120"/>
        <v>TX</v>
      </c>
      <c r="E1308" t="str">
        <f t="shared" si="121"/>
        <v>Southwest</v>
      </c>
      <c r="F1308" t="s">
        <v>32</v>
      </c>
      <c r="G1308" s="1">
        <v>44928</v>
      </c>
      <c r="H1308" s="1">
        <v>44933</v>
      </c>
      <c r="I1308" s="1">
        <f t="shared" si="125"/>
        <v>44933</v>
      </c>
      <c r="J1308" s="2">
        <v>17.8</v>
      </c>
      <c r="K1308" s="2">
        <v>196.28</v>
      </c>
      <c r="L1308" t="s">
        <v>15</v>
      </c>
      <c r="M1308" s="2">
        <v>1322</v>
      </c>
      <c r="N1308" s="2">
        <v>5</v>
      </c>
      <c r="O1308" s="2">
        <f t="shared" si="122"/>
        <v>264.39999999999998</v>
      </c>
      <c r="P1308" s="2">
        <f t="shared" si="123"/>
        <v>1.3470552272264111</v>
      </c>
      <c r="Q1308" s="3">
        <f t="shared" si="124"/>
        <v>0.14847201210287445</v>
      </c>
    </row>
    <row r="1309" spans="1:17" hidden="1" x14ac:dyDescent="0.25">
      <c r="A1309" t="s">
        <v>1380</v>
      </c>
      <c r="B1309" t="s">
        <v>20</v>
      </c>
      <c r="C1309" t="s">
        <v>21</v>
      </c>
      <c r="D1309" t="str">
        <f t="shared" si="120"/>
        <v>TX</v>
      </c>
      <c r="E1309" t="str">
        <f t="shared" si="121"/>
        <v>Southwest</v>
      </c>
      <c r="F1309" t="s">
        <v>18</v>
      </c>
      <c r="G1309" s="1">
        <v>45128</v>
      </c>
      <c r="H1309" s="1">
        <v>45134</v>
      </c>
      <c r="I1309" s="1">
        <f t="shared" si="125"/>
        <v>45134</v>
      </c>
      <c r="J1309" s="2">
        <v>57.2</v>
      </c>
      <c r="K1309" s="2">
        <v>339.55</v>
      </c>
      <c r="L1309" t="s">
        <v>15</v>
      </c>
      <c r="M1309" s="2">
        <v>1933</v>
      </c>
      <c r="N1309" s="2">
        <v>6</v>
      </c>
      <c r="O1309" s="2">
        <f t="shared" si="122"/>
        <v>322.16666666666669</v>
      </c>
      <c r="P1309" s="2">
        <f t="shared" si="123"/>
        <v>0.94880479065429735</v>
      </c>
      <c r="Q1309" s="3">
        <f t="shared" si="124"/>
        <v>0.1756595964821521</v>
      </c>
    </row>
    <row r="1310" spans="1:17" x14ac:dyDescent="0.25">
      <c r="A1310" t="s">
        <v>1381</v>
      </c>
      <c r="B1310" t="s">
        <v>35</v>
      </c>
      <c r="C1310" t="s">
        <v>13</v>
      </c>
      <c r="D1310" t="str">
        <f t="shared" si="120"/>
        <v>CA</v>
      </c>
      <c r="E1310" t="str">
        <f t="shared" si="121"/>
        <v>West</v>
      </c>
      <c r="F1310" t="s">
        <v>37</v>
      </c>
      <c r="G1310" s="1">
        <v>45017</v>
      </c>
      <c r="I1310" s="1">
        <f t="shared" si="125"/>
        <v>45019</v>
      </c>
      <c r="J1310" s="2">
        <v>9</v>
      </c>
      <c r="K1310" s="2">
        <v>67.94</v>
      </c>
      <c r="L1310" t="s">
        <v>47</v>
      </c>
      <c r="M1310" s="2">
        <v>435</v>
      </c>
      <c r="N1310" s="2">
        <v>2</v>
      </c>
      <c r="O1310" s="2">
        <f t="shared" si="122"/>
        <v>217.5</v>
      </c>
      <c r="P1310" s="2">
        <f t="shared" si="123"/>
        <v>3.201354136002355</v>
      </c>
      <c r="Q1310" s="3">
        <f t="shared" si="124"/>
        <v>0.15618390804597701</v>
      </c>
    </row>
    <row r="1311" spans="1:17" hidden="1" x14ac:dyDescent="0.25">
      <c r="A1311" t="s">
        <v>1382</v>
      </c>
      <c r="B1311" t="s">
        <v>35</v>
      </c>
      <c r="C1311" t="s">
        <v>52</v>
      </c>
      <c r="D1311" t="str">
        <f t="shared" si="120"/>
        <v>AZ</v>
      </c>
      <c r="E1311" t="str">
        <f t="shared" si="121"/>
        <v>Southwest</v>
      </c>
      <c r="F1311" t="s">
        <v>18</v>
      </c>
      <c r="G1311" s="1">
        <v>45033</v>
      </c>
      <c r="H1311" s="1">
        <v>45038</v>
      </c>
      <c r="I1311" s="1">
        <f t="shared" si="125"/>
        <v>45038</v>
      </c>
      <c r="J1311" s="2">
        <v>52.4</v>
      </c>
      <c r="K1311" s="2">
        <v>339.51</v>
      </c>
      <c r="L1311" t="s">
        <v>15</v>
      </c>
      <c r="M1311" s="2">
        <v>1949</v>
      </c>
      <c r="N1311" s="2">
        <v>5</v>
      </c>
      <c r="O1311" s="2">
        <f t="shared" si="122"/>
        <v>389.8</v>
      </c>
      <c r="P1311" s="2">
        <f t="shared" si="123"/>
        <v>1.1481252393154842</v>
      </c>
      <c r="Q1311" s="3">
        <f t="shared" si="124"/>
        <v>0.17419702411493074</v>
      </c>
    </row>
    <row r="1312" spans="1:17" x14ac:dyDescent="0.25">
      <c r="A1312" t="s">
        <v>1383</v>
      </c>
      <c r="B1312" t="s">
        <v>20</v>
      </c>
      <c r="C1312" t="s">
        <v>81</v>
      </c>
      <c r="D1312" t="str">
        <f t="shared" si="120"/>
        <v>CO</v>
      </c>
      <c r="E1312" t="str">
        <f t="shared" si="121"/>
        <v>West</v>
      </c>
      <c r="F1312" t="s">
        <v>42</v>
      </c>
      <c r="G1312" s="1">
        <v>45166</v>
      </c>
      <c r="H1312" s="1">
        <v>45172</v>
      </c>
      <c r="I1312" s="1">
        <f t="shared" si="125"/>
        <v>45172</v>
      </c>
      <c r="J1312" s="2">
        <v>20.5</v>
      </c>
      <c r="K1312" s="2">
        <v>105.64</v>
      </c>
      <c r="L1312" t="s">
        <v>15</v>
      </c>
      <c r="M1312" s="2">
        <v>638</v>
      </c>
      <c r="N1312" s="2">
        <v>6</v>
      </c>
      <c r="O1312" s="2">
        <f t="shared" si="122"/>
        <v>106.33333333333333</v>
      </c>
      <c r="P1312" s="2">
        <f t="shared" si="123"/>
        <v>1.0065631705162186</v>
      </c>
      <c r="Q1312" s="3">
        <f t="shared" si="124"/>
        <v>0.16557993730407525</v>
      </c>
    </row>
    <row r="1313" spans="1:17" x14ac:dyDescent="0.25">
      <c r="A1313" t="s">
        <v>1384</v>
      </c>
      <c r="B1313" t="s">
        <v>35</v>
      </c>
      <c r="C1313" t="s">
        <v>81</v>
      </c>
      <c r="D1313" t="str">
        <f t="shared" si="120"/>
        <v>CO</v>
      </c>
      <c r="E1313" t="str">
        <f t="shared" si="121"/>
        <v>West</v>
      </c>
      <c r="F1313" t="s">
        <v>59</v>
      </c>
      <c r="G1313" s="1">
        <v>45148</v>
      </c>
      <c r="H1313" s="1">
        <v>45151</v>
      </c>
      <c r="I1313" s="1">
        <f t="shared" si="125"/>
        <v>45151</v>
      </c>
      <c r="J1313" s="2">
        <v>21.5</v>
      </c>
      <c r="K1313" s="2">
        <v>127.75</v>
      </c>
      <c r="L1313" t="s">
        <v>62</v>
      </c>
      <c r="M1313" s="2">
        <v>1000</v>
      </c>
      <c r="N1313" s="2">
        <v>3</v>
      </c>
      <c r="O1313" s="2">
        <f t="shared" si="122"/>
        <v>333.33333333333331</v>
      </c>
      <c r="P1313" s="2">
        <f t="shared" si="123"/>
        <v>2.6092628832354858</v>
      </c>
      <c r="Q1313" s="3">
        <f t="shared" si="124"/>
        <v>0.12775</v>
      </c>
    </row>
    <row r="1314" spans="1:17" hidden="1" x14ac:dyDescent="0.25">
      <c r="A1314" t="s">
        <v>1385</v>
      </c>
      <c r="B1314" t="s">
        <v>56</v>
      </c>
      <c r="C1314" t="s">
        <v>44</v>
      </c>
      <c r="D1314" t="str">
        <f t="shared" si="120"/>
        <v>IL</v>
      </c>
      <c r="E1314" t="str">
        <f t="shared" si="121"/>
        <v>Midwest</v>
      </c>
      <c r="F1314" t="s">
        <v>37</v>
      </c>
      <c r="G1314" s="1">
        <v>45270</v>
      </c>
      <c r="H1314" s="1">
        <v>45275</v>
      </c>
      <c r="I1314" s="1">
        <f t="shared" si="125"/>
        <v>45275</v>
      </c>
      <c r="J1314" s="2">
        <v>34.9</v>
      </c>
      <c r="K1314" s="2">
        <v>296.79000000000002</v>
      </c>
      <c r="L1314" t="s">
        <v>15</v>
      </c>
      <c r="M1314" s="2">
        <v>1876</v>
      </c>
      <c r="N1314" s="2">
        <v>5</v>
      </c>
      <c r="O1314" s="2">
        <f t="shared" si="122"/>
        <v>375.2</v>
      </c>
      <c r="P1314" s="2">
        <f t="shared" si="123"/>
        <v>1.2641935375181104</v>
      </c>
      <c r="Q1314" s="3">
        <f t="shared" si="124"/>
        <v>0.15820362473347549</v>
      </c>
    </row>
    <row r="1315" spans="1:17" x14ac:dyDescent="0.25">
      <c r="A1315" t="s">
        <v>1386</v>
      </c>
      <c r="B1315" t="s">
        <v>39</v>
      </c>
      <c r="C1315" t="s">
        <v>13</v>
      </c>
      <c r="D1315" t="str">
        <f t="shared" si="120"/>
        <v>CA</v>
      </c>
      <c r="E1315" t="str">
        <f t="shared" si="121"/>
        <v>West</v>
      </c>
      <c r="F1315" t="s">
        <v>32</v>
      </c>
      <c r="G1315" s="1">
        <v>45217</v>
      </c>
      <c r="H1315" s="1">
        <v>45223</v>
      </c>
      <c r="I1315" s="1">
        <f t="shared" si="125"/>
        <v>45223</v>
      </c>
      <c r="J1315" s="2">
        <v>73</v>
      </c>
      <c r="K1315" s="2">
        <v>347.07</v>
      </c>
      <c r="L1315" t="s">
        <v>15</v>
      </c>
      <c r="M1315" s="2">
        <v>1762</v>
      </c>
      <c r="N1315" s="2">
        <v>6</v>
      </c>
      <c r="O1315" s="2">
        <f t="shared" si="122"/>
        <v>293.66666666666669</v>
      </c>
      <c r="P1315" s="2">
        <f t="shared" si="123"/>
        <v>0.84613094380576448</v>
      </c>
      <c r="Q1315" s="3">
        <f t="shared" si="124"/>
        <v>0.1969750283768445</v>
      </c>
    </row>
    <row r="1316" spans="1:17" hidden="1" x14ac:dyDescent="0.25">
      <c r="A1316" t="s">
        <v>1387</v>
      </c>
      <c r="B1316" t="s">
        <v>30</v>
      </c>
      <c r="C1316" t="s">
        <v>54</v>
      </c>
      <c r="D1316" t="str">
        <f t="shared" si="120"/>
        <v>FL</v>
      </c>
      <c r="E1316" t="str">
        <f t="shared" si="121"/>
        <v>Southeast</v>
      </c>
      <c r="F1316" t="s">
        <v>37</v>
      </c>
      <c r="G1316" s="1">
        <v>45195</v>
      </c>
      <c r="H1316" s="1">
        <v>45199</v>
      </c>
      <c r="I1316" s="1">
        <f t="shared" si="125"/>
        <v>45199</v>
      </c>
      <c r="J1316" s="2">
        <v>37.9</v>
      </c>
      <c r="K1316" s="2">
        <v>183.19</v>
      </c>
      <c r="L1316" t="s">
        <v>15</v>
      </c>
      <c r="M1316" s="2">
        <v>1274</v>
      </c>
      <c r="N1316" s="2">
        <v>4</v>
      </c>
      <c r="O1316" s="2">
        <f t="shared" si="122"/>
        <v>318.5</v>
      </c>
      <c r="P1316" s="2">
        <f t="shared" si="123"/>
        <v>1.738632021398548</v>
      </c>
      <c r="Q1316" s="3">
        <f t="shared" si="124"/>
        <v>0.1437912087912088</v>
      </c>
    </row>
    <row r="1317" spans="1:17" hidden="1" x14ac:dyDescent="0.25">
      <c r="A1317" t="s">
        <v>1388</v>
      </c>
      <c r="B1317" t="s">
        <v>30</v>
      </c>
      <c r="C1317" t="s">
        <v>46</v>
      </c>
      <c r="D1317" t="str">
        <f t="shared" si="120"/>
        <v>MA</v>
      </c>
      <c r="E1317" t="str">
        <f t="shared" si="121"/>
        <v>Northeast</v>
      </c>
      <c r="F1317" t="s">
        <v>59</v>
      </c>
      <c r="G1317" s="1">
        <v>45279</v>
      </c>
      <c r="H1317" s="1">
        <v>45284</v>
      </c>
      <c r="I1317" s="1">
        <f t="shared" si="125"/>
        <v>45284</v>
      </c>
      <c r="J1317" s="2">
        <v>80.099999999999994</v>
      </c>
      <c r="K1317" s="2">
        <v>423.48</v>
      </c>
      <c r="L1317" t="s">
        <v>60</v>
      </c>
      <c r="M1317" s="2">
        <v>2412</v>
      </c>
      <c r="N1317" s="2">
        <v>5</v>
      </c>
      <c r="O1317" s="2">
        <f t="shared" si="122"/>
        <v>482.4</v>
      </c>
      <c r="P1317" s="2">
        <f t="shared" si="123"/>
        <v>1.1391328988381977</v>
      </c>
      <c r="Q1317" s="3">
        <f t="shared" si="124"/>
        <v>0.17557213930348259</v>
      </c>
    </row>
    <row r="1318" spans="1:17" hidden="1" x14ac:dyDescent="0.25">
      <c r="A1318" t="s">
        <v>1389</v>
      </c>
      <c r="B1318" t="s">
        <v>51</v>
      </c>
      <c r="C1318" t="s">
        <v>21</v>
      </c>
      <c r="D1318" t="str">
        <f t="shared" si="120"/>
        <v>TX</v>
      </c>
      <c r="E1318" t="str">
        <f t="shared" si="121"/>
        <v>Southwest</v>
      </c>
      <c r="F1318" t="s">
        <v>32</v>
      </c>
      <c r="G1318" s="1">
        <v>44994</v>
      </c>
      <c r="H1318" s="1">
        <v>44996</v>
      </c>
      <c r="I1318" s="1">
        <f t="shared" si="125"/>
        <v>44996</v>
      </c>
      <c r="J1318" s="2">
        <v>28.5</v>
      </c>
      <c r="K1318" s="2">
        <v>54.64</v>
      </c>
      <c r="L1318" t="s">
        <v>15</v>
      </c>
      <c r="M1318" s="2">
        <v>131</v>
      </c>
      <c r="N1318" s="2">
        <v>2</v>
      </c>
      <c r="O1318" s="2">
        <f t="shared" si="122"/>
        <v>65.5</v>
      </c>
      <c r="P1318" s="2">
        <f t="shared" si="123"/>
        <v>1.1987554904831625</v>
      </c>
      <c r="Q1318" s="3">
        <f t="shared" si="124"/>
        <v>0.41709923664122139</v>
      </c>
    </row>
    <row r="1319" spans="1:17" hidden="1" x14ac:dyDescent="0.25">
      <c r="A1319" t="s">
        <v>1390</v>
      </c>
      <c r="B1319" t="s">
        <v>23</v>
      </c>
      <c r="C1319" t="s">
        <v>57</v>
      </c>
      <c r="D1319" t="str">
        <f t="shared" si="120"/>
        <v>MN</v>
      </c>
      <c r="E1319" t="str">
        <f t="shared" si="121"/>
        <v>Midwest</v>
      </c>
      <c r="F1319" t="s">
        <v>37</v>
      </c>
      <c r="G1319" s="1">
        <v>44939</v>
      </c>
      <c r="H1319" s="1">
        <v>44945</v>
      </c>
      <c r="I1319" s="1">
        <f t="shared" si="125"/>
        <v>44945</v>
      </c>
      <c r="J1319" s="2">
        <v>27.9</v>
      </c>
      <c r="K1319" s="2">
        <v>311.69</v>
      </c>
      <c r="L1319" t="s">
        <v>15</v>
      </c>
      <c r="M1319" s="2">
        <v>2297</v>
      </c>
      <c r="N1319" s="2">
        <v>6</v>
      </c>
      <c r="O1319" s="2">
        <f t="shared" si="122"/>
        <v>382.83333333333331</v>
      </c>
      <c r="P1319" s="2">
        <f t="shared" si="123"/>
        <v>1.2282502914220326</v>
      </c>
      <c r="Q1319" s="3">
        <f t="shared" si="124"/>
        <v>0.13569438397910319</v>
      </c>
    </row>
    <row r="1320" spans="1:17" hidden="1" x14ac:dyDescent="0.25">
      <c r="A1320" t="s">
        <v>1391</v>
      </c>
      <c r="B1320" t="s">
        <v>49</v>
      </c>
      <c r="C1320" t="s">
        <v>17</v>
      </c>
      <c r="D1320" t="str">
        <f t="shared" si="120"/>
        <v>GA</v>
      </c>
      <c r="E1320" t="str">
        <f t="shared" si="121"/>
        <v>Southeast</v>
      </c>
      <c r="F1320" t="s">
        <v>32</v>
      </c>
      <c r="G1320" s="1">
        <v>45189</v>
      </c>
      <c r="H1320" s="1">
        <v>45195</v>
      </c>
      <c r="I1320" s="1">
        <f t="shared" si="125"/>
        <v>45195</v>
      </c>
      <c r="J1320" s="2">
        <v>11.9</v>
      </c>
      <c r="K1320" s="2">
        <v>263.5</v>
      </c>
      <c r="L1320" t="s">
        <v>15</v>
      </c>
      <c r="M1320" s="2">
        <v>1772</v>
      </c>
      <c r="N1320" s="2">
        <v>6</v>
      </c>
      <c r="O1320" s="2">
        <f t="shared" si="122"/>
        <v>295.33333333333331</v>
      </c>
      <c r="P1320" s="2">
        <f t="shared" si="123"/>
        <v>1.120809614168248</v>
      </c>
      <c r="Q1320" s="3">
        <f t="shared" si="124"/>
        <v>0.14870203160270881</v>
      </c>
    </row>
    <row r="1321" spans="1:17" hidden="1" x14ac:dyDescent="0.25">
      <c r="A1321" t="s">
        <v>1392</v>
      </c>
      <c r="B1321" t="s">
        <v>23</v>
      </c>
      <c r="C1321" t="s">
        <v>40</v>
      </c>
      <c r="D1321" t="str">
        <f t="shared" si="120"/>
        <v>MI</v>
      </c>
      <c r="E1321" t="str">
        <f t="shared" si="121"/>
        <v>Midwest</v>
      </c>
      <c r="F1321" t="s">
        <v>59</v>
      </c>
      <c r="G1321" s="1">
        <v>45050</v>
      </c>
      <c r="H1321" s="1">
        <v>45056</v>
      </c>
      <c r="I1321" s="1">
        <f t="shared" si="125"/>
        <v>45056</v>
      </c>
      <c r="J1321" s="2">
        <v>18.7</v>
      </c>
      <c r="K1321" s="2">
        <v>264.01</v>
      </c>
      <c r="L1321" t="s">
        <v>15</v>
      </c>
      <c r="M1321" s="2">
        <v>2316</v>
      </c>
      <c r="N1321" s="2">
        <v>6</v>
      </c>
      <c r="O1321" s="2">
        <f t="shared" si="122"/>
        <v>386</v>
      </c>
      <c r="P1321" s="2">
        <f t="shared" si="123"/>
        <v>1.462065830839741</v>
      </c>
      <c r="Q1321" s="3">
        <f t="shared" si="124"/>
        <v>0.11399395509499136</v>
      </c>
    </row>
    <row r="1322" spans="1:17" hidden="1" x14ac:dyDescent="0.25">
      <c r="A1322" t="s">
        <v>1393</v>
      </c>
      <c r="B1322" t="s">
        <v>51</v>
      </c>
      <c r="C1322" t="s">
        <v>44</v>
      </c>
      <c r="D1322" t="str">
        <f t="shared" ref="D1322:D1385" si="126">IF(C1322="Atlanta","GA",
IF(C1322="Boston","MA",
IF(C1322="Chicago","IL",
IF(C1322="Dallas","TX",
IF(C1322="Denver","CO",
IF(C1322="Detroit","MI",
IF(C1322="Houston","TX",
IF(C1322="Los Angeles","CA",
IF(C1322="Miami","FL",
IF(C1322="Minneapolis","MN",
IF(C1322="New York","NY",
IF(C1322="Phoenix","AZ",
IF(C1322="Portland","OR",
IF(C1322="San Francisco","CA",
IF(C1322="Seattle","WA","Unknown")))))))))))))))</f>
        <v>IL</v>
      </c>
      <c r="E1322" t="str">
        <f t="shared" ref="E1322:E1385" si="127">IF(OR(D1322="NY",D1322="NJ",D1322="PA",D1322="MA",D1322="CT",D1322="RI",D1322="VT",D1322="NH",D1322="ME"),"Northeast",
IF(OR(D1322="FL",D1322="GA",D1322="AL",D1322="MS",D1322="SC",D1322="NC",D1322="TN",D1322="KY"),"Southeast",
IF(OR(D1322="IL",D1322="IN",D1322="OH",D1322="MI",D1322="WI",D1322="MN",D1322="IA",D1322="MO",D1322="KS",D1322="NE",D1322="ND",D1322="SD"),"Midwest",
IF(OR(D1322="TX",D1322="OK",D1322="NM",D1322="AZ"),"Southwest",
IF(OR(D1322="CA",D1322="OR",D1322="WA",D1322="NV",D1322="CO",D1322="UT",D1322="ID",D1322="MT",D1322="WY",D1322="AK",D1322="HI"),"West","Other")))))</f>
        <v>Midwest</v>
      </c>
      <c r="F1322" t="s">
        <v>59</v>
      </c>
      <c r="G1322" s="1">
        <v>45024</v>
      </c>
      <c r="H1322" s="1">
        <v>45027</v>
      </c>
      <c r="I1322" s="1">
        <f t="shared" si="125"/>
        <v>45027</v>
      </c>
      <c r="J1322" s="2">
        <v>26.3</v>
      </c>
      <c r="K1322" s="2">
        <v>113.91</v>
      </c>
      <c r="L1322" t="s">
        <v>15</v>
      </c>
      <c r="M1322" s="2">
        <v>790</v>
      </c>
      <c r="N1322" s="2">
        <v>3</v>
      </c>
      <c r="O1322" s="2">
        <f t="shared" ref="O1322:O1385" si="128">M1322/N1322</f>
        <v>263.33333333333331</v>
      </c>
      <c r="P1322" s="2">
        <f t="shared" ref="P1322:P1385" si="129">O1322/K1322</f>
        <v>2.3117665993620693</v>
      </c>
      <c r="Q1322" s="3">
        <f t="shared" ref="Q1322:Q1385" si="130">K1322/M1322</f>
        <v>0.14418987341772152</v>
      </c>
    </row>
    <row r="1323" spans="1:17" hidden="1" x14ac:dyDescent="0.25">
      <c r="A1323" t="s">
        <v>1394</v>
      </c>
      <c r="B1323" t="s">
        <v>51</v>
      </c>
      <c r="C1323" t="s">
        <v>57</v>
      </c>
      <c r="D1323" t="str">
        <f t="shared" si="126"/>
        <v>MN</v>
      </c>
      <c r="E1323" t="str">
        <f t="shared" si="127"/>
        <v>Midwest</v>
      </c>
      <c r="F1323" t="s">
        <v>32</v>
      </c>
      <c r="G1323" s="1">
        <v>45128</v>
      </c>
      <c r="H1323" s="1">
        <v>45133</v>
      </c>
      <c r="I1323" s="1">
        <f t="shared" si="125"/>
        <v>45133</v>
      </c>
      <c r="J1323" s="2">
        <v>50.9</v>
      </c>
      <c r="K1323" s="2">
        <v>324.7</v>
      </c>
      <c r="L1323" t="s">
        <v>15</v>
      </c>
      <c r="M1323" s="2">
        <v>2180</v>
      </c>
      <c r="N1323" s="2">
        <v>5</v>
      </c>
      <c r="O1323" s="2">
        <f t="shared" si="128"/>
        <v>436</v>
      </c>
      <c r="P1323" s="2">
        <f t="shared" si="129"/>
        <v>1.3427779488758855</v>
      </c>
      <c r="Q1323" s="3">
        <f t="shared" si="130"/>
        <v>0.14894495412844036</v>
      </c>
    </row>
    <row r="1324" spans="1:17" x14ac:dyDescent="0.25">
      <c r="A1324" t="s">
        <v>1395</v>
      </c>
      <c r="B1324" t="s">
        <v>39</v>
      </c>
      <c r="C1324" t="s">
        <v>13</v>
      </c>
      <c r="D1324" t="str">
        <f t="shared" si="126"/>
        <v>CA</v>
      </c>
      <c r="E1324" t="str">
        <f t="shared" si="127"/>
        <v>West</v>
      </c>
      <c r="F1324" t="s">
        <v>14</v>
      </c>
      <c r="G1324" s="1">
        <v>44987</v>
      </c>
      <c r="H1324" s="1">
        <v>44992</v>
      </c>
      <c r="I1324" s="1">
        <f t="shared" si="125"/>
        <v>44992</v>
      </c>
      <c r="J1324" s="2">
        <v>47.2</v>
      </c>
      <c r="K1324" s="2">
        <v>231.01</v>
      </c>
      <c r="L1324" t="s">
        <v>15</v>
      </c>
      <c r="M1324" s="2">
        <v>1362</v>
      </c>
      <c r="N1324" s="2">
        <v>5</v>
      </c>
      <c r="O1324" s="2">
        <f t="shared" si="128"/>
        <v>272.39999999999998</v>
      </c>
      <c r="P1324" s="2">
        <f t="shared" si="129"/>
        <v>1.179169732911995</v>
      </c>
      <c r="Q1324" s="3">
        <f t="shared" si="130"/>
        <v>0.1696108663729809</v>
      </c>
    </row>
    <row r="1325" spans="1:17" hidden="1" x14ac:dyDescent="0.25">
      <c r="A1325" t="s">
        <v>1396</v>
      </c>
      <c r="B1325" t="s">
        <v>20</v>
      </c>
      <c r="C1325" t="s">
        <v>52</v>
      </c>
      <c r="D1325" t="str">
        <f t="shared" si="126"/>
        <v>AZ</v>
      </c>
      <c r="E1325" t="str">
        <f t="shared" si="127"/>
        <v>Southwest</v>
      </c>
      <c r="F1325" t="s">
        <v>14</v>
      </c>
      <c r="G1325" s="1">
        <v>44935</v>
      </c>
      <c r="H1325" s="1">
        <v>44939</v>
      </c>
      <c r="I1325" s="1">
        <f t="shared" si="125"/>
        <v>44939</v>
      </c>
      <c r="J1325" s="2">
        <v>13</v>
      </c>
      <c r="K1325" s="2">
        <v>59.81</v>
      </c>
      <c r="L1325" t="s">
        <v>15</v>
      </c>
      <c r="M1325" s="2">
        <v>373</v>
      </c>
      <c r="N1325" s="2">
        <v>4</v>
      </c>
      <c r="O1325" s="2">
        <f t="shared" si="128"/>
        <v>93.25</v>
      </c>
      <c r="P1325" s="2">
        <f t="shared" si="129"/>
        <v>1.559103828791172</v>
      </c>
      <c r="Q1325" s="3">
        <f t="shared" si="130"/>
        <v>0.16034852546916892</v>
      </c>
    </row>
    <row r="1326" spans="1:17" hidden="1" x14ac:dyDescent="0.25">
      <c r="A1326" t="s">
        <v>1397</v>
      </c>
      <c r="B1326" t="s">
        <v>20</v>
      </c>
      <c r="C1326" t="s">
        <v>44</v>
      </c>
      <c r="D1326" t="str">
        <f t="shared" si="126"/>
        <v>IL</v>
      </c>
      <c r="E1326" t="str">
        <f t="shared" si="127"/>
        <v>Midwest</v>
      </c>
      <c r="F1326" t="s">
        <v>42</v>
      </c>
      <c r="G1326" s="1">
        <v>45252</v>
      </c>
      <c r="H1326" s="1">
        <v>45257</v>
      </c>
      <c r="I1326" s="1">
        <f t="shared" si="125"/>
        <v>45257</v>
      </c>
      <c r="J1326" s="2">
        <v>43.7</v>
      </c>
      <c r="K1326" s="2">
        <v>283.67</v>
      </c>
      <c r="L1326" t="s">
        <v>15</v>
      </c>
      <c r="M1326" s="2">
        <v>1750</v>
      </c>
      <c r="N1326" s="2">
        <v>5</v>
      </c>
      <c r="O1326" s="2">
        <f t="shared" si="128"/>
        <v>350</v>
      </c>
      <c r="P1326" s="2">
        <f t="shared" si="129"/>
        <v>1.2338280396235062</v>
      </c>
      <c r="Q1326" s="3">
        <f t="shared" si="130"/>
        <v>0.16209714285714286</v>
      </c>
    </row>
    <row r="1327" spans="1:17" x14ac:dyDescent="0.25">
      <c r="A1327" t="s">
        <v>1398</v>
      </c>
      <c r="B1327" t="s">
        <v>20</v>
      </c>
      <c r="C1327" t="s">
        <v>81</v>
      </c>
      <c r="D1327" t="str">
        <f t="shared" si="126"/>
        <v>CO</v>
      </c>
      <c r="E1327" t="str">
        <f t="shared" si="127"/>
        <v>West</v>
      </c>
      <c r="F1327" t="s">
        <v>18</v>
      </c>
      <c r="G1327" s="1">
        <v>45052</v>
      </c>
      <c r="H1327" s="1">
        <v>45055</v>
      </c>
      <c r="I1327" s="1">
        <f t="shared" si="125"/>
        <v>45055</v>
      </c>
      <c r="J1327" s="2">
        <v>4.0999999999999996</v>
      </c>
      <c r="K1327" s="2">
        <v>168.66</v>
      </c>
      <c r="L1327" t="s">
        <v>15</v>
      </c>
      <c r="M1327" s="2">
        <v>1178</v>
      </c>
      <c r="N1327" s="2">
        <v>3</v>
      </c>
      <c r="O1327" s="2">
        <f t="shared" si="128"/>
        <v>392.66666666666669</v>
      </c>
      <c r="P1327" s="2">
        <f t="shared" si="129"/>
        <v>2.3281552630538758</v>
      </c>
      <c r="Q1327" s="3">
        <f t="shared" si="130"/>
        <v>0.1431748726655348</v>
      </c>
    </row>
    <row r="1328" spans="1:17" hidden="1" x14ac:dyDescent="0.25">
      <c r="A1328" t="s">
        <v>1399</v>
      </c>
      <c r="B1328" t="s">
        <v>27</v>
      </c>
      <c r="C1328" t="s">
        <v>40</v>
      </c>
      <c r="D1328" t="str">
        <f t="shared" si="126"/>
        <v>MI</v>
      </c>
      <c r="E1328" t="str">
        <f t="shared" si="127"/>
        <v>Midwest</v>
      </c>
      <c r="F1328" t="s">
        <v>18</v>
      </c>
      <c r="G1328" s="1">
        <v>45023</v>
      </c>
      <c r="H1328" s="1">
        <v>45039</v>
      </c>
      <c r="I1328" s="1">
        <f t="shared" si="125"/>
        <v>45039</v>
      </c>
      <c r="J1328" s="2">
        <v>22.1</v>
      </c>
      <c r="K1328" s="2">
        <v>381.8</v>
      </c>
      <c r="L1328" t="s">
        <v>47</v>
      </c>
      <c r="M1328" s="2">
        <v>2348</v>
      </c>
      <c r="N1328" s="2">
        <v>7</v>
      </c>
      <c r="O1328" s="2">
        <f t="shared" si="128"/>
        <v>335.42857142857144</v>
      </c>
      <c r="P1328" s="2">
        <f t="shared" si="129"/>
        <v>0.87854523684801322</v>
      </c>
      <c r="Q1328" s="3">
        <f t="shared" si="130"/>
        <v>0.16260647359454855</v>
      </c>
    </row>
    <row r="1329" spans="1:17" x14ac:dyDescent="0.25">
      <c r="A1329" t="s">
        <v>1400</v>
      </c>
      <c r="B1329" t="s">
        <v>23</v>
      </c>
      <c r="C1329" t="s">
        <v>70</v>
      </c>
      <c r="D1329" t="str">
        <f t="shared" si="126"/>
        <v>CA</v>
      </c>
      <c r="E1329" t="str">
        <f t="shared" si="127"/>
        <v>West</v>
      </c>
      <c r="F1329" t="s">
        <v>59</v>
      </c>
      <c r="G1329" s="1">
        <v>44927</v>
      </c>
      <c r="H1329" s="1">
        <v>44932</v>
      </c>
      <c r="I1329" s="1">
        <f t="shared" si="125"/>
        <v>44932</v>
      </c>
      <c r="J1329" s="2">
        <v>10.7</v>
      </c>
      <c r="K1329" s="2">
        <v>246.62</v>
      </c>
      <c r="L1329" t="s">
        <v>62</v>
      </c>
      <c r="M1329" s="2">
        <v>2185</v>
      </c>
      <c r="N1329" s="2">
        <v>5</v>
      </c>
      <c r="O1329" s="2">
        <f t="shared" si="128"/>
        <v>437</v>
      </c>
      <c r="P1329" s="2">
        <f t="shared" si="129"/>
        <v>1.7719568567026194</v>
      </c>
      <c r="Q1329" s="3">
        <f t="shared" si="130"/>
        <v>0.1128695652173913</v>
      </c>
    </row>
    <row r="1330" spans="1:17" x14ac:dyDescent="0.25">
      <c r="A1330" t="s">
        <v>1401</v>
      </c>
      <c r="B1330" t="s">
        <v>56</v>
      </c>
      <c r="C1330" t="s">
        <v>24</v>
      </c>
      <c r="D1330" t="str">
        <f t="shared" si="126"/>
        <v>WA</v>
      </c>
      <c r="E1330" t="str">
        <f t="shared" si="127"/>
        <v>West</v>
      </c>
      <c r="F1330" t="s">
        <v>25</v>
      </c>
      <c r="G1330" s="1">
        <v>44977</v>
      </c>
      <c r="H1330" s="1">
        <v>44983</v>
      </c>
      <c r="I1330" s="1">
        <f t="shared" si="125"/>
        <v>44983</v>
      </c>
      <c r="J1330" s="2">
        <v>25.1</v>
      </c>
      <c r="K1330" s="2">
        <v>298.55</v>
      </c>
      <c r="L1330" t="s">
        <v>15</v>
      </c>
      <c r="M1330" s="2">
        <v>2095</v>
      </c>
      <c r="N1330" s="2">
        <v>6</v>
      </c>
      <c r="O1330" s="2">
        <f t="shared" si="128"/>
        <v>349.16666666666669</v>
      </c>
      <c r="P1330" s="2">
        <f t="shared" si="129"/>
        <v>1.169541673644839</v>
      </c>
      <c r="Q1330" s="3">
        <f t="shared" si="130"/>
        <v>0.14250596658711218</v>
      </c>
    </row>
    <row r="1331" spans="1:17" x14ac:dyDescent="0.25">
      <c r="A1331" t="s">
        <v>1402</v>
      </c>
      <c r="B1331" t="s">
        <v>39</v>
      </c>
      <c r="C1331" t="s">
        <v>24</v>
      </c>
      <c r="D1331" t="str">
        <f t="shared" si="126"/>
        <v>WA</v>
      </c>
      <c r="E1331" t="str">
        <f t="shared" si="127"/>
        <v>West</v>
      </c>
      <c r="F1331" t="s">
        <v>25</v>
      </c>
      <c r="G1331" s="1">
        <v>44955</v>
      </c>
      <c r="H1331" s="1">
        <v>44956</v>
      </c>
      <c r="I1331" s="1">
        <f t="shared" si="125"/>
        <v>44956</v>
      </c>
      <c r="J1331" s="2">
        <v>24.3</v>
      </c>
      <c r="K1331" s="2">
        <v>115.18</v>
      </c>
      <c r="L1331" t="s">
        <v>15</v>
      </c>
      <c r="M1331" s="2">
        <v>663</v>
      </c>
      <c r="N1331" s="2">
        <v>1</v>
      </c>
      <c r="O1331" s="2">
        <f t="shared" si="128"/>
        <v>663</v>
      </c>
      <c r="P1331" s="2">
        <f t="shared" si="129"/>
        <v>5.7562076749435667</v>
      </c>
      <c r="Q1331" s="3">
        <f t="shared" si="130"/>
        <v>0.17372549019607844</v>
      </c>
    </row>
    <row r="1332" spans="1:17" x14ac:dyDescent="0.25">
      <c r="A1332" t="s">
        <v>1403</v>
      </c>
      <c r="B1332" t="s">
        <v>12</v>
      </c>
      <c r="C1332" t="s">
        <v>81</v>
      </c>
      <c r="D1332" t="str">
        <f t="shared" si="126"/>
        <v>CO</v>
      </c>
      <c r="E1332" t="str">
        <f t="shared" si="127"/>
        <v>West</v>
      </c>
      <c r="F1332" t="s">
        <v>59</v>
      </c>
      <c r="G1332" s="1">
        <v>45043</v>
      </c>
      <c r="H1332" s="1">
        <v>45048</v>
      </c>
      <c r="I1332" s="1">
        <f t="shared" si="125"/>
        <v>45048</v>
      </c>
      <c r="J1332" s="2">
        <v>8.6</v>
      </c>
      <c r="K1332" s="2">
        <v>232.52</v>
      </c>
      <c r="L1332" t="s">
        <v>15</v>
      </c>
      <c r="M1332" s="2">
        <v>2054</v>
      </c>
      <c r="N1332" s="2">
        <v>5</v>
      </c>
      <c r="O1332" s="2">
        <f t="shared" si="128"/>
        <v>410.8</v>
      </c>
      <c r="P1332" s="2">
        <f t="shared" si="129"/>
        <v>1.7667297436779632</v>
      </c>
      <c r="Q1332" s="3">
        <f t="shared" si="130"/>
        <v>0.11320350535540409</v>
      </c>
    </row>
    <row r="1333" spans="1:17" x14ac:dyDescent="0.25">
      <c r="A1333" t="s">
        <v>1404</v>
      </c>
      <c r="B1333" t="s">
        <v>49</v>
      </c>
      <c r="C1333" t="s">
        <v>24</v>
      </c>
      <c r="D1333" t="str">
        <f t="shared" si="126"/>
        <v>WA</v>
      </c>
      <c r="E1333" t="str">
        <f t="shared" si="127"/>
        <v>West</v>
      </c>
      <c r="F1333" t="s">
        <v>42</v>
      </c>
      <c r="G1333" s="1">
        <v>45267</v>
      </c>
      <c r="H1333" s="1">
        <v>45273</v>
      </c>
      <c r="I1333" s="1">
        <f t="shared" si="125"/>
        <v>45273</v>
      </c>
      <c r="J1333" s="2">
        <v>5.3</v>
      </c>
      <c r="K1333" s="2">
        <v>325.32</v>
      </c>
      <c r="L1333" t="s">
        <v>15</v>
      </c>
      <c r="M1333" s="2">
        <v>2197</v>
      </c>
      <c r="N1333" s="2">
        <v>6</v>
      </c>
      <c r="O1333" s="2">
        <f t="shared" si="128"/>
        <v>366.16666666666669</v>
      </c>
      <c r="P1333" s="2">
        <f t="shared" si="129"/>
        <v>1.1255584245255954</v>
      </c>
      <c r="Q1333" s="3">
        <f t="shared" si="130"/>
        <v>0.14807464724624489</v>
      </c>
    </row>
    <row r="1334" spans="1:17" hidden="1" x14ac:dyDescent="0.25">
      <c r="A1334" t="s">
        <v>1405</v>
      </c>
      <c r="B1334" t="s">
        <v>35</v>
      </c>
      <c r="C1334" t="s">
        <v>57</v>
      </c>
      <c r="D1334" t="str">
        <f t="shared" si="126"/>
        <v>MN</v>
      </c>
      <c r="E1334" t="str">
        <f t="shared" si="127"/>
        <v>Midwest</v>
      </c>
      <c r="F1334" t="s">
        <v>42</v>
      </c>
      <c r="G1334" s="1">
        <v>44932</v>
      </c>
      <c r="H1334" s="1">
        <v>44938</v>
      </c>
      <c r="I1334" s="1">
        <f t="shared" si="125"/>
        <v>44938</v>
      </c>
      <c r="J1334" s="2">
        <v>5.7</v>
      </c>
      <c r="K1334" s="2">
        <v>29.11</v>
      </c>
      <c r="L1334" t="s">
        <v>15</v>
      </c>
      <c r="M1334" s="2">
        <v>2368</v>
      </c>
      <c r="N1334" s="2">
        <v>6</v>
      </c>
      <c r="O1334" s="2">
        <f t="shared" si="128"/>
        <v>394.66666666666669</v>
      </c>
      <c r="P1334" s="2">
        <f t="shared" si="129"/>
        <v>13.557769380510708</v>
      </c>
      <c r="Q1334" s="3">
        <f t="shared" si="130"/>
        <v>1.2293074324324324E-2</v>
      </c>
    </row>
    <row r="1335" spans="1:17" hidden="1" x14ac:dyDescent="0.25">
      <c r="A1335" t="s">
        <v>1406</v>
      </c>
      <c r="B1335" t="s">
        <v>23</v>
      </c>
      <c r="C1335" t="s">
        <v>44</v>
      </c>
      <c r="D1335" t="str">
        <f t="shared" si="126"/>
        <v>IL</v>
      </c>
      <c r="E1335" t="str">
        <f t="shared" si="127"/>
        <v>Midwest</v>
      </c>
      <c r="F1335" t="s">
        <v>59</v>
      </c>
      <c r="G1335" s="1">
        <v>44982</v>
      </c>
      <c r="H1335" s="1">
        <v>44988</v>
      </c>
      <c r="I1335" s="1">
        <f t="shared" si="125"/>
        <v>44988</v>
      </c>
      <c r="J1335" s="2">
        <v>29.3</v>
      </c>
      <c r="K1335" s="2">
        <v>277.17</v>
      </c>
      <c r="L1335" t="s">
        <v>15</v>
      </c>
      <c r="M1335" s="2">
        <v>1989</v>
      </c>
      <c r="N1335" s="2">
        <v>6</v>
      </c>
      <c r="O1335" s="2">
        <f t="shared" si="128"/>
        <v>331.5</v>
      </c>
      <c r="P1335" s="2">
        <f t="shared" si="129"/>
        <v>1.1960168849442581</v>
      </c>
      <c r="Q1335" s="3">
        <f t="shared" si="130"/>
        <v>0.13935143288084464</v>
      </c>
    </row>
    <row r="1336" spans="1:17" hidden="1" x14ac:dyDescent="0.25">
      <c r="A1336" t="s">
        <v>1407</v>
      </c>
      <c r="B1336" t="s">
        <v>20</v>
      </c>
      <c r="C1336" t="s">
        <v>40</v>
      </c>
      <c r="D1336" t="str">
        <f t="shared" si="126"/>
        <v>MI</v>
      </c>
      <c r="E1336" t="str">
        <f t="shared" si="127"/>
        <v>Midwest</v>
      </c>
      <c r="F1336" t="s">
        <v>14</v>
      </c>
      <c r="G1336" s="1">
        <v>45209</v>
      </c>
      <c r="H1336" s="1">
        <v>45220</v>
      </c>
      <c r="I1336" s="1">
        <f t="shared" si="125"/>
        <v>45220</v>
      </c>
      <c r="J1336" s="2">
        <v>47.8</v>
      </c>
      <c r="K1336" s="2">
        <v>169.45</v>
      </c>
      <c r="L1336" t="s">
        <v>47</v>
      </c>
      <c r="M1336" s="2">
        <v>845</v>
      </c>
      <c r="N1336" s="2">
        <v>5</v>
      </c>
      <c r="O1336" s="2">
        <f t="shared" si="128"/>
        <v>169</v>
      </c>
      <c r="P1336" s="2">
        <f t="shared" si="129"/>
        <v>0.99734434936559468</v>
      </c>
      <c r="Q1336" s="3">
        <f t="shared" si="130"/>
        <v>0.20053254437869822</v>
      </c>
    </row>
    <row r="1337" spans="1:17" hidden="1" x14ac:dyDescent="0.25">
      <c r="A1337" t="s">
        <v>1408</v>
      </c>
      <c r="B1337" t="s">
        <v>27</v>
      </c>
      <c r="C1337" t="s">
        <v>52</v>
      </c>
      <c r="D1337" t="str">
        <f t="shared" si="126"/>
        <v>AZ</v>
      </c>
      <c r="E1337" t="str">
        <f t="shared" si="127"/>
        <v>Southwest</v>
      </c>
      <c r="F1337" t="s">
        <v>25</v>
      </c>
      <c r="G1337" s="1">
        <v>45185</v>
      </c>
      <c r="H1337" s="1">
        <v>45199</v>
      </c>
      <c r="I1337" s="1">
        <f t="shared" si="125"/>
        <v>45199</v>
      </c>
      <c r="J1337" s="2">
        <v>21.2</v>
      </c>
      <c r="K1337" s="2">
        <v>45.18</v>
      </c>
      <c r="L1337" t="s">
        <v>47</v>
      </c>
      <c r="M1337" s="2">
        <v>130</v>
      </c>
      <c r="N1337" s="2">
        <v>2</v>
      </c>
      <c r="O1337" s="2">
        <f t="shared" si="128"/>
        <v>65</v>
      </c>
      <c r="P1337" s="2">
        <f t="shared" si="129"/>
        <v>1.4386896857016378</v>
      </c>
      <c r="Q1337" s="3">
        <f t="shared" si="130"/>
        <v>0.34753846153846152</v>
      </c>
    </row>
    <row r="1338" spans="1:17" hidden="1" x14ac:dyDescent="0.25">
      <c r="A1338" t="s">
        <v>1409</v>
      </c>
      <c r="B1338" t="s">
        <v>39</v>
      </c>
      <c r="C1338" t="s">
        <v>52</v>
      </c>
      <c r="D1338" t="str">
        <f t="shared" si="126"/>
        <v>AZ</v>
      </c>
      <c r="E1338" t="str">
        <f t="shared" si="127"/>
        <v>Southwest</v>
      </c>
      <c r="F1338" t="s">
        <v>42</v>
      </c>
      <c r="G1338" s="1">
        <v>45097</v>
      </c>
      <c r="H1338" s="1">
        <v>45100</v>
      </c>
      <c r="I1338" s="1">
        <f t="shared" si="125"/>
        <v>45100</v>
      </c>
      <c r="J1338" s="2">
        <v>20</v>
      </c>
      <c r="K1338" s="2">
        <v>134.57</v>
      </c>
      <c r="L1338" t="s">
        <v>60</v>
      </c>
      <c r="M1338" s="2">
        <v>1020</v>
      </c>
      <c r="N1338" s="2">
        <v>3</v>
      </c>
      <c r="O1338" s="2">
        <f t="shared" si="128"/>
        <v>340</v>
      </c>
      <c r="P1338" s="2">
        <f t="shared" si="129"/>
        <v>2.5265660994278072</v>
      </c>
      <c r="Q1338" s="3">
        <f t="shared" si="130"/>
        <v>0.1319313725490196</v>
      </c>
    </row>
    <row r="1339" spans="1:17" x14ac:dyDescent="0.25">
      <c r="A1339" t="s">
        <v>1410</v>
      </c>
      <c r="B1339" t="s">
        <v>49</v>
      </c>
      <c r="C1339" t="s">
        <v>36</v>
      </c>
      <c r="D1339" t="str">
        <f t="shared" si="126"/>
        <v>OR</v>
      </c>
      <c r="E1339" t="str">
        <f t="shared" si="127"/>
        <v>West</v>
      </c>
      <c r="F1339" t="s">
        <v>59</v>
      </c>
      <c r="G1339" s="1">
        <v>45018</v>
      </c>
      <c r="H1339" s="1">
        <v>45023</v>
      </c>
      <c r="I1339" s="1">
        <f t="shared" si="125"/>
        <v>45023</v>
      </c>
      <c r="J1339" s="2">
        <v>8.4</v>
      </c>
      <c r="K1339" s="2">
        <v>83.54</v>
      </c>
      <c r="L1339" t="s">
        <v>15</v>
      </c>
      <c r="M1339" s="2">
        <v>598</v>
      </c>
      <c r="N1339" s="2">
        <v>5</v>
      </c>
      <c r="O1339" s="2">
        <f t="shared" si="128"/>
        <v>119.6</v>
      </c>
      <c r="P1339" s="2">
        <f t="shared" si="129"/>
        <v>1.4316495092171413</v>
      </c>
      <c r="Q1339" s="3">
        <f t="shared" si="130"/>
        <v>0.13969899665551841</v>
      </c>
    </row>
    <row r="1340" spans="1:17" hidden="1" x14ac:dyDescent="0.25">
      <c r="A1340" t="s">
        <v>1411</v>
      </c>
      <c r="B1340" t="s">
        <v>20</v>
      </c>
      <c r="C1340" t="s">
        <v>44</v>
      </c>
      <c r="D1340" t="str">
        <f t="shared" si="126"/>
        <v>IL</v>
      </c>
      <c r="E1340" t="str">
        <f t="shared" si="127"/>
        <v>Midwest</v>
      </c>
      <c r="F1340" t="s">
        <v>18</v>
      </c>
      <c r="G1340" s="1">
        <v>45053</v>
      </c>
      <c r="H1340" s="1">
        <v>45061</v>
      </c>
      <c r="I1340" s="1">
        <f t="shared" si="125"/>
        <v>45061</v>
      </c>
      <c r="J1340" s="2">
        <v>18.7</v>
      </c>
      <c r="K1340" s="2">
        <v>286.31</v>
      </c>
      <c r="L1340" t="s">
        <v>47</v>
      </c>
      <c r="M1340" s="2">
        <v>1743</v>
      </c>
      <c r="N1340" s="2">
        <v>5</v>
      </c>
      <c r="O1340" s="2">
        <f t="shared" si="128"/>
        <v>348.6</v>
      </c>
      <c r="P1340" s="2">
        <f t="shared" si="129"/>
        <v>1.2175613845132898</v>
      </c>
      <c r="Q1340" s="3">
        <f t="shared" si="130"/>
        <v>0.16426276534710268</v>
      </c>
    </row>
    <row r="1341" spans="1:17" hidden="1" x14ac:dyDescent="0.25">
      <c r="A1341" t="s">
        <v>1412</v>
      </c>
      <c r="B1341" t="s">
        <v>27</v>
      </c>
      <c r="C1341" t="s">
        <v>17</v>
      </c>
      <c r="D1341" t="str">
        <f t="shared" si="126"/>
        <v>GA</v>
      </c>
      <c r="E1341" t="str">
        <f t="shared" si="127"/>
        <v>Southeast</v>
      </c>
      <c r="F1341" t="s">
        <v>18</v>
      </c>
      <c r="G1341" s="1">
        <v>45203</v>
      </c>
      <c r="H1341" s="1">
        <v>45207</v>
      </c>
      <c r="I1341" s="1">
        <f t="shared" si="125"/>
        <v>45207</v>
      </c>
      <c r="J1341" s="2">
        <v>35.299999999999997</v>
      </c>
      <c r="K1341" s="2">
        <v>316.54000000000002</v>
      </c>
      <c r="L1341" t="s">
        <v>15</v>
      </c>
      <c r="M1341" s="2">
        <v>1866</v>
      </c>
      <c r="N1341" s="2">
        <v>4</v>
      </c>
      <c r="O1341" s="2">
        <f t="shared" si="128"/>
        <v>466.5</v>
      </c>
      <c r="P1341" s="2">
        <f t="shared" si="129"/>
        <v>1.4737473936943197</v>
      </c>
      <c r="Q1341" s="3">
        <f t="shared" si="130"/>
        <v>0.16963558413719187</v>
      </c>
    </row>
    <row r="1342" spans="1:17" x14ac:dyDescent="0.25">
      <c r="A1342" t="s">
        <v>1413</v>
      </c>
      <c r="B1342" t="s">
        <v>49</v>
      </c>
      <c r="C1342" t="s">
        <v>70</v>
      </c>
      <c r="D1342" t="str">
        <f t="shared" si="126"/>
        <v>CA</v>
      </c>
      <c r="E1342" t="str">
        <f t="shared" si="127"/>
        <v>West</v>
      </c>
      <c r="F1342" t="s">
        <v>37</v>
      </c>
      <c r="G1342" s="1">
        <v>45287</v>
      </c>
      <c r="H1342" s="1">
        <v>45291</v>
      </c>
      <c r="I1342" s="1">
        <f t="shared" si="125"/>
        <v>45291</v>
      </c>
      <c r="J1342" s="2">
        <v>12.7</v>
      </c>
      <c r="K1342" s="2">
        <v>208.88</v>
      </c>
      <c r="L1342" t="s">
        <v>15</v>
      </c>
      <c r="M1342" s="2">
        <v>1413</v>
      </c>
      <c r="N1342" s="2">
        <v>4</v>
      </c>
      <c r="O1342" s="2">
        <f t="shared" si="128"/>
        <v>353.25</v>
      </c>
      <c r="P1342" s="2">
        <f t="shared" si="129"/>
        <v>1.6911623898889314</v>
      </c>
      <c r="Q1342" s="3">
        <f t="shared" si="130"/>
        <v>0.14782731776362348</v>
      </c>
    </row>
    <row r="1343" spans="1:17" x14ac:dyDescent="0.25">
      <c r="A1343" t="s">
        <v>1414</v>
      </c>
      <c r="B1343" t="s">
        <v>12</v>
      </c>
      <c r="C1343" t="s">
        <v>13</v>
      </c>
      <c r="D1343" t="str">
        <f t="shared" si="126"/>
        <v>CA</v>
      </c>
      <c r="E1343" t="str">
        <f t="shared" si="127"/>
        <v>West</v>
      </c>
      <c r="F1343" t="s">
        <v>42</v>
      </c>
      <c r="G1343" s="1">
        <v>45222</v>
      </c>
      <c r="H1343" s="1">
        <v>45224</v>
      </c>
      <c r="I1343" s="1">
        <f t="shared" si="125"/>
        <v>45224</v>
      </c>
      <c r="J1343" s="2">
        <v>28</v>
      </c>
      <c r="K1343" s="2">
        <v>146.54</v>
      </c>
      <c r="L1343" t="s">
        <v>15</v>
      </c>
      <c r="M1343" s="2">
        <v>956</v>
      </c>
      <c r="N1343" s="2">
        <v>2</v>
      </c>
      <c r="O1343" s="2">
        <f t="shared" si="128"/>
        <v>478</v>
      </c>
      <c r="P1343" s="2">
        <f t="shared" si="129"/>
        <v>3.2619080114644468</v>
      </c>
      <c r="Q1343" s="3">
        <f t="shared" si="130"/>
        <v>0.15328451882845187</v>
      </c>
    </row>
    <row r="1344" spans="1:17" hidden="1" x14ac:dyDescent="0.25">
      <c r="A1344" t="s">
        <v>1415</v>
      </c>
      <c r="B1344" t="s">
        <v>56</v>
      </c>
      <c r="C1344" t="s">
        <v>31</v>
      </c>
      <c r="D1344" t="str">
        <f t="shared" si="126"/>
        <v>NY</v>
      </c>
      <c r="E1344" t="str">
        <f t="shared" si="127"/>
        <v>Northeast</v>
      </c>
      <c r="F1344" t="s">
        <v>32</v>
      </c>
      <c r="G1344" s="1">
        <v>45219</v>
      </c>
      <c r="H1344" s="1">
        <v>45223</v>
      </c>
      <c r="I1344" s="1">
        <f t="shared" si="125"/>
        <v>45223</v>
      </c>
      <c r="J1344" s="2">
        <v>12</v>
      </c>
      <c r="K1344" s="2">
        <v>210.09</v>
      </c>
      <c r="L1344" t="s">
        <v>15</v>
      </c>
      <c r="M1344" s="2">
        <v>1580</v>
      </c>
      <c r="N1344" s="2">
        <v>4</v>
      </c>
      <c r="O1344" s="2">
        <f t="shared" si="128"/>
        <v>395</v>
      </c>
      <c r="P1344" s="2">
        <f t="shared" si="129"/>
        <v>1.8801466038364509</v>
      </c>
      <c r="Q1344" s="3">
        <f t="shared" si="130"/>
        <v>0.13296835443037974</v>
      </c>
    </row>
    <row r="1345" spans="1:17" hidden="1" x14ac:dyDescent="0.25">
      <c r="A1345" t="s">
        <v>1416</v>
      </c>
      <c r="B1345" t="s">
        <v>51</v>
      </c>
      <c r="C1345" t="s">
        <v>57</v>
      </c>
      <c r="D1345" t="str">
        <f t="shared" si="126"/>
        <v>MN</v>
      </c>
      <c r="E1345" t="str">
        <f t="shared" si="127"/>
        <v>Midwest</v>
      </c>
      <c r="F1345" t="s">
        <v>59</v>
      </c>
      <c r="G1345" s="1">
        <v>45172</v>
      </c>
      <c r="H1345" s="1">
        <v>45176</v>
      </c>
      <c r="I1345" s="1">
        <f t="shared" si="125"/>
        <v>45176</v>
      </c>
      <c r="J1345" s="2">
        <v>15.1</v>
      </c>
      <c r="K1345" s="2">
        <v>152.29</v>
      </c>
      <c r="L1345" t="s">
        <v>15</v>
      </c>
      <c r="M1345" s="2">
        <v>1216</v>
      </c>
      <c r="N1345" s="2">
        <v>4</v>
      </c>
      <c r="O1345" s="2">
        <f t="shared" si="128"/>
        <v>304</v>
      </c>
      <c r="P1345" s="2">
        <f t="shared" si="129"/>
        <v>1.9961914767877078</v>
      </c>
      <c r="Q1345" s="3">
        <f t="shared" si="130"/>
        <v>0.12523848684210526</v>
      </c>
    </row>
    <row r="1346" spans="1:17" hidden="1" x14ac:dyDescent="0.25">
      <c r="A1346" t="s">
        <v>1417</v>
      </c>
      <c r="B1346" t="s">
        <v>23</v>
      </c>
      <c r="C1346" t="s">
        <v>28</v>
      </c>
      <c r="D1346" t="str">
        <f t="shared" si="126"/>
        <v>TX</v>
      </c>
      <c r="E1346" t="str">
        <f t="shared" si="127"/>
        <v>Southwest</v>
      </c>
      <c r="F1346" t="s">
        <v>32</v>
      </c>
      <c r="G1346" s="1">
        <v>44993</v>
      </c>
      <c r="H1346" s="1">
        <v>44999</v>
      </c>
      <c r="I1346" s="1">
        <f t="shared" ref="I1346:I1409" si="131">IF(H1346="", G1346 + N1346, H1346)</f>
        <v>44999</v>
      </c>
      <c r="J1346" s="2">
        <v>28.6</v>
      </c>
      <c r="K1346" s="2">
        <v>328.6</v>
      </c>
      <c r="L1346" t="s">
        <v>15</v>
      </c>
      <c r="M1346" s="2">
        <v>2066</v>
      </c>
      <c r="N1346" s="2">
        <v>6</v>
      </c>
      <c r="O1346" s="2">
        <f t="shared" si="128"/>
        <v>344.33333333333331</v>
      </c>
      <c r="P1346" s="2">
        <f t="shared" si="129"/>
        <v>1.0478798945019272</v>
      </c>
      <c r="Q1346" s="3">
        <f t="shared" si="130"/>
        <v>0.15905130687318492</v>
      </c>
    </row>
    <row r="1347" spans="1:17" x14ac:dyDescent="0.25">
      <c r="A1347" t="s">
        <v>1418</v>
      </c>
      <c r="B1347" t="s">
        <v>51</v>
      </c>
      <c r="C1347" t="s">
        <v>70</v>
      </c>
      <c r="D1347" t="str">
        <f t="shared" si="126"/>
        <v>CA</v>
      </c>
      <c r="E1347" t="str">
        <f t="shared" si="127"/>
        <v>West</v>
      </c>
      <c r="F1347" t="s">
        <v>25</v>
      </c>
      <c r="G1347" s="1">
        <v>45269</v>
      </c>
      <c r="H1347" s="1">
        <v>45272</v>
      </c>
      <c r="I1347" s="1">
        <f t="shared" si="131"/>
        <v>45272</v>
      </c>
      <c r="J1347" s="2">
        <v>40.9</v>
      </c>
      <c r="K1347" s="2">
        <v>186.93</v>
      </c>
      <c r="L1347" t="s">
        <v>60</v>
      </c>
      <c r="M1347" s="2">
        <v>855</v>
      </c>
      <c r="N1347" s="2">
        <v>3</v>
      </c>
      <c r="O1347" s="2">
        <f t="shared" si="128"/>
        <v>285</v>
      </c>
      <c r="P1347" s="2">
        <f t="shared" si="129"/>
        <v>1.5246348900658</v>
      </c>
      <c r="Q1347" s="3">
        <f t="shared" si="130"/>
        <v>0.21863157894736843</v>
      </c>
    </row>
    <row r="1348" spans="1:17" hidden="1" x14ac:dyDescent="0.25">
      <c r="A1348" t="s">
        <v>1419</v>
      </c>
      <c r="B1348" t="s">
        <v>12</v>
      </c>
      <c r="C1348" t="s">
        <v>40</v>
      </c>
      <c r="D1348" t="str">
        <f t="shared" si="126"/>
        <v>MI</v>
      </c>
      <c r="E1348" t="str">
        <f t="shared" si="127"/>
        <v>Midwest</v>
      </c>
      <c r="F1348" t="s">
        <v>59</v>
      </c>
      <c r="G1348" s="1">
        <v>45129</v>
      </c>
      <c r="H1348" s="1">
        <v>45132</v>
      </c>
      <c r="I1348" s="1">
        <f t="shared" si="131"/>
        <v>45132</v>
      </c>
      <c r="J1348" s="2">
        <v>20.7</v>
      </c>
      <c r="K1348" s="2">
        <v>57.14</v>
      </c>
      <c r="L1348" t="s">
        <v>15</v>
      </c>
      <c r="M1348" s="2">
        <v>298</v>
      </c>
      <c r="N1348" s="2">
        <v>3</v>
      </c>
      <c r="O1348" s="2">
        <f t="shared" si="128"/>
        <v>99.333333333333329</v>
      </c>
      <c r="P1348" s="2">
        <f t="shared" si="129"/>
        <v>1.7384202543460505</v>
      </c>
      <c r="Q1348" s="3">
        <f t="shared" si="130"/>
        <v>0.19174496644295302</v>
      </c>
    </row>
    <row r="1349" spans="1:17" hidden="1" x14ac:dyDescent="0.25">
      <c r="A1349" t="s">
        <v>1420</v>
      </c>
      <c r="B1349" t="s">
        <v>12</v>
      </c>
      <c r="C1349" t="s">
        <v>21</v>
      </c>
      <c r="D1349" t="str">
        <f t="shared" si="126"/>
        <v>TX</v>
      </c>
      <c r="E1349" t="str">
        <f t="shared" si="127"/>
        <v>Southwest</v>
      </c>
      <c r="F1349" t="s">
        <v>59</v>
      </c>
      <c r="G1349" s="1">
        <v>45183</v>
      </c>
      <c r="H1349" s="1">
        <v>45193</v>
      </c>
      <c r="I1349" s="1">
        <f t="shared" si="131"/>
        <v>45193</v>
      </c>
      <c r="J1349" s="2">
        <v>67.2</v>
      </c>
      <c r="K1349" s="2">
        <v>359.97</v>
      </c>
      <c r="L1349" t="s">
        <v>60</v>
      </c>
      <c r="M1349" s="2">
        <v>2311</v>
      </c>
      <c r="N1349" s="2">
        <v>10</v>
      </c>
      <c r="O1349" s="2">
        <f t="shared" si="128"/>
        <v>231.1</v>
      </c>
      <c r="P1349" s="2">
        <f t="shared" si="129"/>
        <v>0.64199794427313384</v>
      </c>
      <c r="Q1349" s="3">
        <f t="shared" si="130"/>
        <v>0.15576373864128085</v>
      </c>
    </row>
    <row r="1350" spans="1:17" hidden="1" x14ac:dyDescent="0.25">
      <c r="A1350" t="s">
        <v>1421</v>
      </c>
      <c r="B1350" t="s">
        <v>30</v>
      </c>
      <c r="C1350" t="s">
        <v>52</v>
      </c>
      <c r="D1350" t="str">
        <f t="shared" si="126"/>
        <v>AZ</v>
      </c>
      <c r="E1350" t="str">
        <f t="shared" si="127"/>
        <v>Southwest</v>
      </c>
      <c r="F1350" t="s">
        <v>32</v>
      </c>
      <c r="G1350" s="1">
        <v>45244</v>
      </c>
      <c r="H1350" s="1">
        <v>45247</v>
      </c>
      <c r="I1350" s="1">
        <f t="shared" si="131"/>
        <v>45247</v>
      </c>
      <c r="J1350" s="2">
        <v>35.200000000000003</v>
      </c>
      <c r="K1350" s="2">
        <v>87.57</v>
      </c>
      <c r="L1350" t="s">
        <v>15</v>
      </c>
      <c r="M1350" s="2">
        <v>214</v>
      </c>
      <c r="N1350" s="2">
        <v>3</v>
      </c>
      <c r="O1350" s="2">
        <f t="shared" si="128"/>
        <v>71.333333333333329</v>
      </c>
      <c r="P1350" s="2">
        <f t="shared" si="129"/>
        <v>0.81458642609721743</v>
      </c>
      <c r="Q1350" s="3">
        <f t="shared" si="130"/>
        <v>0.40920560747663548</v>
      </c>
    </row>
    <row r="1351" spans="1:17" hidden="1" x14ac:dyDescent="0.25">
      <c r="A1351" t="s">
        <v>1422</v>
      </c>
      <c r="B1351" t="s">
        <v>12</v>
      </c>
      <c r="C1351" t="s">
        <v>46</v>
      </c>
      <c r="D1351" t="str">
        <f t="shared" si="126"/>
        <v>MA</v>
      </c>
      <c r="E1351" t="str">
        <f t="shared" si="127"/>
        <v>Northeast</v>
      </c>
      <c r="F1351" t="s">
        <v>59</v>
      </c>
      <c r="G1351" s="1">
        <v>44949</v>
      </c>
      <c r="H1351" s="1">
        <v>44964</v>
      </c>
      <c r="I1351" s="1">
        <f t="shared" si="131"/>
        <v>44964</v>
      </c>
      <c r="J1351" s="2">
        <v>14.9</v>
      </c>
      <c r="K1351" s="2">
        <v>220.29</v>
      </c>
      <c r="L1351" t="s">
        <v>47</v>
      </c>
      <c r="M1351" s="2">
        <v>1859</v>
      </c>
      <c r="N1351" s="2">
        <v>5</v>
      </c>
      <c r="O1351" s="2">
        <f t="shared" si="128"/>
        <v>371.8</v>
      </c>
      <c r="P1351" s="2">
        <f t="shared" si="129"/>
        <v>1.6877752054110491</v>
      </c>
      <c r="Q1351" s="3">
        <f t="shared" si="130"/>
        <v>0.11849919311457772</v>
      </c>
    </row>
    <row r="1352" spans="1:17" hidden="1" x14ac:dyDescent="0.25">
      <c r="A1352" t="s">
        <v>1423</v>
      </c>
      <c r="B1352" t="s">
        <v>35</v>
      </c>
      <c r="C1352" t="s">
        <v>17</v>
      </c>
      <c r="D1352" t="str">
        <f t="shared" si="126"/>
        <v>GA</v>
      </c>
      <c r="E1352" t="str">
        <f t="shared" si="127"/>
        <v>Southeast</v>
      </c>
      <c r="F1352" t="s">
        <v>59</v>
      </c>
      <c r="G1352" s="1">
        <v>45050</v>
      </c>
      <c r="H1352" s="1">
        <v>45061</v>
      </c>
      <c r="I1352" s="1">
        <f t="shared" si="131"/>
        <v>45061</v>
      </c>
      <c r="J1352" s="2">
        <v>8.6</v>
      </c>
      <c r="K1352" s="2">
        <v>258.77999999999997</v>
      </c>
      <c r="L1352" t="s">
        <v>47</v>
      </c>
      <c r="M1352" s="2">
        <v>2199</v>
      </c>
      <c r="N1352" s="2">
        <v>5</v>
      </c>
      <c r="O1352" s="2">
        <f t="shared" si="128"/>
        <v>439.8</v>
      </c>
      <c r="P1352" s="2">
        <f t="shared" si="129"/>
        <v>1.6995130999304431</v>
      </c>
      <c r="Q1352" s="3">
        <f t="shared" si="130"/>
        <v>0.11768076398362891</v>
      </c>
    </row>
    <row r="1353" spans="1:17" hidden="1" x14ac:dyDescent="0.25">
      <c r="A1353" t="s">
        <v>1424</v>
      </c>
      <c r="B1353" t="s">
        <v>12</v>
      </c>
      <c r="C1353" t="s">
        <v>40</v>
      </c>
      <c r="D1353" t="str">
        <f t="shared" si="126"/>
        <v>MI</v>
      </c>
      <c r="E1353" t="str">
        <f t="shared" si="127"/>
        <v>Midwest</v>
      </c>
      <c r="F1353" t="s">
        <v>37</v>
      </c>
      <c r="G1353" s="1">
        <v>44993</v>
      </c>
      <c r="H1353" s="1">
        <v>44998</v>
      </c>
      <c r="I1353" s="1">
        <f t="shared" si="131"/>
        <v>44998</v>
      </c>
      <c r="J1353" s="2">
        <v>40.799999999999997</v>
      </c>
      <c r="K1353" s="2">
        <v>314.97000000000003</v>
      </c>
      <c r="L1353" t="s">
        <v>15</v>
      </c>
      <c r="M1353" s="2">
        <v>2330</v>
      </c>
      <c r="N1353" s="2">
        <v>5</v>
      </c>
      <c r="O1353" s="2">
        <f t="shared" si="128"/>
        <v>466</v>
      </c>
      <c r="P1353" s="2">
        <f t="shared" si="129"/>
        <v>1.4795059846969552</v>
      </c>
      <c r="Q1353" s="3">
        <f t="shared" si="130"/>
        <v>0.13518025751072962</v>
      </c>
    </row>
    <row r="1354" spans="1:17" hidden="1" x14ac:dyDescent="0.25">
      <c r="A1354" t="s">
        <v>1425</v>
      </c>
      <c r="B1354" t="s">
        <v>30</v>
      </c>
      <c r="C1354" t="s">
        <v>46</v>
      </c>
      <c r="D1354" t="str">
        <f t="shared" si="126"/>
        <v>MA</v>
      </c>
      <c r="E1354" t="str">
        <f t="shared" si="127"/>
        <v>Northeast</v>
      </c>
      <c r="F1354" t="s">
        <v>32</v>
      </c>
      <c r="G1354" s="1">
        <v>45289</v>
      </c>
      <c r="H1354" s="1">
        <v>45292</v>
      </c>
      <c r="I1354" s="1">
        <f t="shared" si="131"/>
        <v>45292</v>
      </c>
      <c r="J1354" s="2">
        <v>26.8</v>
      </c>
      <c r="K1354" s="2">
        <v>120.06</v>
      </c>
      <c r="L1354" t="s">
        <v>15</v>
      </c>
      <c r="M1354" s="2">
        <v>505</v>
      </c>
      <c r="N1354" s="2">
        <v>3</v>
      </c>
      <c r="O1354" s="2">
        <f t="shared" si="128"/>
        <v>168.33333333333334</v>
      </c>
      <c r="P1354" s="2">
        <f t="shared" si="129"/>
        <v>1.4020767394080738</v>
      </c>
      <c r="Q1354" s="3">
        <f t="shared" si="130"/>
        <v>0.23774257425742576</v>
      </c>
    </row>
    <row r="1355" spans="1:17" hidden="1" x14ac:dyDescent="0.25">
      <c r="A1355" t="s">
        <v>1426</v>
      </c>
      <c r="B1355" t="s">
        <v>12</v>
      </c>
      <c r="C1355" t="s">
        <v>46</v>
      </c>
      <c r="D1355" t="str">
        <f t="shared" si="126"/>
        <v>MA</v>
      </c>
      <c r="E1355" t="str">
        <f t="shared" si="127"/>
        <v>Northeast</v>
      </c>
      <c r="F1355" t="s">
        <v>25</v>
      </c>
      <c r="G1355" s="1">
        <v>45154</v>
      </c>
      <c r="H1355" s="1">
        <v>45159</v>
      </c>
      <c r="I1355" s="1">
        <f t="shared" si="131"/>
        <v>45159</v>
      </c>
      <c r="J1355" s="2">
        <v>12</v>
      </c>
      <c r="K1355" s="2">
        <v>190.22</v>
      </c>
      <c r="L1355" t="s">
        <v>67</v>
      </c>
      <c r="M1355" s="2">
        <v>1617</v>
      </c>
      <c r="N1355" s="2">
        <v>5</v>
      </c>
      <c r="O1355" s="2">
        <f t="shared" si="128"/>
        <v>323.39999999999998</v>
      </c>
      <c r="P1355" s="2">
        <f t="shared" si="129"/>
        <v>1.7001366838397645</v>
      </c>
      <c r="Q1355" s="3">
        <f t="shared" si="130"/>
        <v>0.11763760049474335</v>
      </c>
    </row>
    <row r="1356" spans="1:17" hidden="1" x14ac:dyDescent="0.25">
      <c r="A1356" t="s">
        <v>1427</v>
      </c>
      <c r="B1356" t="s">
        <v>56</v>
      </c>
      <c r="C1356" t="s">
        <v>31</v>
      </c>
      <c r="D1356" t="str">
        <f t="shared" si="126"/>
        <v>NY</v>
      </c>
      <c r="E1356" t="str">
        <f t="shared" si="127"/>
        <v>Northeast</v>
      </c>
      <c r="F1356" t="s">
        <v>14</v>
      </c>
      <c r="G1356" s="1">
        <v>45195</v>
      </c>
      <c r="H1356" s="1">
        <v>45199</v>
      </c>
      <c r="I1356" s="1">
        <f t="shared" si="131"/>
        <v>45199</v>
      </c>
      <c r="J1356" s="2">
        <v>54.5</v>
      </c>
      <c r="K1356" s="2">
        <v>215.64</v>
      </c>
      <c r="L1356" t="s">
        <v>15</v>
      </c>
      <c r="M1356" s="2">
        <v>1270</v>
      </c>
      <c r="N1356" s="2">
        <v>4</v>
      </c>
      <c r="O1356" s="2">
        <f t="shared" si="128"/>
        <v>317.5</v>
      </c>
      <c r="P1356" s="2">
        <f t="shared" si="129"/>
        <v>1.4723613429790392</v>
      </c>
      <c r="Q1356" s="3">
        <f t="shared" si="130"/>
        <v>0.16979527559055116</v>
      </c>
    </row>
    <row r="1357" spans="1:17" hidden="1" x14ac:dyDescent="0.25">
      <c r="A1357" t="s">
        <v>1428</v>
      </c>
      <c r="B1357" t="s">
        <v>56</v>
      </c>
      <c r="C1357" t="s">
        <v>17</v>
      </c>
      <c r="D1357" t="str">
        <f t="shared" si="126"/>
        <v>GA</v>
      </c>
      <c r="E1357" t="str">
        <f t="shared" si="127"/>
        <v>Southeast</v>
      </c>
      <c r="F1357" t="s">
        <v>37</v>
      </c>
      <c r="G1357" s="1">
        <v>45019</v>
      </c>
      <c r="H1357" s="1">
        <v>45023</v>
      </c>
      <c r="I1357" s="1">
        <f t="shared" si="131"/>
        <v>45023</v>
      </c>
      <c r="J1357" s="2">
        <v>43.5</v>
      </c>
      <c r="K1357" s="2">
        <v>288.61</v>
      </c>
      <c r="L1357" t="s">
        <v>15</v>
      </c>
      <c r="M1357" s="2">
        <v>2007</v>
      </c>
      <c r="N1357" s="2">
        <v>4</v>
      </c>
      <c r="O1357" s="2">
        <f t="shared" si="128"/>
        <v>501.75</v>
      </c>
      <c r="P1357" s="2">
        <f t="shared" si="129"/>
        <v>1.738505249298361</v>
      </c>
      <c r="Q1357" s="3">
        <f t="shared" si="130"/>
        <v>0.14380169407075238</v>
      </c>
    </row>
    <row r="1358" spans="1:17" x14ac:dyDescent="0.25">
      <c r="A1358" t="s">
        <v>1429</v>
      </c>
      <c r="B1358" t="s">
        <v>35</v>
      </c>
      <c r="C1358" t="s">
        <v>81</v>
      </c>
      <c r="D1358" t="str">
        <f t="shared" si="126"/>
        <v>CO</v>
      </c>
      <c r="E1358" t="str">
        <f t="shared" si="127"/>
        <v>West</v>
      </c>
      <c r="F1358" t="s">
        <v>59</v>
      </c>
      <c r="G1358" s="1">
        <v>45247</v>
      </c>
      <c r="H1358" s="1">
        <v>45251</v>
      </c>
      <c r="I1358" s="1">
        <f t="shared" si="131"/>
        <v>45251</v>
      </c>
      <c r="J1358" s="2">
        <v>12.5</v>
      </c>
      <c r="K1358" s="2">
        <v>159.22999999999999</v>
      </c>
      <c r="L1358" t="s">
        <v>15</v>
      </c>
      <c r="M1358" s="2">
        <v>1000</v>
      </c>
      <c r="N1358" s="2">
        <v>4</v>
      </c>
      <c r="O1358" s="2">
        <f t="shared" si="128"/>
        <v>250</v>
      </c>
      <c r="P1358" s="2">
        <f t="shared" si="129"/>
        <v>1.5700558939898261</v>
      </c>
      <c r="Q1358" s="3">
        <f t="shared" si="130"/>
        <v>0.15922999999999998</v>
      </c>
    </row>
    <row r="1359" spans="1:17" hidden="1" x14ac:dyDescent="0.25">
      <c r="A1359" t="s">
        <v>1430</v>
      </c>
      <c r="B1359" t="s">
        <v>20</v>
      </c>
      <c r="C1359" t="s">
        <v>31</v>
      </c>
      <c r="D1359" t="str">
        <f t="shared" si="126"/>
        <v>NY</v>
      </c>
      <c r="E1359" t="str">
        <f t="shared" si="127"/>
        <v>Northeast</v>
      </c>
      <c r="F1359" t="s">
        <v>59</v>
      </c>
      <c r="G1359" s="1">
        <v>45132</v>
      </c>
      <c r="H1359" s="1">
        <v>45141</v>
      </c>
      <c r="I1359" s="1">
        <f t="shared" si="131"/>
        <v>45141</v>
      </c>
      <c r="J1359" s="2">
        <v>4.3</v>
      </c>
      <c r="K1359" s="2">
        <v>17.89</v>
      </c>
      <c r="L1359" t="s">
        <v>47</v>
      </c>
      <c r="M1359" s="2">
        <v>105</v>
      </c>
      <c r="N1359" s="2">
        <v>4</v>
      </c>
      <c r="O1359" s="2">
        <f t="shared" si="128"/>
        <v>26.25</v>
      </c>
      <c r="P1359" s="2">
        <f t="shared" si="129"/>
        <v>1.4673001676914477</v>
      </c>
      <c r="Q1359" s="3">
        <f t="shared" si="130"/>
        <v>0.17038095238095238</v>
      </c>
    </row>
    <row r="1360" spans="1:17" x14ac:dyDescent="0.25">
      <c r="A1360" t="s">
        <v>1431</v>
      </c>
      <c r="B1360" t="s">
        <v>23</v>
      </c>
      <c r="C1360" t="s">
        <v>70</v>
      </c>
      <c r="D1360" t="str">
        <f t="shared" si="126"/>
        <v>CA</v>
      </c>
      <c r="E1360" t="str">
        <f t="shared" si="127"/>
        <v>West</v>
      </c>
      <c r="F1360" t="s">
        <v>37</v>
      </c>
      <c r="G1360" s="1">
        <v>45046</v>
      </c>
      <c r="H1360" s="1">
        <v>45050</v>
      </c>
      <c r="I1360" s="1">
        <f t="shared" si="131"/>
        <v>45050</v>
      </c>
      <c r="J1360" s="2">
        <v>41.2</v>
      </c>
      <c r="K1360" s="2">
        <v>137.96</v>
      </c>
      <c r="L1360" t="s">
        <v>15</v>
      </c>
      <c r="M1360" s="2">
        <v>813</v>
      </c>
      <c r="N1360" s="2">
        <v>4</v>
      </c>
      <c r="O1360" s="2">
        <f t="shared" si="128"/>
        <v>203.25</v>
      </c>
      <c r="P1360" s="2">
        <f t="shared" si="129"/>
        <v>1.4732531168454623</v>
      </c>
      <c r="Q1360" s="3">
        <f t="shared" si="130"/>
        <v>0.16969249692496927</v>
      </c>
    </row>
    <row r="1361" spans="1:17" hidden="1" x14ac:dyDescent="0.25">
      <c r="A1361" t="s">
        <v>1432</v>
      </c>
      <c r="B1361" t="s">
        <v>23</v>
      </c>
      <c r="C1361" t="s">
        <v>44</v>
      </c>
      <c r="D1361" t="str">
        <f t="shared" si="126"/>
        <v>IL</v>
      </c>
      <c r="E1361" t="str">
        <f t="shared" si="127"/>
        <v>Midwest</v>
      </c>
      <c r="F1361" t="s">
        <v>42</v>
      </c>
      <c r="G1361" s="1">
        <v>44993</v>
      </c>
      <c r="H1361" s="1">
        <v>44999</v>
      </c>
      <c r="I1361" s="1">
        <f t="shared" si="131"/>
        <v>44999</v>
      </c>
      <c r="J1361" s="2">
        <v>18.3</v>
      </c>
      <c r="K1361" s="2">
        <v>232.16</v>
      </c>
      <c r="L1361" t="s">
        <v>15</v>
      </c>
      <c r="M1361" s="2">
        <v>1746</v>
      </c>
      <c r="N1361" s="2">
        <v>6</v>
      </c>
      <c r="O1361" s="2">
        <f t="shared" si="128"/>
        <v>291</v>
      </c>
      <c r="P1361" s="2">
        <f t="shared" si="129"/>
        <v>1.2534458993797382</v>
      </c>
      <c r="Q1361" s="3">
        <f t="shared" si="130"/>
        <v>0.13296678121420388</v>
      </c>
    </row>
    <row r="1362" spans="1:17" hidden="1" x14ac:dyDescent="0.25">
      <c r="A1362" t="s">
        <v>1433</v>
      </c>
      <c r="B1362" t="s">
        <v>27</v>
      </c>
      <c r="C1362" t="s">
        <v>17</v>
      </c>
      <c r="D1362" t="str">
        <f t="shared" si="126"/>
        <v>GA</v>
      </c>
      <c r="E1362" t="str">
        <f t="shared" si="127"/>
        <v>Southeast</v>
      </c>
      <c r="F1362" t="s">
        <v>25</v>
      </c>
      <c r="G1362" s="1">
        <v>44966</v>
      </c>
      <c r="H1362" s="1">
        <v>44971</v>
      </c>
      <c r="I1362" s="1">
        <f t="shared" si="131"/>
        <v>44971</v>
      </c>
      <c r="J1362" s="2">
        <v>25.8</v>
      </c>
      <c r="K1362" s="2">
        <v>276.98</v>
      </c>
      <c r="L1362" t="s">
        <v>15</v>
      </c>
      <c r="M1362" s="2">
        <v>1911</v>
      </c>
      <c r="N1362" s="2">
        <v>5</v>
      </c>
      <c r="O1362" s="2">
        <f t="shared" si="128"/>
        <v>382.2</v>
      </c>
      <c r="P1362" s="2">
        <f t="shared" si="129"/>
        <v>1.3798830240450572</v>
      </c>
      <c r="Q1362" s="3">
        <f t="shared" si="130"/>
        <v>0.14493982208267925</v>
      </c>
    </row>
    <row r="1363" spans="1:17" x14ac:dyDescent="0.25">
      <c r="A1363" t="s">
        <v>1434</v>
      </c>
      <c r="B1363" t="s">
        <v>49</v>
      </c>
      <c r="C1363" t="s">
        <v>81</v>
      </c>
      <c r="D1363" t="str">
        <f t="shared" si="126"/>
        <v>CO</v>
      </c>
      <c r="E1363" t="str">
        <f t="shared" si="127"/>
        <v>West</v>
      </c>
      <c r="F1363" t="s">
        <v>42</v>
      </c>
      <c r="G1363" s="1">
        <v>45067</v>
      </c>
      <c r="H1363" s="1">
        <v>45073</v>
      </c>
      <c r="I1363" s="1">
        <f t="shared" si="131"/>
        <v>45073</v>
      </c>
      <c r="J1363" s="2">
        <v>6.5</v>
      </c>
      <c r="K1363" s="2">
        <v>206.26</v>
      </c>
      <c r="L1363" t="s">
        <v>15</v>
      </c>
      <c r="M1363" s="2">
        <v>1816</v>
      </c>
      <c r="N1363" s="2">
        <v>6</v>
      </c>
      <c r="O1363" s="2">
        <f t="shared" si="128"/>
        <v>302.66666666666669</v>
      </c>
      <c r="P1363" s="2">
        <f t="shared" si="129"/>
        <v>1.4674036006335047</v>
      </c>
      <c r="Q1363" s="3">
        <f t="shared" si="130"/>
        <v>0.11357929515418502</v>
      </c>
    </row>
    <row r="1364" spans="1:17" hidden="1" x14ac:dyDescent="0.25">
      <c r="A1364" t="s">
        <v>1435</v>
      </c>
      <c r="B1364" t="s">
        <v>49</v>
      </c>
      <c r="C1364" t="s">
        <v>46</v>
      </c>
      <c r="D1364" t="str">
        <f t="shared" si="126"/>
        <v>MA</v>
      </c>
      <c r="E1364" t="str">
        <f t="shared" si="127"/>
        <v>Northeast</v>
      </c>
      <c r="F1364" t="s">
        <v>25</v>
      </c>
      <c r="G1364" s="1">
        <v>45169</v>
      </c>
      <c r="H1364" s="1">
        <v>45185</v>
      </c>
      <c r="I1364" s="1">
        <f t="shared" si="131"/>
        <v>45185</v>
      </c>
      <c r="J1364" s="2">
        <v>15.5</v>
      </c>
      <c r="K1364" s="2">
        <v>191.24</v>
      </c>
      <c r="L1364" t="s">
        <v>47</v>
      </c>
      <c r="M1364" s="2">
        <v>1482</v>
      </c>
      <c r="N1364" s="2">
        <v>4</v>
      </c>
      <c r="O1364" s="2">
        <f t="shared" si="128"/>
        <v>370.5</v>
      </c>
      <c r="P1364" s="2">
        <f t="shared" si="129"/>
        <v>1.9373562016314578</v>
      </c>
      <c r="Q1364" s="3">
        <f t="shared" si="130"/>
        <v>0.12904183535762484</v>
      </c>
    </row>
    <row r="1365" spans="1:17" hidden="1" x14ac:dyDescent="0.25">
      <c r="A1365" t="s">
        <v>1436</v>
      </c>
      <c r="B1365" t="s">
        <v>56</v>
      </c>
      <c r="C1365" t="s">
        <v>52</v>
      </c>
      <c r="D1365" t="str">
        <f t="shared" si="126"/>
        <v>AZ</v>
      </c>
      <c r="E1365" t="str">
        <f t="shared" si="127"/>
        <v>Southwest</v>
      </c>
      <c r="F1365" t="s">
        <v>18</v>
      </c>
      <c r="G1365" s="1">
        <v>45079</v>
      </c>
      <c r="H1365" s="1">
        <v>45081</v>
      </c>
      <c r="I1365" s="1">
        <f t="shared" si="131"/>
        <v>45081</v>
      </c>
      <c r="J1365" s="2">
        <v>23.6</v>
      </c>
      <c r="K1365" s="2">
        <v>159.12</v>
      </c>
      <c r="L1365" t="s">
        <v>15</v>
      </c>
      <c r="M1365" s="2">
        <v>998</v>
      </c>
      <c r="N1365" s="2">
        <v>2</v>
      </c>
      <c r="O1365" s="2">
        <f t="shared" si="128"/>
        <v>499</v>
      </c>
      <c r="P1365" s="2">
        <f t="shared" si="129"/>
        <v>3.1359979889391654</v>
      </c>
      <c r="Q1365" s="3">
        <f t="shared" si="130"/>
        <v>0.15943887775551102</v>
      </c>
    </row>
    <row r="1366" spans="1:17" hidden="1" x14ac:dyDescent="0.25">
      <c r="A1366" t="s">
        <v>1437</v>
      </c>
      <c r="B1366" t="s">
        <v>39</v>
      </c>
      <c r="C1366" t="s">
        <v>46</v>
      </c>
      <c r="D1366" t="str">
        <f t="shared" si="126"/>
        <v>MA</v>
      </c>
      <c r="E1366" t="str">
        <f t="shared" si="127"/>
        <v>Northeast</v>
      </c>
      <c r="F1366" t="s">
        <v>32</v>
      </c>
      <c r="G1366" s="1">
        <v>45049</v>
      </c>
      <c r="H1366" s="1">
        <v>45051</v>
      </c>
      <c r="I1366" s="1">
        <f t="shared" si="131"/>
        <v>45051</v>
      </c>
      <c r="J1366" s="2">
        <v>27.1</v>
      </c>
      <c r="K1366" s="2">
        <v>105.17</v>
      </c>
      <c r="L1366" t="s">
        <v>15</v>
      </c>
      <c r="M1366" s="2">
        <v>470</v>
      </c>
      <c r="N1366" s="2">
        <v>2</v>
      </c>
      <c r="O1366" s="2">
        <f t="shared" si="128"/>
        <v>235</v>
      </c>
      <c r="P1366" s="2">
        <f t="shared" si="129"/>
        <v>2.2344775125986498</v>
      </c>
      <c r="Q1366" s="3">
        <f t="shared" si="130"/>
        <v>0.22376595744680852</v>
      </c>
    </row>
    <row r="1367" spans="1:17" hidden="1" x14ac:dyDescent="0.25">
      <c r="A1367" t="s">
        <v>1438</v>
      </c>
      <c r="B1367" t="s">
        <v>27</v>
      </c>
      <c r="C1367" t="s">
        <v>54</v>
      </c>
      <c r="D1367" t="str">
        <f t="shared" si="126"/>
        <v>FL</v>
      </c>
      <c r="E1367" t="str">
        <f t="shared" si="127"/>
        <v>Southeast</v>
      </c>
      <c r="F1367" t="s">
        <v>14</v>
      </c>
      <c r="G1367" s="1">
        <v>45197</v>
      </c>
      <c r="H1367" s="1">
        <v>45202</v>
      </c>
      <c r="I1367" s="1">
        <f t="shared" si="131"/>
        <v>45202</v>
      </c>
      <c r="J1367" s="2">
        <v>19.7</v>
      </c>
      <c r="K1367" s="2">
        <v>305.45</v>
      </c>
      <c r="L1367" t="s">
        <v>15</v>
      </c>
      <c r="M1367" s="2">
        <v>2455</v>
      </c>
      <c r="N1367" s="2">
        <v>5</v>
      </c>
      <c r="O1367" s="2">
        <f t="shared" si="128"/>
        <v>491</v>
      </c>
      <c r="P1367" s="2">
        <f t="shared" si="129"/>
        <v>1.6074643967916189</v>
      </c>
      <c r="Q1367" s="3">
        <f t="shared" si="130"/>
        <v>0.12441955193482689</v>
      </c>
    </row>
    <row r="1368" spans="1:17" hidden="1" x14ac:dyDescent="0.25">
      <c r="A1368" t="s">
        <v>1439</v>
      </c>
      <c r="B1368" t="s">
        <v>23</v>
      </c>
      <c r="C1368" t="s">
        <v>17</v>
      </c>
      <c r="D1368" t="str">
        <f t="shared" si="126"/>
        <v>GA</v>
      </c>
      <c r="E1368" t="str">
        <f t="shared" si="127"/>
        <v>Southeast</v>
      </c>
      <c r="F1368" t="s">
        <v>42</v>
      </c>
      <c r="G1368" s="1">
        <v>44965</v>
      </c>
      <c r="H1368" s="1">
        <v>44968</v>
      </c>
      <c r="I1368" s="1">
        <f t="shared" si="131"/>
        <v>44968</v>
      </c>
      <c r="J1368" s="2">
        <v>31.2</v>
      </c>
      <c r="K1368" s="2">
        <v>114.2</v>
      </c>
      <c r="L1368" t="s">
        <v>15</v>
      </c>
      <c r="M1368" s="2">
        <v>559</v>
      </c>
      <c r="N1368" s="2">
        <v>3</v>
      </c>
      <c r="O1368" s="2">
        <f t="shared" si="128"/>
        <v>186.33333333333334</v>
      </c>
      <c r="P1368" s="2">
        <f t="shared" si="129"/>
        <v>1.63164039696439</v>
      </c>
      <c r="Q1368" s="3">
        <f t="shared" si="130"/>
        <v>0.20429338103756708</v>
      </c>
    </row>
    <row r="1369" spans="1:17" hidden="1" x14ac:dyDescent="0.25">
      <c r="A1369" t="s">
        <v>1440</v>
      </c>
      <c r="B1369" t="s">
        <v>23</v>
      </c>
      <c r="C1369" t="s">
        <v>52</v>
      </c>
      <c r="D1369" t="str">
        <f t="shared" si="126"/>
        <v>AZ</v>
      </c>
      <c r="E1369" t="str">
        <f t="shared" si="127"/>
        <v>Southwest</v>
      </c>
      <c r="F1369" t="s">
        <v>25</v>
      </c>
      <c r="G1369" s="1">
        <v>45078</v>
      </c>
      <c r="H1369" s="1">
        <v>45084</v>
      </c>
      <c r="I1369" s="1">
        <f t="shared" si="131"/>
        <v>45084</v>
      </c>
      <c r="J1369" s="2">
        <v>14.8</v>
      </c>
      <c r="K1369" s="2">
        <v>319.39</v>
      </c>
      <c r="L1369" t="s">
        <v>15</v>
      </c>
      <c r="M1369" s="2">
        <v>2384</v>
      </c>
      <c r="N1369" s="2">
        <v>6</v>
      </c>
      <c r="O1369" s="2">
        <f t="shared" si="128"/>
        <v>397.33333333333331</v>
      </c>
      <c r="P1369" s="2">
        <f t="shared" si="129"/>
        <v>1.2440381143220931</v>
      </c>
      <c r="Q1369" s="3">
        <f t="shared" si="130"/>
        <v>0.13397231543624161</v>
      </c>
    </row>
    <row r="1370" spans="1:17" hidden="1" x14ac:dyDescent="0.25">
      <c r="A1370" t="s">
        <v>1441</v>
      </c>
      <c r="B1370" t="s">
        <v>20</v>
      </c>
      <c r="C1370" t="s">
        <v>28</v>
      </c>
      <c r="D1370" t="str">
        <f t="shared" si="126"/>
        <v>TX</v>
      </c>
      <c r="E1370" t="str">
        <f t="shared" si="127"/>
        <v>Southwest</v>
      </c>
      <c r="F1370" t="s">
        <v>25</v>
      </c>
      <c r="G1370" s="1">
        <v>45291</v>
      </c>
      <c r="H1370" s="1">
        <v>45294</v>
      </c>
      <c r="I1370" s="1">
        <f t="shared" si="131"/>
        <v>45294</v>
      </c>
      <c r="J1370" s="2">
        <v>88</v>
      </c>
      <c r="K1370" s="2">
        <v>322.10000000000002</v>
      </c>
      <c r="L1370" t="s">
        <v>15</v>
      </c>
      <c r="M1370" s="2">
        <v>1435</v>
      </c>
      <c r="N1370" s="2">
        <v>3</v>
      </c>
      <c r="O1370" s="2">
        <f t="shared" si="128"/>
        <v>478.33333333333331</v>
      </c>
      <c r="P1370" s="2">
        <f t="shared" si="129"/>
        <v>1.4850460519507398</v>
      </c>
      <c r="Q1370" s="3">
        <f t="shared" si="130"/>
        <v>0.22445993031358888</v>
      </c>
    </row>
    <row r="1371" spans="1:17" hidden="1" x14ac:dyDescent="0.25">
      <c r="A1371" t="s">
        <v>1442</v>
      </c>
      <c r="B1371" t="s">
        <v>12</v>
      </c>
      <c r="C1371" t="s">
        <v>46</v>
      </c>
      <c r="D1371" t="str">
        <f t="shared" si="126"/>
        <v>MA</v>
      </c>
      <c r="E1371" t="str">
        <f t="shared" si="127"/>
        <v>Northeast</v>
      </c>
      <c r="F1371" t="s">
        <v>32</v>
      </c>
      <c r="G1371" s="1">
        <v>45256</v>
      </c>
      <c r="H1371" s="1">
        <v>45276</v>
      </c>
      <c r="I1371" s="1">
        <f t="shared" si="131"/>
        <v>45276</v>
      </c>
      <c r="J1371" s="2">
        <v>17.899999999999999</v>
      </c>
      <c r="K1371" s="2">
        <v>247.56</v>
      </c>
      <c r="L1371" t="s">
        <v>47</v>
      </c>
      <c r="M1371" s="2">
        <v>1525</v>
      </c>
      <c r="N1371" s="2">
        <v>10</v>
      </c>
      <c r="O1371" s="2">
        <f t="shared" si="128"/>
        <v>152.5</v>
      </c>
      <c r="P1371" s="2">
        <f t="shared" si="129"/>
        <v>0.61601227985134921</v>
      </c>
      <c r="Q1371" s="3">
        <f t="shared" si="130"/>
        <v>0.16233442622950819</v>
      </c>
    </row>
    <row r="1372" spans="1:17" hidden="1" x14ac:dyDescent="0.25">
      <c r="A1372" t="s">
        <v>1443</v>
      </c>
      <c r="B1372" t="s">
        <v>56</v>
      </c>
      <c r="C1372" t="s">
        <v>44</v>
      </c>
      <c r="D1372" t="str">
        <f t="shared" si="126"/>
        <v>IL</v>
      </c>
      <c r="E1372" t="str">
        <f t="shared" si="127"/>
        <v>Midwest</v>
      </c>
      <c r="F1372" t="s">
        <v>42</v>
      </c>
      <c r="G1372" s="1">
        <v>44951</v>
      </c>
      <c r="H1372" s="1">
        <v>44955</v>
      </c>
      <c r="I1372" s="1">
        <f t="shared" si="131"/>
        <v>44955</v>
      </c>
      <c r="J1372" s="2">
        <v>11</v>
      </c>
      <c r="K1372" s="2">
        <v>98.73</v>
      </c>
      <c r="L1372" t="s">
        <v>15</v>
      </c>
      <c r="M1372" s="2">
        <v>698</v>
      </c>
      <c r="N1372" s="2">
        <v>4</v>
      </c>
      <c r="O1372" s="2">
        <f t="shared" si="128"/>
        <v>174.5</v>
      </c>
      <c r="P1372" s="2">
        <f t="shared" si="129"/>
        <v>1.7674465714575103</v>
      </c>
      <c r="Q1372" s="3">
        <f t="shared" si="130"/>
        <v>0.14144699140401146</v>
      </c>
    </row>
    <row r="1373" spans="1:17" x14ac:dyDescent="0.25">
      <c r="A1373" t="s">
        <v>1444</v>
      </c>
      <c r="B1373" t="s">
        <v>23</v>
      </c>
      <c r="C1373" t="s">
        <v>81</v>
      </c>
      <c r="D1373" t="str">
        <f t="shared" si="126"/>
        <v>CO</v>
      </c>
      <c r="E1373" t="str">
        <f t="shared" si="127"/>
        <v>West</v>
      </c>
      <c r="F1373" t="s">
        <v>37</v>
      </c>
      <c r="G1373" s="1">
        <v>45198</v>
      </c>
      <c r="H1373" s="1">
        <v>45207</v>
      </c>
      <c r="I1373" s="1">
        <f t="shared" si="131"/>
        <v>45207</v>
      </c>
      <c r="J1373" s="2">
        <v>16.3</v>
      </c>
      <c r="K1373" s="2">
        <v>247.24</v>
      </c>
      <c r="L1373" t="s">
        <v>47</v>
      </c>
      <c r="M1373" s="2">
        <v>1920</v>
      </c>
      <c r="N1373" s="2">
        <v>8</v>
      </c>
      <c r="O1373" s="2">
        <f t="shared" si="128"/>
        <v>240</v>
      </c>
      <c r="P1373" s="2">
        <f t="shared" si="129"/>
        <v>0.97071671250606695</v>
      </c>
      <c r="Q1373" s="3">
        <f t="shared" si="130"/>
        <v>0.12877083333333333</v>
      </c>
    </row>
    <row r="1374" spans="1:17" x14ac:dyDescent="0.25">
      <c r="A1374" t="s">
        <v>1445</v>
      </c>
      <c r="B1374" t="s">
        <v>23</v>
      </c>
      <c r="C1374" t="s">
        <v>36</v>
      </c>
      <c r="D1374" t="str">
        <f t="shared" si="126"/>
        <v>OR</v>
      </c>
      <c r="E1374" t="str">
        <f t="shared" si="127"/>
        <v>West</v>
      </c>
      <c r="F1374" t="s">
        <v>42</v>
      </c>
      <c r="G1374" s="1">
        <v>45239</v>
      </c>
      <c r="H1374" s="1">
        <v>45242</v>
      </c>
      <c r="I1374" s="1">
        <f t="shared" si="131"/>
        <v>45242</v>
      </c>
      <c r="J1374" s="2">
        <v>32.700000000000003</v>
      </c>
      <c r="K1374" s="2">
        <v>180.59</v>
      </c>
      <c r="L1374" t="s">
        <v>15</v>
      </c>
      <c r="M1374" s="2">
        <v>958</v>
      </c>
      <c r="N1374" s="2">
        <v>3</v>
      </c>
      <c r="O1374" s="2">
        <f t="shared" si="128"/>
        <v>319.33333333333331</v>
      </c>
      <c r="P1374" s="2">
        <f t="shared" si="129"/>
        <v>1.7682780515717</v>
      </c>
      <c r="Q1374" s="3">
        <f t="shared" si="130"/>
        <v>0.18850730688935283</v>
      </c>
    </row>
    <row r="1375" spans="1:17" hidden="1" x14ac:dyDescent="0.25">
      <c r="A1375" t="s">
        <v>1446</v>
      </c>
      <c r="B1375" t="s">
        <v>39</v>
      </c>
      <c r="C1375" t="s">
        <v>40</v>
      </c>
      <c r="D1375" t="str">
        <f t="shared" si="126"/>
        <v>MI</v>
      </c>
      <c r="E1375" t="str">
        <f t="shared" si="127"/>
        <v>Midwest</v>
      </c>
      <c r="F1375" t="s">
        <v>25</v>
      </c>
      <c r="G1375" s="1">
        <v>45217</v>
      </c>
      <c r="H1375" s="1">
        <v>45221</v>
      </c>
      <c r="I1375" s="1">
        <f t="shared" si="131"/>
        <v>45221</v>
      </c>
      <c r="J1375" s="2">
        <v>16.3</v>
      </c>
      <c r="K1375" s="2">
        <v>248.97</v>
      </c>
      <c r="L1375" t="s">
        <v>15</v>
      </c>
      <c r="M1375" s="2">
        <v>2057</v>
      </c>
      <c r="N1375" s="2">
        <v>4</v>
      </c>
      <c r="O1375" s="2">
        <f t="shared" si="128"/>
        <v>514.25</v>
      </c>
      <c r="P1375" s="2">
        <f t="shared" si="129"/>
        <v>2.0655099007912598</v>
      </c>
      <c r="Q1375" s="3">
        <f t="shared" si="130"/>
        <v>0.12103548857559553</v>
      </c>
    </row>
    <row r="1376" spans="1:17" x14ac:dyDescent="0.25">
      <c r="A1376" t="s">
        <v>1447</v>
      </c>
      <c r="B1376" t="s">
        <v>56</v>
      </c>
      <c r="C1376" t="s">
        <v>13</v>
      </c>
      <c r="D1376" t="str">
        <f t="shared" si="126"/>
        <v>CA</v>
      </c>
      <c r="E1376" t="str">
        <f t="shared" si="127"/>
        <v>West</v>
      </c>
      <c r="F1376" t="s">
        <v>14</v>
      </c>
      <c r="G1376" s="1">
        <v>44930</v>
      </c>
      <c r="H1376" s="1">
        <v>44933</v>
      </c>
      <c r="I1376" s="1">
        <f t="shared" si="131"/>
        <v>44933</v>
      </c>
      <c r="J1376" s="2">
        <v>10.5</v>
      </c>
      <c r="K1376" s="2">
        <v>161.38</v>
      </c>
      <c r="L1376" t="s">
        <v>15</v>
      </c>
      <c r="M1376" s="2">
        <v>1148</v>
      </c>
      <c r="N1376" s="2">
        <v>3</v>
      </c>
      <c r="O1376" s="2">
        <f t="shared" si="128"/>
        <v>382.66666666666669</v>
      </c>
      <c r="P1376" s="2">
        <f t="shared" si="129"/>
        <v>2.3712149378279013</v>
      </c>
      <c r="Q1376" s="3">
        <f t="shared" si="130"/>
        <v>0.14057491289198606</v>
      </c>
    </row>
    <row r="1377" spans="1:17" hidden="1" x14ac:dyDescent="0.25">
      <c r="A1377" t="s">
        <v>1448</v>
      </c>
      <c r="B1377" t="s">
        <v>23</v>
      </c>
      <c r="C1377" t="s">
        <v>46</v>
      </c>
      <c r="D1377" t="str">
        <f t="shared" si="126"/>
        <v>MA</v>
      </c>
      <c r="E1377" t="str">
        <f t="shared" si="127"/>
        <v>Northeast</v>
      </c>
      <c r="F1377" t="s">
        <v>18</v>
      </c>
      <c r="G1377" s="1">
        <v>45128</v>
      </c>
      <c r="H1377" s="1">
        <v>45135</v>
      </c>
      <c r="I1377" s="1">
        <f t="shared" si="131"/>
        <v>45135</v>
      </c>
      <c r="J1377" s="2">
        <v>26.5</v>
      </c>
      <c r="K1377" s="2">
        <v>373.28</v>
      </c>
      <c r="L1377" t="s">
        <v>15</v>
      </c>
      <c r="M1377" s="2">
        <v>2221</v>
      </c>
      <c r="N1377" s="2">
        <v>7</v>
      </c>
      <c r="O1377" s="2">
        <f t="shared" si="128"/>
        <v>317.28571428571428</v>
      </c>
      <c r="P1377" s="2">
        <f t="shared" si="129"/>
        <v>0.84999387667625992</v>
      </c>
      <c r="Q1377" s="3">
        <f t="shared" si="130"/>
        <v>0.16806843764070237</v>
      </c>
    </row>
    <row r="1378" spans="1:17" hidden="1" x14ac:dyDescent="0.25">
      <c r="A1378" t="s">
        <v>1449</v>
      </c>
      <c r="B1378" t="s">
        <v>39</v>
      </c>
      <c r="C1378" t="s">
        <v>52</v>
      </c>
      <c r="D1378" t="str">
        <f t="shared" si="126"/>
        <v>AZ</v>
      </c>
      <c r="E1378" t="str">
        <f t="shared" si="127"/>
        <v>Southwest</v>
      </c>
      <c r="F1378" t="s">
        <v>32</v>
      </c>
      <c r="G1378" s="1">
        <v>45109</v>
      </c>
      <c r="H1378" s="1">
        <v>45115</v>
      </c>
      <c r="I1378" s="1">
        <f t="shared" si="131"/>
        <v>45115</v>
      </c>
      <c r="J1378" s="2">
        <v>17.2</v>
      </c>
      <c r="K1378" s="2">
        <v>331.37</v>
      </c>
      <c r="L1378" t="s">
        <v>15</v>
      </c>
      <c r="M1378" s="2">
        <v>2287</v>
      </c>
      <c r="N1378" s="2">
        <v>6</v>
      </c>
      <c r="O1378" s="2">
        <f t="shared" si="128"/>
        <v>381.16666666666669</v>
      </c>
      <c r="P1378" s="2">
        <f t="shared" si="129"/>
        <v>1.1502751204595065</v>
      </c>
      <c r="Q1378" s="3">
        <f t="shared" si="130"/>
        <v>0.14489287275907303</v>
      </c>
    </row>
    <row r="1379" spans="1:17" x14ac:dyDescent="0.25">
      <c r="A1379" t="s">
        <v>1450</v>
      </c>
      <c r="B1379" t="s">
        <v>12</v>
      </c>
      <c r="C1379" t="s">
        <v>24</v>
      </c>
      <c r="D1379" t="str">
        <f t="shared" si="126"/>
        <v>WA</v>
      </c>
      <c r="E1379" t="str">
        <f t="shared" si="127"/>
        <v>West</v>
      </c>
      <c r="F1379" t="s">
        <v>18</v>
      </c>
      <c r="G1379" s="1">
        <v>45157</v>
      </c>
      <c r="H1379" s="1">
        <v>45161</v>
      </c>
      <c r="I1379" s="1">
        <f t="shared" si="131"/>
        <v>45161</v>
      </c>
      <c r="J1379" s="2">
        <v>24.1</v>
      </c>
      <c r="K1379" s="2">
        <v>256.70999999999998</v>
      </c>
      <c r="L1379" t="s">
        <v>15</v>
      </c>
      <c r="M1379" s="2">
        <v>1807</v>
      </c>
      <c r="N1379" s="2">
        <v>4</v>
      </c>
      <c r="O1379" s="2">
        <f t="shared" si="128"/>
        <v>451.75</v>
      </c>
      <c r="P1379" s="2">
        <f t="shared" si="129"/>
        <v>1.7597678314050875</v>
      </c>
      <c r="Q1379" s="3">
        <f t="shared" si="130"/>
        <v>0.14206419479800775</v>
      </c>
    </row>
    <row r="1380" spans="1:17" hidden="1" x14ac:dyDescent="0.25">
      <c r="A1380" t="s">
        <v>1451</v>
      </c>
      <c r="B1380" t="s">
        <v>23</v>
      </c>
      <c r="C1380" t="s">
        <v>31</v>
      </c>
      <c r="D1380" t="str">
        <f t="shared" si="126"/>
        <v>NY</v>
      </c>
      <c r="E1380" t="str">
        <f t="shared" si="127"/>
        <v>Northeast</v>
      </c>
      <c r="F1380" t="s">
        <v>42</v>
      </c>
      <c r="G1380" s="1">
        <v>45086</v>
      </c>
      <c r="H1380" s="1">
        <v>45092</v>
      </c>
      <c r="I1380" s="1">
        <f t="shared" si="131"/>
        <v>45092</v>
      </c>
      <c r="J1380" s="2">
        <v>38.799999999999997</v>
      </c>
      <c r="K1380" s="2">
        <v>361.92</v>
      </c>
      <c r="L1380" t="s">
        <v>15</v>
      </c>
      <c r="M1380" s="2">
        <v>2362</v>
      </c>
      <c r="N1380" s="2">
        <v>6</v>
      </c>
      <c r="O1380" s="2">
        <f t="shared" si="128"/>
        <v>393.66666666666669</v>
      </c>
      <c r="P1380" s="2">
        <f t="shared" si="129"/>
        <v>1.0877173592690834</v>
      </c>
      <c r="Q1380" s="3">
        <f t="shared" si="130"/>
        <v>0.1532260795935648</v>
      </c>
    </row>
    <row r="1381" spans="1:17" hidden="1" x14ac:dyDescent="0.25">
      <c r="A1381" t="s">
        <v>1452</v>
      </c>
      <c r="B1381" t="s">
        <v>20</v>
      </c>
      <c r="C1381" t="s">
        <v>52</v>
      </c>
      <c r="D1381" t="str">
        <f t="shared" si="126"/>
        <v>AZ</v>
      </c>
      <c r="E1381" t="str">
        <f t="shared" si="127"/>
        <v>Southwest</v>
      </c>
      <c r="F1381" t="s">
        <v>37</v>
      </c>
      <c r="G1381" s="1">
        <v>44977</v>
      </c>
      <c r="H1381" s="1">
        <v>44979</v>
      </c>
      <c r="I1381" s="1">
        <f t="shared" si="131"/>
        <v>44979</v>
      </c>
      <c r="J1381" s="2">
        <v>12.9</v>
      </c>
      <c r="K1381" s="2">
        <v>61</v>
      </c>
      <c r="L1381" t="s">
        <v>15</v>
      </c>
      <c r="M1381" s="2">
        <v>373</v>
      </c>
      <c r="N1381" s="2">
        <v>2</v>
      </c>
      <c r="O1381" s="2">
        <f t="shared" si="128"/>
        <v>186.5</v>
      </c>
      <c r="P1381" s="2">
        <f t="shared" si="129"/>
        <v>3.057377049180328</v>
      </c>
      <c r="Q1381" s="3">
        <f t="shared" si="130"/>
        <v>0.16353887399463807</v>
      </c>
    </row>
    <row r="1382" spans="1:17" hidden="1" x14ac:dyDescent="0.25">
      <c r="A1382" t="s">
        <v>1453</v>
      </c>
      <c r="B1382" t="s">
        <v>49</v>
      </c>
      <c r="C1382" t="s">
        <v>52</v>
      </c>
      <c r="D1382" t="str">
        <f t="shared" si="126"/>
        <v>AZ</v>
      </c>
      <c r="E1382" t="str">
        <f t="shared" si="127"/>
        <v>Southwest</v>
      </c>
      <c r="F1382" t="s">
        <v>37</v>
      </c>
      <c r="G1382" s="1">
        <v>45065</v>
      </c>
      <c r="H1382" s="1">
        <v>45067</v>
      </c>
      <c r="I1382" s="1">
        <f t="shared" si="131"/>
        <v>45067</v>
      </c>
      <c r="J1382" s="2">
        <v>20.3</v>
      </c>
      <c r="K1382" s="2">
        <v>86.78</v>
      </c>
      <c r="L1382" t="s">
        <v>15</v>
      </c>
      <c r="M1382" s="2">
        <v>544</v>
      </c>
      <c r="N1382" s="2">
        <v>2</v>
      </c>
      <c r="O1382" s="2">
        <f t="shared" si="128"/>
        <v>272</v>
      </c>
      <c r="P1382" s="2">
        <f t="shared" si="129"/>
        <v>3.134362756395483</v>
      </c>
      <c r="Q1382" s="3">
        <f t="shared" si="130"/>
        <v>0.15952205882352941</v>
      </c>
    </row>
    <row r="1383" spans="1:17" hidden="1" x14ac:dyDescent="0.25">
      <c r="A1383" t="s">
        <v>1454</v>
      </c>
      <c r="B1383" t="s">
        <v>35</v>
      </c>
      <c r="C1383" t="s">
        <v>54</v>
      </c>
      <c r="D1383" t="str">
        <f t="shared" si="126"/>
        <v>FL</v>
      </c>
      <c r="E1383" t="str">
        <f t="shared" si="127"/>
        <v>Southeast</v>
      </c>
      <c r="F1383" t="s">
        <v>25</v>
      </c>
      <c r="G1383" s="1">
        <v>45152</v>
      </c>
      <c r="H1383" s="1">
        <v>45156</v>
      </c>
      <c r="I1383" s="1">
        <f t="shared" si="131"/>
        <v>45156</v>
      </c>
      <c r="J1383" s="2">
        <v>39.9</v>
      </c>
      <c r="K1383" s="2">
        <v>220.09</v>
      </c>
      <c r="L1383" t="s">
        <v>15</v>
      </c>
      <c r="M1383" s="2">
        <v>1350</v>
      </c>
      <c r="N1383" s="2">
        <v>4</v>
      </c>
      <c r="O1383" s="2">
        <f t="shared" si="128"/>
        <v>337.5</v>
      </c>
      <c r="P1383" s="2">
        <f t="shared" si="129"/>
        <v>1.5334635830796493</v>
      </c>
      <c r="Q1383" s="3">
        <f t="shared" si="130"/>
        <v>0.16302962962962964</v>
      </c>
    </row>
    <row r="1384" spans="1:17" x14ac:dyDescent="0.25">
      <c r="A1384" t="s">
        <v>1455</v>
      </c>
      <c r="B1384" t="s">
        <v>35</v>
      </c>
      <c r="C1384" t="s">
        <v>70</v>
      </c>
      <c r="D1384" t="str">
        <f t="shared" si="126"/>
        <v>CA</v>
      </c>
      <c r="E1384" t="str">
        <f t="shared" si="127"/>
        <v>West</v>
      </c>
      <c r="F1384" t="s">
        <v>37</v>
      </c>
      <c r="G1384" s="1">
        <v>45214</v>
      </c>
      <c r="H1384" s="1">
        <v>45218</v>
      </c>
      <c r="I1384" s="1">
        <f t="shared" si="131"/>
        <v>45218</v>
      </c>
      <c r="J1384" s="2">
        <v>22</v>
      </c>
      <c r="K1384" s="2">
        <v>86.67</v>
      </c>
      <c r="L1384" t="s">
        <v>15</v>
      </c>
      <c r="M1384" s="2">
        <v>544</v>
      </c>
      <c r="N1384" s="2">
        <v>4</v>
      </c>
      <c r="O1384" s="2">
        <f t="shared" si="128"/>
        <v>136</v>
      </c>
      <c r="P1384" s="2">
        <f t="shared" si="129"/>
        <v>1.5691704165224414</v>
      </c>
      <c r="Q1384" s="3">
        <f t="shared" si="130"/>
        <v>0.15931985294117648</v>
      </c>
    </row>
    <row r="1385" spans="1:17" x14ac:dyDescent="0.25">
      <c r="A1385" t="s">
        <v>1456</v>
      </c>
      <c r="B1385" t="s">
        <v>56</v>
      </c>
      <c r="C1385" t="s">
        <v>70</v>
      </c>
      <c r="D1385" t="str">
        <f t="shared" si="126"/>
        <v>CA</v>
      </c>
      <c r="E1385" t="str">
        <f t="shared" si="127"/>
        <v>West</v>
      </c>
      <c r="F1385" t="s">
        <v>37</v>
      </c>
      <c r="G1385" s="1">
        <v>45139</v>
      </c>
      <c r="H1385" s="1">
        <v>45141</v>
      </c>
      <c r="I1385" s="1">
        <f t="shared" si="131"/>
        <v>45141</v>
      </c>
      <c r="J1385" s="2">
        <v>20.8</v>
      </c>
      <c r="K1385" s="2">
        <v>99.54</v>
      </c>
      <c r="L1385" t="s">
        <v>15</v>
      </c>
      <c r="M1385" s="2">
        <v>637</v>
      </c>
      <c r="N1385" s="2">
        <v>2</v>
      </c>
      <c r="O1385" s="2">
        <f t="shared" si="128"/>
        <v>318.5</v>
      </c>
      <c r="P1385" s="2">
        <f t="shared" si="129"/>
        <v>3.1997187060478196</v>
      </c>
      <c r="Q1385" s="3">
        <f t="shared" si="130"/>
        <v>0.15626373626373627</v>
      </c>
    </row>
    <row r="1386" spans="1:17" hidden="1" x14ac:dyDescent="0.25">
      <c r="A1386" t="s">
        <v>1457</v>
      </c>
      <c r="B1386" t="s">
        <v>30</v>
      </c>
      <c r="C1386" t="s">
        <v>57</v>
      </c>
      <c r="D1386" t="str">
        <f t="shared" ref="D1386:D1448" si="132">IF(C1386="Atlanta","GA",
IF(C1386="Boston","MA",
IF(C1386="Chicago","IL",
IF(C1386="Dallas","TX",
IF(C1386="Denver","CO",
IF(C1386="Detroit","MI",
IF(C1386="Houston","TX",
IF(C1386="Los Angeles","CA",
IF(C1386="Miami","FL",
IF(C1386="Minneapolis","MN",
IF(C1386="New York","NY",
IF(C1386="Phoenix","AZ",
IF(C1386="Portland","OR",
IF(C1386="San Francisco","CA",
IF(C1386="Seattle","WA","Unknown")))))))))))))))</f>
        <v>MN</v>
      </c>
      <c r="E1386" t="str">
        <f t="shared" ref="E1386:E1448" si="133">IF(OR(D1386="NY",D1386="NJ",D1386="PA",D1386="MA",D1386="CT",D1386="RI",D1386="VT",D1386="NH",D1386="ME"),"Northeast",
IF(OR(D1386="FL",D1386="GA",D1386="AL",D1386="MS",D1386="SC",D1386="NC",D1386="TN",D1386="KY"),"Southeast",
IF(OR(D1386="IL",D1386="IN",D1386="OH",D1386="MI",D1386="WI",D1386="MN",D1386="IA",D1386="MO",D1386="KS",D1386="NE",D1386="ND",D1386="SD"),"Midwest",
IF(OR(D1386="TX",D1386="OK",D1386="NM",D1386="AZ"),"Southwest",
IF(OR(D1386="CA",D1386="OR",D1386="WA",D1386="NV",D1386="CO",D1386="UT",D1386="ID",D1386="MT",D1386="WY",D1386="AK",D1386="HI"),"West","Other")))))</f>
        <v>Midwest</v>
      </c>
      <c r="F1386" t="s">
        <v>42</v>
      </c>
      <c r="G1386" s="1">
        <v>44948</v>
      </c>
      <c r="H1386" s="1">
        <v>44950</v>
      </c>
      <c r="I1386" s="1">
        <f t="shared" si="131"/>
        <v>44950</v>
      </c>
      <c r="J1386" s="2">
        <v>5.5</v>
      </c>
      <c r="K1386" s="2">
        <v>70.39</v>
      </c>
      <c r="L1386" t="s">
        <v>15</v>
      </c>
      <c r="M1386" s="2">
        <v>507</v>
      </c>
      <c r="N1386" s="2">
        <v>2</v>
      </c>
      <c r="O1386" s="2">
        <f t="shared" ref="O1386:O1448" si="134">M1386/N1386</f>
        <v>253.5</v>
      </c>
      <c r="P1386" s="2">
        <f t="shared" ref="P1386:P1448" si="135">O1386/K1386</f>
        <v>3.6013638300895012</v>
      </c>
      <c r="Q1386" s="3">
        <f t="shared" ref="Q1386:Q1448" si="136">K1386/M1386</f>
        <v>0.138836291913215</v>
      </c>
    </row>
    <row r="1387" spans="1:17" hidden="1" x14ac:dyDescent="0.25">
      <c r="A1387" t="s">
        <v>1458</v>
      </c>
      <c r="B1387" t="s">
        <v>56</v>
      </c>
      <c r="C1387" t="s">
        <v>17</v>
      </c>
      <c r="D1387" t="str">
        <f t="shared" si="132"/>
        <v>GA</v>
      </c>
      <c r="E1387" t="str">
        <f t="shared" si="133"/>
        <v>Southeast</v>
      </c>
      <c r="F1387" t="s">
        <v>14</v>
      </c>
      <c r="G1387" s="1">
        <v>45110</v>
      </c>
      <c r="H1387" s="1">
        <v>45117</v>
      </c>
      <c r="I1387" s="1">
        <f t="shared" si="131"/>
        <v>45117</v>
      </c>
      <c r="J1387" s="2">
        <v>14</v>
      </c>
      <c r="K1387" s="2">
        <v>260.56</v>
      </c>
      <c r="L1387" t="s">
        <v>15</v>
      </c>
      <c r="M1387" s="2">
        <v>2009</v>
      </c>
      <c r="N1387" s="2">
        <v>7</v>
      </c>
      <c r="O1387" s="2">
        <f t="shared" si="134"/>
        <v>287</v>
      </c>
      <c r="P1387" s="2">
        <f t="shared" si="135"/>
        <v>1.1014737488486337</v>
      </c>
      <c r="Q1387" s="3">
        <f t="shared" si="136"/>
        <v>0.12969636635141862</v>
      </c>
    </row>
    <row r="1388" spans="1:17" hidden="1" x14ac:dyDescent="0.25">
      <c r="A1388" t="s">
        <v>1459</v>
      </c>
      <c r="B1388" t="s">
        <v>56</v>
      </c>
      <c r="C1388" t="s">
        <v>31</v>
      </c>
      <c r="D1388" t="str">
        <f t="shared" si="132"/>
        <v>NY</v>
      </c>
      <c r="E1388" t="str">
        <f t="shared" si="133"/>
        <v>Northeast</v>
      </c>
      <c r="F1388" t="s">
        <v>42</v>
      </c>
      <c r="G1388" s="1">
        <v>45102</v>
      </c>
      <c r="H1388" s="1">
        <v>45112</v>
      </c>
      <c r="I1388" s="1">
        <f t="shared" si="131"/>
        <v>45112</v>
      </c>
      <c r="J1388" s="2">
        <v>12</v>
      </c>
      <c r="K1388" s="2">
        <v>113.5</v>
      </c>
      <c r="L1388" t="s">
        <v>47</v>
      </c>
      <c r="M1388" s="2">
        <v>852</v>
      </c>
      <c r="N1388" s="2">
        <v>3</v>
      </c>
      <c r="O1388" s="2">
        <f t="shared" si="134"/>
        <v>284</v>
      </c>
      <c r="P1388" s="2">
        <f t="shared" si="135"/>
        <v>2.5022026431718061</v>
      </c>
      <c r="Q1388" s="3">
        <f t="shared" si="136"/>
        <v>0.13321596244131456</v>
      </c>
    </row>
    <row r="1389" spans="1:17" hidden="1" x14ac:dyDescent="0.25">
      <c r="A1389" t="s">
        <v>1460</v>
      </c>
      <c r="B1389" t="s">
        <v>30</v>
      </c>
      <c r="C1389" t="s">
        <v>31</v>
      </c>
      <c r="D1389" t="str">
        <f t="shared" si="132"/>
        <v>NY</v>
      </c>
      <c r="E1389" t="str">
        <f t="shared" si="133"/>
        <v>Northeast</v>
      </c>
      <c r="F1389" t="s">
        <v>18</v>
      </c>
      <c r="G1389" s="1">
        <v>45032</v>
      </c>
      <c r="H1389" s="1">
        <v>45038</v>
      </c>
      <c r="I1389" s="1">
        <f t="shared" si="131"/>
        <v>45038</v>
      </c>
      <c r="J1389" s="2">
        <v>24.9</v>
      </c>
      <c r="K1389" s="2">
        <v>297.44</v>
      </c>
      <c r="L1389" t="s">
        <v>15</v>
      </c>
      <c r="M1389" s="2">
        <v>2010</v>
      </c>
      <c r="N1389" s="2">
        <v>6</v>
      </c>
      <c r="O1389" s="2">
        <f t="shared" si="134"/>
        <v>335</v>
      </c>
      <c r="P1389" s="2">
        <f t="shared" si="135"/>
        <v>1.1262775685852608</v>
      </c>
      <c r="Q1389" s="3">
        <f t="shared" si="136"/>
        <v>0.14798009950248756</v>
      </c>
    </row>
    <row r="1390" spans="1:17" hidden="1" x14ac:dyDescent="0.25">
      <c r="A1390" t="s">
        <v>1461</v>
      </c>
      <c r="B1390" t="s">
        <v>35</v>
      </c>
      <c r="C1390" t="s">
        <v>44</v>
      </c>
      <c r="D1390" t="str">
        <f t="shared" si="132"/>
        <v>IL</v>
      </c>
      <c r="E1390" t="str">
        <f t="shared" si="133"/>
        <v>Midwest</v>
      </c>
      <c r="F1390" t="s">
        <v>18</v>
      </c>
      <c r="G1390" s="1">
        <v>45044</v>
      </c>
      <c r="H1390" s="1">
        <v>45046</v>
      </c>
      <c r="I1390" s="1">
        <f t="shared" si="131"/>
        <v>45046</v>
      </c>
      <c r="J1390" s="2">
        <v>5.8</v>
      </c>
      <c r="K1390" s="2">
        <v>71.349999999999994</v>
      </c>
      <c r="L1390" t="s">
        <v>15</v>
      </c>
      <c r="M1390" s="2">
        <v>487</v>
      </c>
      <c r="N1390" s="2">
        <v>2</v>
      </c>
      <c r="O1390" s="2">
        <f t="shared" si="134"/>
        <v>243.5</v>
      </c>
      <c r="P1390" s="2">
        <f t="shared" si="135"/>
        <v>3.4127540294323757</v>
      </c>
      <c r="Q1390" s="3">
        <f t="shared" si="136"/>
        <v>0.14650924024640655</v>
      </c>
    </row>
    <row r="1391" spans="1:17" x14ac:dyDescent="0.25">
      <c r="A1391" t="s">
        <v>1462</v>
      </c>
      <c r="B1391" t="s">
        <v>12</v>
      </c>
      <c r="C1391" t="s">
        <v>36</v>
      </c>
      <c r="D1391" t="str">
        <f t="shared" si="132"/>
        <v>OR</v>
      </c>
      <c r="E1391" t="str">
        <f t="shared" si="133"/>
        <v>West</v>
      </c>
      <c r="F1391" t="s">
        <v>32</v>
      </c>
      <c r="G1391" s="1">
        <v>45096</v>
      </c>
      <c r="H1391" s="1">
        <v>45100</v>
      </c>
      <c r="I1391" s="1">
        <f t="shared" si="131"/>
        <v>45100</v>
      </c>
      <c r="J1391" s="2">
        <v>20.399999999999999</v>
      </c>
      <c r="K1391" s="2">
        <v>211.34</v>
      </c>
      <c r="L1391" t="s">
        <v>15</v>
      </c>
      <c r="M1391" s="2">
        <v>1369</v>
      </c>
      <c r="N1391" s="2">
        <v>4</v>
      </c>
      <c r="O1391" s="2">
        <f t="shared" si="134"/>
        <v>342.25</v>
      </c>
      <c r="P1391" s="2">
        <f t="shared" si="135"/>
        <v>1.6194284091984479</v>
      </c>
      <c r="Q1391" s="3">
        <f t="shared" si="136"/>
        <v>0.15437545653761869</v>
      </c>
    </row>
    <row r="1392" spans="1:17" hidden="1" x14ac:dyDescent="0.25">
      <c r="A1392" t="s">
        <v>1463</v>
      </c>
      <c r="B1392" t="s">
        <v>27</v>
      </c>
      <c r="C1392" t="s">
        <v>44</v>
      </c>
      <c r="D1392" t="str">
        <f t="shared" si="132"/>
        <v>IL</v>
      </c>
      <c r="E1392" t="str">
        <f t="shared" si="133"/>
        <v>Midwest</v>
      </c>
      <c r="F1392" t="s">
        <v>18</v>
      </c>
      <c r="G1392" s="1">
        <v>45260</v>
      </c>
      <c r="H1392" s="1">
        <v>45267</v>
      </c>
      <c r="I1392" s="1">
        <f t="shared" si="131"/>
        <v>45267</v>
      </c>
      <c r="J1392" s="2">
        <v>38</v>
      </c>
      <c r="K1392" s="2">
        <v>286.58</v>
      </c>
      <c r="L1392" t="s">
        <v>15</v>
      </c>
      <c r="M1392" s="2">
        <v>1542</v>
      </c>
      <c r="N1392" s="2">
        <v>7</v>
      </c>
      <c r="O1392" s="2">
        <f t="shared" si="134"/>
        <v>220.28571428571428</v>
      </c>
      <c r="P1392" s="2">
        <f t="shared" si="135"/>
        <v>0.76867092709091456</v>
      </c>
      <c r="Q1392" s="3">
        <f t="shared" si="136"/>
        <v>0.18584954604409856</v>
      </c>
    </row>
    <row r="1393" spans="1:17" x14ac:dyDescent="0.25">
      <c r="A1393" t="s">
        <v>1464</v>
      </c>
      <c r="B1393" t="s">
        <v>39</v>
      </c>
      <c r="C1393" t="s">
        <v>36</v>
      </c>
      <c r="D1393" t="str">
        <f t="shared" si="132"/>
        <v>OR</v>
      </c>
      <c r="E1393" t="str">
        <f t="shared" si="133"/>
        <v>West</v>
      </c>
      <c r="F1393" t="s">
        <v>18</v>
      </c>
      <c r="G1393" s="1">
        <v>45258</v>
      </c>
      <c r="H1393" s="1">
        <v>45264</v>
      </c>
      <c r="I1393" s="1">
        <f t="shared" si="131"/>
        <v>45264</v>
      </c>
      <c r="J1393" s="2">
        <v>18.7</v>
      </c>
      <c r="K1393" s="2">
        <v>326.89999999999998</v>
      </c>
      <c r="L1393" t="s">
        <v>15</v>
      </c>
      <c r="M1393" s="2">
        <v>1838</v>
      </c>
      <c r="N1393" s="2">
        <v>6</v>
      </c>
      <c r="O1393" s="2">
        <f t="shared" si="134"/>
        <v>306.33333333333331</v>
      </c>
      <c r="P1393" s="2">
        <f t="shared" si="135"/>
        <v>0.93708575507290715</v>
      </c>
      <c r="Q1393" s="3">
        <f t="shared" si="136"/>
        <v>0.17785636561479867</v>
      </c>
    </row>
    <row r="1394" spans="1:17" x14ac:dyDescent="0.25">
      <c r="A1394" t="s">
        <v>1465</v>
      </c>
      <c r="B1394" t="s">
        <v>20</v>
      </c>
      <c r="C1394" t="s">
        <v>81</v>
      </c>
      <c r="D1394" t="str">
        <f t="shared" si="132"/>
        <v>CO</v>
      </c>
      <c r="E1394" t="str">
        <f t="shared" si="133"/>
        <v>West</v>
      </c>
      <c r="F1394" t="s">
        <v>25</v>
      </c>
      <c r="G1394" s="1">
        <v>45013</v>
      </c>
      <c r="H1394" s="1">
        <v>45016</v>
      </c>
      <c r="I1394" s="1">
        <f t="shared" si="131"/>
        <v>45016</v>
      </c>
      <c r="J1394" s="2">
        <v>13.7</v>
      </c>
      <c r="K1394" s="2">
        <v>175.73</v>
      </c>
      <c r="L1394" t="s">
        <v>15</v>
      </c>
      <c r="M1394" s="2">
        <v>1364</v>
      </c>
      <c r="N1394" s="2">
        <v>3</v>
      </c>
      <c r="O1394" s="2">
        <f t="shared" si="134"/>
        <v>454.66666666666669</v>
      </c>
      <c r="P1394" s="2">
        <f t="shared" si="135"/>
        <v>2.5873024905631747</v>
      </c>
      <c r="Q1394" s="3">
        <f t="shared" si="136"/>
        <v>0.12883431085043986</v>
      </c>
    </row>
    <row r="1395" spans="1:17" hidden="1" x14ac:dyDescent="0.25">
      <c r="A1395" t="s">
        <v>1466</v>
      </c>
      <c r="B1395" t="s">
        <v>49</v>
      </c>
      <c r="C1395" t="s">
        <v>17</v>
      </c>
      <c r="D1395" t="str">
        <f t="shared" si="132"/>
        <v>GA</v>
      </c>
      <c r="E1395" t="str">
        <f t="shared" si="133"/>
        <v>Southeast</v>
      </c>
      <c r="F1395" t="s">
        <v>18</v>
      </c>
      <c r="G1395" s="1">
        <v>45011</v>
      </c>
      <c r="H1395" s="1">
        <v>45014</v>
      </c>
      <c r="I1395" s="1">
        <f t="shared" si="131"/>
        <v>45014</v>
      </c>
      <c r="J1395" s="2">
        <v>38.700000000000003</v>
      </c>
      <c r="K1395" s="2">
        <v>77.84</v>
      </c>
      <c r="L1395" t="s">
        <v>15</v>
      </c>
      <c r="M1395" s="2">
        <v>173</v>
      </c>
      <c r="N1395" s="2">
        <v>3</v>
      </c>
      <c r="O1395" s="2">
        <f t="shared" si="134"/>
        <v>57.666666666666664</v>
      </c>
      <c r="P1395" s="2">
        <f t="shared" si="135"/>
        <v>0.7408359027064062</v>
      </c>
      <c r="Q1395" s="3">
        <f t="shared" si="136"/>
        <v>0.4499421965317919</v>
      </c>
    </row>
    <row r="1396" spans="1:17" hidden="1" x14ac:dyDescent="0.25">
      <c r="A1396" t="s">
        <v>1467</v>
      </c>
      <c r="B1396" t="s">
        <v>51</v>
      </c>
      <c r="C1396" t="s">
        <v>54</v>
      </c>
      <c r="D1396" t="str">
        <f t="shared" si="132"/>
        <v>FL</v>
      </c>
      <c r="E1396" t="str">
        <f t="shared" si="133"/>
        <v>Southeast</v>
      </c>
      <c r="F1396" t="s">
        <v>18</v>
      </c>
      <c r="G1396" s="1">
        <v>45213</v>
      </c>
      <c r="H1396" s="1">
        <v>45219</v>
      </c>
      <c r="I1396" s="1">
        <f t="shared" si="131"/>
        <v>45219</v>
      </c>
      <c r="J1396" s="2">
        <v>23.4</v>
      </c>
      <c r="K1396" s="2">
        <v>356.56</v>
      </c>
      <c r="L1396" t="s">
        <v>15</v>
      </c>
      <c r="M1396" s="2">
        <v>2343</v>
      </c>
      <c r="N1396" s="2">
        <v>6</v>
      </c>
      <c r="O1396" s="2">
        <f t="shared" si="134"/>
        <v>390.5</v>
      </c>
      <c r="P1396" s="2">
        <f t="shared" si="135"/>
        <v>1.0951873457482613</v>
      </c>
      <c r="Q1396" s="3">
        <f t="shared" si="136"/>
        <v>0.15218096457533078</v>
      </c>
    </row>
    <row r="1397" spans="1:17" hidden="1" x14ac:dyDescent="0.25">
      <c r="A1397" t="s">
        <v>1468</v>
      </c>
      <c r="B1397" t="s">
        <v>30</v>
      </c>
      <c r="C1397" t="s">
        <v>40</v>
      </c>
      <c r="D1397" t="str">
        <f t="shared" si="132"/>
        <v>MI</v>
      </c>
      <c r="E1397" t="str">
        <f t="shared" si="133"/>
        <v>Midwest</v>
      </c>
      <c r="F1397" t="s">
        <v>18</v>
      </c>
      <c r="G1397" s="1">
        <v>45254</v>
      </c>
      <c r="H1397" s="1">
        <v>45256</v>
      </c>
      <c r="I1397" s="1">
        <f t="shared" si="131"/>
        <v>45256</v>
      </c>
      <c r="J1397" s="2">
        <v>11.1</v>
      </c>
      <c r="K1397" s="2">
        <v>109.93</v>
      </c>
      <c r="L1397" t="s">
        <v>15</v>
      </c>
      <c r="M1397" s="2">
        <v>505</v>
      </c>
      <c r="N1397" s="2">
        <v>2</v>
      </c>
      <c r="O1397" s="2">
        <f t="shared" si="134"/>
        <v>252.5</v>
      </c>
      <c r="P1397" s="2">
        <f t="shared" si="135"/>
        <v>2.2969162194123531</v>
      </c>
      <c r="Q1397" s="3">
        <f t="shared" si="136"/>
        <v>0.21768316831683171</v>
      </c>
    </row>
    <row r="1398" spans="1:17" hidden="1" x14ac:dyDescent="0.25">
      <c r="A1398" t="s">
        <v>1469</v>
      </c>
      <c r="B1398" t="s">
        <v>49</v>
      </c>
      <c r="C1398" t="s">
        <v>57</v>
      </c>
      <c r="D1398" t="str">
        <f t="shared" si="132"/>
        <v>MN</v>
      </c>
      <c r="E1398" t="str">
        <f t="shared" si="133"/>
        <v>Midwest</v>
      </c>
      <c r="F1398" t="s">
        <v>42</v>
      </c>
      <c r="G1398" s="1">
        <v>45207</v>
      </c>
      <c r="H1398" s="1">
        <v>45208</v>
      </c>
      <c r="I1398" s="1">
        <f t="shared" si="131"/>
        <v>45208</v>
      </c>
      <c r="J1398" s="2">
        <v>30.6</v>
      </c>
      <c r="K1398" s="2">
        <v>62.81</v>
      </c>
      <c r="L1398" t="s">
        <v>15</v>
      </c>
      <c r="M1398" s="2">
        <v>206</v>
      </c>
      <c r="N1398" s="2">
        <v>1</v>
      </c>
      <c r="O1398" s="2">
        <f t="shared" si="134"/>
        <v>206</v>
      </c>
      <c r="P1398" s="2">
        <f t="shared" si="135"/>
        <v>3.2797325266677277</v>
      </c>
      <c r="Q1398" s="3">
        <f t="shared" si="136"/>
        <v>0.30490291262135921</v>
      </c>
    </row>
    <row r="1399" spans="1:17" hidden="1" x14ac:dyDescent="0.25">
      <c r="A1399" t="s">
        <v>1470</v>
      </c>
      <c r="B1399" t="s">
        <v>49</v>
      </c>
      <c r="C1399" t="s">
        <v>31</v>
      </c>
      <c r="D1399" t="str">
        <f t="shared" si="132"/>
        <v>NY</v>
      </c>
      <c r="E1399" t="str">
        <f t="shared" si="133"/>
        <v>Northeast</v>
      </c>
      <c r="F1399" t="s">
        <v>18</v>
      </c>
      <c r="G1399" s="1">
        <v>45280</v>
      </c>
      <c r="H1399" s="1">
        <v>45286</v>
      </c>
      <c r="I1399" s="1">
        <f t="shared" si="131"/>
        <v>45286</v>
      </c>
      <c r="J1399" s="2">
        <v>6.6</v>
      </c>
      <c r="K1399" s="2">
        <v>289.77</v>
      </c>
      <c r="L1399" t="s">
        <v>15</v>
      </c>
      <c r="M1399" s="2">
        <v>1656</v>
      </c>
      <c r="N1399" s="2">
        <v>6</v>
      </c>
      <c r="O1399" s="2">
        <f t="shared" si="134"/>
        <v>276</v>
      </c>
      <c r="P1399" s="2">
        <f t="shared" si="135"/>
        <v>0.95247955274873186</v>
      </c>
      <c r="Q1399" s="3">
        <f t="shared" si="136"/>
        <v>0.17498188405797099</v>
      </c>
    </row>
    <row r="1400" spans="1:17" x14ac:dyDescent="0.25">
      <c r="A1400" t="s">
        <v>1471</v>
      </c>
      <c r="B1400" t="s">
        <v>39</v>
      </c>
      <c r="C1400" t="s">
        <v>13</v>
      </c>
      <c r="D1400" t="str">
        <f t="shared" si="132"/>
        <v>CA</v>
      </c>
      <c r="E1400" t="str">
        <f t="shared" si="133"/>
        <v>West</v>
      </c>
      <c r="F1400" t="s">
        <v>59</v>
      </c>
      <c r="G1400" s="1">
        <v>44955</v>
      </c>
      <c r="H1400" s="1">
        <v>44957</v>
      </c>
      <c r="I1400" s="1">
        <f t="shared" si="131"/>
        <v>44957</v>
      </c>
      <c r="J1400" s="2">
        <v>13.2</v>
      </c>
      <c r="K1400" s="2">
        <v>57.43</v>
      </c>
      <c r="L1400" t="s">
        <v>15</v>
      </c>
      <c r="M1400" s="2">
        <v>377</v>
      </c>
      <c r="N1400" s="2">
        <v>2</v>
      </c>
      <c r="O1400" s="2">
        <f t="shared" si="134"/>
        <v>188.5</v>
      </c>
      <c r="P1400" s="2">
        <f t="shared" si="135"/>
        <v>3.2822566602820826</v>
      </c>
      <c r="Q1400" s="3">
        <f t="shared" si="136"/>
        <v>0.15233421750663129</v>
      </c>
    </row>
    <row r="1401" spans="1:17" hidden="1" x14ac:dyDescent="0.25">
      <c r="A1401" t="s">
        <v>1472</v>
      </c>
      <c r="B1401" t="s">
        <v>27</v>
      </c>
      <c r="C1401" t="s">
        <v>28</v>
      </c>
      <c r="D1401" t="str">
        <f t="shared" si="132"/>
        <v>TX</v>
      </c>
      <c r="E1401" t="str">
        <f t="shared" si="133"/>
        <v>Southwest</v>
      </c>
      <c r="F1401" t="s">
        <v>25</v>
      </c>
      <c r="G1401" s="1">
        <v>45170</v>
      </c>
      <c r="H1401" s="1">
        <v>45175</v>
      </c>
      <c r="I1401" s="1">
        <f t="shared" si="131"/>
        <v>45175</v>
      </c>
      <c r="J1401" s="2">
        <v>34</v>
      </c>
      <c r="K1401" s="2">
        <v>255.91</v>
      </c>
      <c r="L1401" t="s">
        <v>15</v>
      </c>
      <c r="M1401" s="2">
        <v>1631</v>
      </c>
      <c r="N1401" s="2">
        <v>5</v>
      </c>
      <c r="O1401" s="2">
        <f t="shared" si="134"/>
        <v>326.2</v>
      </c>
      <c r="P1401" s="2">
        <f t="shared" si="135"/>
        <v>1.2746668750732679</v>
      </c>
      <c r="Q1401" s="3">
        <f t="shared" si="136"/>
        <v>0.15690374003678725</v>
      </c>
    </row>
    <row r="1402" spans="1:17" x14ac:dyDescent="0.25">
      <c r="A1402" t="s">
        <v>1473</v>
      </c>
      <c r="B1402" t="s">
        <v>30</v>
      </c>
      <c r="C1402" t="s">
        <v>81</v>
      </c>
      <c r="D1402" t="str">
        <f t="shared" si="132"/>
        <v>CO</v>
      </c>
      <c r="E1402" t="str">
        <f t="shared" si="133"/>
        <v>West</v>
      </c>
      <c r="F1402" t="s">
        <v>32</v>
      </c>
      <c r="G1402" s="1">
        <v>45216</v>
      </c>
      <c r="H1402" s="1">
        <v>45218</v>
      </c>
      <c r="I1402" s="1">
        <f t="shared" si="131"/>
        <v>45218</v>
      </c>
      <c r="J1402" s="2">
        <v>11</v>
      </c>
      <c r="K1402" s="2">
        <v>68.25</v>
      </c>
      <c r="L1402" t="s">
        <v>67</v>
      </c>
      <c r="M1402" s="2">
        <v>403</v>
      </c>
      <c r="N1402" s="2">
        <v>2</v>
      </c>
      <c r="O1402" s="2">
        <f t="shared" si="134"/>
        <v>201.5</v>
      </c>
      <c r="P1402" s="2">
        <f t="shared" si="135"/>
        <v>2.9523809523809526</v>
      </c>
      <c r="Q1402" s="3">
        <f t="shared" si="136"/>
        <v>0.16935483870967741</v>
      </c>
    </row>
    <row r="1403" spans="1:17" hidden="1" x14ac:dyDescent="0.25">
      <c r="A1403" t="s">
        <v>1475</v>
      </c>
      <c r="B1403" t="s">
        <v>35</v>
      </c>
      <c r="C1403" t="s">
        <v>17</v>
      </c>
      <c r="D1403" t="str">
        <f t="shared" si="132"/>
        <v>GA</v>
      </c>
      <c r="E1403" t="str">
        <f t="shared" si="133"/>
        <v>Southeast</v>
      </c>
      <c r="F1403" t="s">
        <v>18</v>
      </c>
      <c r="G1403" s="1">
        <v>44947</v>
      </c>
      <c r="H1403" s="1">
        <v>44950</v>
      </c>
      <c r="I1403" s="1">
        <f t="shared" si="131"/>
        <v>44950</v>
      </c>
      <c r="J1403" s="2">
        <v>19.8</v>
      </c>
      <c r="K1403" s="2">
        <v>117.68</v>
      </c>
      <c r="L1403" t="s">
        <v>15</v>
      </c>
      <c r="M1403" s="2">
        <v>611</v>
      </c>
      <c r="N1403" s="2">
        <v>3</v>
      </c>
      <c r="O1403" s="2">
        <f t="shared" si="134"/>
        <v>203.66666666666666</v>
      </c>
      <c r="P1403" s="2">
        <f t="shared" si="135"/>
        <v>1.7306820756854746</v>
      </c>
      <c r="Q1403" s="3">
        <f t="shared" si="136"/>
        <v>0.19260229132569559</v>
      </c>
    </row>
    <row r="1404" spans="1:17" x14ac:dyDescent="0.25">
      <c r="A1404" t="s">
        <v>1476</v>
      </c>
      <c r="B1404" t="s">
        <v>35</v>
      </c>
      <c r="C1404" t="s">
        <v>24</v>
      </c>
      <c r="D1404" t="str">
        <f t="shared" si="132"/>
        <v>WA</v>
      </c>
      <c r="E1404" t="str">
        <f t="shared" si="133"/>
        <v>West</v>
      </c>
      <c r="F1404" t="s">
        <v>14</v>
      </c>
      <c r="G1404" s="1">
        <v>45082</v>
      </c>
      <c r="I1404" s="1">
        <f t="shared" si="131"/>
        <v>45091</v>
      </c>
      <c r="J1404" s="2">
        <v>17.7</v>
      </c>
      <c r="K1404" s="2">
        <v>258.44</v>
      </c>
      <c r="L1404" t="s">
        <v>15</v>
      </c>
      <c r="M1404" s="2">
        <v>1911</v>
      </c>
      <c r="N1404" s="2">
        <v>9</v>
      </c>
      <c r="O1404" s="2">
        <f t="shared" si="134"/>
        <v>212.33333333333334</v>
      </c>
      <c r="P1404" s="2">
        <f t="shared" si="135"/>
        <v>0.82159624413145549</v>
      </c>
      <c r="Q1404" s="3">
        <f t="shared" si="136"/>
        <v>0.13523809523809524</v>
      </c>
    </row>
    <row r="1405" spans="1:17" hidden="1" x14ac:dyDescent="0.25">
      <c r="A1405" t="s">
        <v>1477</v>
      </c>
      <c r="B1405" t="s">
        <v>27</v>
      </c>
      <c r="C1405" t="s">
        <v>44</v>
      </c>
      <c r="D1405" t="str">
        <f t="shared" si="132"/>
        <v>IL</v>
      </c>
      <c r="E1405" t="str">
        <f t="shared" si="133"/>
        <v>Midwest</v>
      </c>
      <c r="F1405" t="s">
        <v>42</v>
      </c>
      <c r="G1405" s="1">
        <v>45005</v>
      </c>
      <c r="H1405" s="1">
        <v>45009</v>
      </c>
      <c r="I1405" s="1">
        <f t="shared" si="131"/>
        <v>45009</v>
      </c>
      <c r="J1405" s="2">
        <v>42.4</v>
      </c>
      <c r="K1405" s="2">
        <v>171.56</v>
      </c>
      <c r="L1405" t="s">
        <v>15</v>
      </c>
      <c r="M1405" s="2">
        <v>1111</v>
      </c>
      <c r="N1405" s="2">
        <v>4</v>
      </c>
      <c r="O1405" s="2">
        <f t="shared" si="134"/>
        <v>277.75</v>
      </c>
      <c r="P1405" s="2">
        <f t="shared" si="135"/>
        <v>1.6189671252040103</v>
      </c>
      <c r="Q1405" s="3">
        <f t="shared" si="136"/>
        <v>0.15441944194419441</v>
      </c>
    </row>
    <row r="1406" spans="1:17" x14ac:dyDescent="0.25">
      <c r="A1406" t="s">
        <v>1478</v>
      </c>
      <c r="B1406" t="s">
        <v>35</v>
      </c>
      <c r="C1406" t="s">
        <v>24</v>
      </c>
      <c r="D1406" t="str">
        <f t="shared" si="132"/>
        <v>WA</v>
      </c>
      <c r="E1406" t="str">
        <f t="shared" si="133"/>
        <v>West</v>
      </c>
      <c r="F1406" t="s">
        <v>42</v>
      </c>
      <c r="G1406" s="1">
        <v>45136</v>
      </c>
      <c r="H1406" s="1">
        <v>45139</v>
      </c>
      <c r="I1406" s="1">
        <f t="shared" si="131"/>
        <v>45139</v>
      </c>
      <c r="J1406" s="2">
        <v>14.5</v>
      </c>
      <c r="K1406" s="2">
        <v>160.16999999999999</v>
      </c>
      <c r="L1406" t="s">
        <v>15</v>
      </c>
      <c r="M1406" s="2">
        <v>1162</v>
      </c>
      <c r="N1406" s="2">
        <v>3</v>
      </c>
      <c r="O1406" s="2">
        <f t="shared" si="134"/>
        <v>387.33333333333331</v>
      </c>
      <c r="P1406" s="2">
        <f t="shared" si="135"/>
        <v>2.4182639279099289</v>
      </c>
      <c r="Q1406" s="3">
        <f t="shared" si="136"/>
        <v>0.13783993115318416</v>
      </c>
    </row>
    <row r="1407" spans="1:17" hidden="1" x14ac:dyDescent="0.25">
      <c r="A1407" t="s">
        <v>1479</v>
      </c>
      <c r="B1407" t="s">
        <v>20</v>
      </c>
      <c r="C1407" t="s">
        <v>21</v>
      </c>
      <c r="D1407" t="str">
        <f t="shared" si="132"/>
        <v>TX</v>
      </c>
      <c r="E1407" t="str">
        <f t="shared" si="133"/>
        <v>Southwest</v>
      </c>
      <c r="F1407" t="s">
        <v>25</v>
      </c>
      <c r="G1407" s="1">
        <v>45071</v>
      </c>
      <c r="H1407" s="1">
        <v>45072</v>
      </c>
      <c r="I1407" s="1">
        <f t="shared" si="131"/>
        <v>45072</v>
      </c>
      <c r="J1407" s="2">
        <v>30.6</v>
      </c>
      <c r="K1407" s="2">
        <v>48.89</v>
      </c>
      <c r="L1407" t="s">
        <v>15</v>
      </c>
      <c r="M1407" s="2">
        <v>146</v>
      </c>
      <c r="N1407" s="2">
        <v>1</v>
      </c>
      <c r="O1407" s="2">
        <f t="shared" si="134"/>
        <v>146</v>
      </c>
      <c r="P1407" s="2">
        <f t="shared" si="135"/>
        <v>2.986295766005318</v>
      </c>
      <c r="Q1407" s="3">
        <f t="shared" si="136"/>
        <v>0.33486301369863014</v>
      </c>
    </row>
    <row r="1408" spans="1:17" hidden="1" x14ac:dyDescent="0.25">
      <c r="A1408" t="s">
        <v>1480</v>
      </c>
      <c r="B1408" t="s">
        <v>39</v>
      </c>
      <c r="C1408" t="s">
        <v>21</v>
      </c>
      <c r="D1408" t="str">
        <f t="shared" si="132"/>
        <v>TX</v>
      </c>
      <c r="E1408" t="str">
        <f t="shared" si="133"/>
        <v>Southwest</v>
      </c>
      <c r="F1408" t="s">
        <v>42</v>
      </c>
      <c r="G1408" s="1">
        <v>45143</v>
      </c>
      <c r="H1408" s="1">
        <v>45147</v>
      </c>
      <c r="I1408" s="1">
        <f t="shared" si="131"/>
        <v>45147</v>
      </c>
      <c r="J1408" s="2">
        <v>11.3</v>
      </c>
      <c r="K1408" s="2">
        <v>181.83</v>
      </c>
      <c r="L1408" t="s">
        <v>62</v>
      </c>
      <c r="M1408" s="2">
        <v>1541</v>
      </c>
      <c r="N1408" s="2">
        <v>4</v>
      </c>
      <c r="O1408" s="2">
        <f t="shared" si="134"/>
        <v>385.25</v>
      </c>
      <c r="P1408" s="2">
        <f t="shared" si="135"/>
        <v>2.118737282076665</v>
      </c>
      <c r="Q1408" s="3">
        <f t="shared" si="136"/>
        <v>0.11799480856586633</v>
      </c>
    </row>
    <row r="1409" spans="1:17" hidden="1" x14ac:dyDescent="0.25">
      <c r="A1409" t="s">
        <v>1481</v>
      </c>
      <c r="B1409" t="s">
        <v>35</v>
      </c>
      <c r="C1409" t="s">
        <v>17</v>
      </c>
      <c r="D1409" t="str">
        <f t="shared" si="132"/>
        <v>GA</v>
      </c>
      <c r="E1409" t="str">
        <f t="shared" si="133"/>
        <v>Southeast</v>
      </c>
      <c r="F1409" t="s">
        <v>42</v>
      </c>
      <c r="G1409" s="1">
        <v>44971</v>
      </c>
      <c r="H1409" s="1">
        <v>44975</v>
      </c>
      <c r="I1409" s="1">
        <f t="shared" si="131"/>
        <v>44975</v>
      </c>
      <c r="J1409" s="2">
        <v>12.1</v>
      </c>
      <c r="K1409" s="2">
        <v>228.01</v>
      </c>
      <c r="L1409" t="s">
        <v>67</v>
      </c>
      <c r="M1409" s="2">
        <v>1865</v>
      </c>
      <c r="N1409" s="2">
        <v>4</v>
      </c>
      <c r="O1409" s="2">
        <f t="shared" si="134"/>
        <v>466.25</v>
      </c>
      <c r="P1409" s="2">
        <f t="shared" si="135"/>
        <v>2.0448664532257359</v>
      </c>
      <c r="Q1409" s="3">
        <f t="shared" si="136"/>
        <v>0.1222573726541555</v>
      </c>
    </row>
    <row r="1410" spans="1:17" x14ac:dyDescent="0.25">
      <c r="A1410" t="s">
        <v>1482</v>
      </c>
      <c r="B1410" t="s">
        <v>56</v>
      </c>
      <c r="C1410" t="s">
        <v>70</v>
      </c>
      <c r="D1410" t="str">
        <f t="shared" si="132"/>
        <v>CA</v>
      </c>
      <c r="E1410" t="str">
        <f t="shared" si="133"/>
        <v>West</v>
      </c>
      <c r="F1410" t="s">
        <v>25</v>
      </c>
      <c r="G1410" s="1">
        <v>45035</v>
      </c>
      <c r="H1410" s="1">
        <v>45050</v>
      </c>
      <c r="I1410" s="1">
        <f t="shared" ref="I1410:I1473" si="137">IF(H1410="", G1410 + N1410, H1410)</f>
        <v>45050</v>
      </c>
      <c r="J1410" s="2">
        <v>10.199999999999999</v>
      </c>
      <c r="K1410" s="2">
        <v>201.85</v>
      </c>
      <c r="L1410" t="s">
        <v>47</v>
      </c>
      <c r="M1410" s="2">
        <v>1659</v>
      </c>
      <c r="N1410" s="2">
        <v>5</v>
      </c>
      <c r="O1410" s="2">
        <f t="shared" si="134"/>
        <v>331.8</v>
      </c>
      <c r="P1410" s="2">
        <f t="shared" si="135"/>
        <v>1.6437948972008918</v>
      </c>
      <c r="Q1410" s="3">
        <f t="shared" si="136"/>
        <v>0.12166968053044003</v>
      </c>
    </row>
    <row r="1411" spans="1:17" hidden="1" x14ac:dyDescent="0.25">
      <c r="A1411" t="s">
        <v>1483</v>
      </c>
      <c r="B1411" t="s">
        <v>56</v>
      </c>
      <c r="C1411" t="s">
        <v>46</v>
      </c>
      <c r="D1411" t="str">
        <f t="shared" si="132"/>
        <v>MA</v>
      </c>
      <c r="E1411" t="str">
        <f t="shared" si="133"/>
        <v>Northeast</v>
      </c>
      <c r="F1411" t="s">
        <v>18</v>
      </c>
      <c r="G1411" s="1">
        <v>45034</v>
      </c>
      <c r="H1411" s="1">
        <v>45038</v>
      </c>
      <c r="I1411" s="1">
        <f t="shared" si="137"/>
        <v>45038</v>
      </c>
      <c r="J1411" s="2">
        <v>10.4</v>
      </c>
      <c r="K1411" s="2">
        <v>266.13</v>
      </c>
      <c r="L1411" t="s">
        <v>15</v>
      </c>
      <c r="M1411" s="2">
        <v>1924</v>
      </c>
      <c r="N1411" s="2">
        <v>4</v>
      </c>
      <c r="O1411" s="2">
        <f t="shared" si="134"/>
        <v>481</v>
      </c>
      <c r="P1411" s="2">
        <f t="shared" si="135"/>
        <v>1.807387367076241</v>
      </c>
      <c r="Q1411" s="3">
        <f t="shared" si="136"/>
        <v>0.13832120582120583</v>
      </c>
    </row>
    <row r="1412" spans="1:17" hidden="1" x14ac:dyDescent="0.25">
      <c r="A1412" t="s">
        <v>1484</v>
      </c>
      <c r="B1412" t="s">
        <v>23</v>
      </c>
      <c r="C1412" t="s">
        <v>57</v>
      </c>
      <c r="D1412" t="str">
        <f t="shared" si="132"/>
        <v>MN</v>
      </c>
      <c r="E1412" t="str">
        <f t="shared" si="133"/>
        <v>Midwest</v>
      </c>
      <c r="F1412" t="s">
        <v>18</v>
      </c>
      <c r="G1412" s="1">
        <v>44975</v>
      </c>
      <c r="H1412" s="1">
        <v>44985</v>
      </c>
      <c r="I1412" s="1">
        <f t="shared" si="137"/>
        <v>44985</v>
      </c>
      <c r="J1412" s="2">
        <v>19.100000000000001</v>
      </c>
      <c r="K1412" s="2">
        <v>70.45</v>
      </c>
      <c r="L1412" t="s">
        <v>47</v>
      </c>
      <c r="M1412" s="2">
        <v>302</v>
      </c>
      <c r="N1412" s="2">
        <v>2</v>
      </c>
      <c r="O1412" s="2">
        <f t="shared" si="134"/>
        <v>151</v>
      </c>
      <c r="P1412" s="2">
        <f t="shared" si="135"/>
        <v>2.1433640880056779</v>
      </c>
      <c r="Q1412" s="3">
        <f t="shared" si="136"/>
        <v>0.23327814569536426</v>
      </c>
    </row>
    <row r="1413" spans="1:17" hidden="1" x14ac:dyDescent="0.25">
      <c r="A1413" t="s">
        <v>1485</v>
      </c>
      <c r="B1413" t="s">
        <v>23</v>
      </c>
      <c r="C1413" t="s">
        <v>46</v>
      </c>
      <c r="D1413" t="str">
        <f t="shared" si="132"/>
        <v>MA</v>
      </c>
      <c r="E1413" t="str">
        <f t="shared" si="133"/>
        <v>Northeast</v>
      </c>
      <c r="F1413" t="s">
        <v>59</v>
      </c>
      <c r="G1413" s="1">
        <v>44931</v>
      </c>
      <c r="H1413" s="1">
        <v>44935</v>
      </c>
      <c r="I1413" s="1">
        <f t="shared" si="137"/>
        <v>44935</v>
      </c>
      <c r="J1413" s="2">
        <v>111</v>
      </c>
      <c r="K1413" s="2">
        <v>301.2</v>
      </c>
      <c r="L1413" t="s">
        <v>15</v>
      </c>
      <c r="M1413" s="2">
        <v>1782</v>
      </c>
      <c r="N1413" s="2">
        <v>4</v>
      </c>
      <c r="O1413" s="2">
        <f t="shared" si="134"/>
        <v>445.5</v>
      </c>
      <c r="P1413" s="2">
        <f t="shared" si="135"/>
        <v>1.4790836653386454</v>
      </c>
      <c r="Q1413" s="3">
        <f t="shared" si="136"/>
        <v>0.16902356902356902</v>
      </c>
    </row>
    <row r="1414" spans="1:17" x14ac:dyDescent="0.25">
      <c r="A1414" t="s">
        <v>1486</v>
      </c>
      <c r="B1414" t="s">
        <v>39</v>
      </c>
      <c r="C1414" t="s">
        <v>13</v>
      </c>
      <c r="D1414" t="str">
        <f t="shared" si="132"/>
        <v>CA</v>
      </c>
      <c r="E1414" t="str">
        <f t="shared" si="133"/>
        <v>West</v>
      </c>
      <c r="F1414" t="s">
        <v>37</v>
      </c>
      <c r="G1414" s="1">
        <v>45065</v>
      </c>
      <c r="H1414" s="1">
        <v>45068</v>
      </c>
      <c r="I1414" s="1">
        <f t="shared" si="137"/>
        <v>45068</v>
      </c>
      <c r="J1414" s="2">
        <v>47.3</v>
      </c>
      <c r="K1414" s="2">
        <v>144.28</v>
      </c>
      <c r="L1414" t="s">
        <v>60</v>
      </c>
      <c r="M1414" s="2">
        <v>854</v>
      </c>
      <c r="N1414" s="2">
        <v>3</v>
      </c>
      <c r="O1414" s="2">
        <f t="shared" si="134"/>
        <v>284.66666666666669</v>
      </c>
      <c r="P1414" s="2">
        <f t="shared" si="135"/>
        <v>1.9730154329544405</v>
      </c>
      <c r="Q1414" s="3">
        <f t="shared" si="136"/>
        <v>0.16894613583138174</v>
      </c>
    </row>
    <row r="1415" spans="1:17" x14ac:dyDescent="0.25">
      <c r="A1415" t="s">
        <v>1487</v>
      </c>
      <c r="B1415" t="s">
        <v>35</v>
      </c>
      <c r="C1415" t="s">
        <v>36</v>
      </c>
      <c r="D1415" t="str">
        <f t="shared" si="132"/>
        <v>OR</v>
      </c>
      <c r="E1415" t="str">
        <f t="shared" si="133"/>
        <v>West</v>
      </c>
      <c r="F1415" t="s">
        <v>42</v>
      </c>
      <c r="G1415" s="1">
        <v>44937</v>
      </c>
      <c r="H1415" s="1">
        <v>44943</v>
      </c>
      <c r="I1415" s="1">
        <f t="shared" si="137"/>
        <v>44943</v>
      </c>
      <c r="J1415" s="2">
        <v>24.2</v>
      </c>
      <c r="K1415" s="2">
        <v>314.11</v>
      </c>
      <c r="L1415" t="s">
        <v>15</v>
      </c>
      <c r="M1415" s="2">
        <v>2469</v>
      </c>
      <c r="N1415" s="2">
        <v>6</v>
      </c>
      <c r="O1415" s="2">
        <f t="shared" si="134"/>
        <v>411.5</v>
      </c>
      <c r="P1415" s="2">
        <f t="shared" si="135"/>
        <v>1.3100506192098309</v>
      </c>
      <c r="Q1415" s="3">
        <f t="shared" si="136"/>
        <v>0.12722154718509518</v>
      </c>
    </row>
    <row r="1416" spans="1:17" hidden="1" x14ac:dyDescent="0.25">
      <c r="A1416" t="s">
        <v>1488</v>
      </c>
      <c r="B1416" t="s">
        <v>49</v>
      </c>
      <c r="C1416" t="s">
        <v>28</v>
      </c>
      <c r="D1416" t="str">
        <f t="shared" si="132"/>
        <v>TX</v>
      </c>
      <c r="E1416" t="str">
        <f t="shared" si="133"/>
        <v>Southwest</v>
      </c>
      <c r="F1416" t="s">
        <v>14</v>
      </c>
      <c r="G1416" s="1">
        <v>44954</v>
      </c>
      <c r="H1416" s="1">
        <v>44955</v>
      </c>
      <c r="I1416" s="1">
        <f t="shared" si="137"/>
        <v>44955</v>
      </c>
      <c r="J1416" s="2">
        <v>7.7</v>
      </c>
      <c r="K1416" s="2">
        <v>30.59</v>
      </c>
      <c r="L1416" t="s">
        <v>62</v>
      </c>
      <c r="M1416" s="2">
        <v>166</v>
      </c>
      <c r="N1416" s="2">
        <v>1</v>
      </c>
      <c r="O1416" s="2">
        <f t="shared" si="134"/>
        <v>166</v>
      </c>
      <c r="P1416" s="2">
        <f t="shared" si="135"/>
        <v>5.4266100032690421</v>
      </c>
      <c r="Q1416" s="3">
        <f t="shared" si="136"/>
        <v>0.18427710843373493</v>
      </c>
    </row>
    <row r="1417" spans="1:17" x14ac:dyDescent="0.25">
      <c r="A1417" t="s">
        <v>1489</v>
      </c>
      <c r="B1417" t="s">
        <v>35</v>
      </c>
      <c r="C1417" t="s">
        <v>13</v>
      </c>
      <c r="D1417" t="str">
        <f t="shared" si="132"/>
        <v>CA</v>
      </c>
      <c r="E1417" t="str">
        <f t="shared" si="133"/>
        <v>West</v>
      </c>
      <c r="F1417" t="s">
        <v>37</v>
      </c>
      <c r="G1417" s="1">
        <v>45219</v>
      </c>
      <c r="H1417" s="1">
        <v>45224</v>
      </c>
      <c r="I1417" s="1">
        <f t="shared" si="137"/>
        <v>45224</v>
      </c>
      <c r="J1417" s="2">
        <v>67.2</v>
      </c>
      <c r="K1417" s="2">
        <v>183.1</v>
      </c>
      <c r="L1417" t="s">
        <v>15</v>
      </c>
      <c r="M1417" s="2">
        <v>794</v>
      </c>
      <c r="N1417" s="2">
        <v>5</v>
      </c>
      <c r="O1417" s="2">
        <f t="shared" si="134"/>
        <v>158.80000000000001</v>
      </c>
      <c r="P1417" s="2">
        <f t="shared" si="135"/>
        <v>0.86728563626433652</v>
      </c>
      <c r="Q1417" s="3">
        <f t="shared" si="136"/>
        <v>0.23060453400503778</v>
      </c>
    </row>
    <row r="1418" spans="1:17" x14ac:dyDescent="0.25">
      <c r="A1418" t="s">
        <v>1490</v>
      </c>
      <c r="B1418" t="s">
        <v>39</v>
      </c>
      <c r="C1418" t="s">
        <v>36</v>
      </c>
      <c r="D1418" t="str">
        <f t="shared" si="132"/>
        <v>OR</v>
      </c>
      <c r="E1418" t="str">
        <f t="shared" si="133"/>
        <v>West</v>
      </c>
      <c r="F1418" t="s">
        <v>32</v>
      </c>
      <c r="G1418" s="1">
        <v>44993</v>
      </c>
      <c r="H1418" s="1">
        <v>44994</v>
      </c>
      <c r="I1418" s="1">
        <f t="shared" si="137"/>
        <v>44994</v>
      </c>
      <c r="J1418" s="2">
        <v>5.8</v>
      </c>
      <c r="K1418" s="2">
        <v>83.76</v>
      </c>
      <c r="L1418" t="s">
        <v>60</v>
      </c>
      <c r="M1418" s="2">
        <v>528</v>
      </c>
      <c r="N1418" s="2">
        <v>1</v>
      </c>
      <c r="O1418" s="2">
        <f t="shared" si="134"/>
        <v>528</v>
      </c>
      <c r="P1418" s="2">
        <f t="shared" si="135"/>
        <v>6.303724928366762</v>
      </c>
      <c r="Q1418" s="3">
        <f t="shared" si="136"/>
        <v>0.15863636363636366</v>
      </c>
    </row>
    <row r="1419" spans="1:17" hidden="1" x14ac:dyDescent="0.25">
      <c r="A1419" t="s">
        <v>1491</v>
      </c>
      <c r="B1419" t="s">
        <v>27</v>
      </c>
      <c r="C1419" t="s">
        <v>57</v>
      </c>
      <c r="D1419" t="str">
        <f t="shared" si="132"/>
        <v>MN</v>
      </c>
      <c r="E1419" t="str">
        <f t="shared" si="133"/>
        <v>Midwest</v>
      </c>
      <c r="F1419" t="s">
        <v>59</v>
      </c>
      <c r="G1419" s="1">
        <v>45033</v>
      </c>
      <c r="H1419" s="1">
        <v>45039</v>
      </c>
      <c r="I1419" s="1">
        <f t="shared" si="137"/>
        <v>45039</v>
      </c>
      <c r="J1419" s="2">
        <v>11.5</v>
      </c>
      <c r="K1419" s="2">
        <v>219.67</v>
      </c>
      <c r="L1419" t="s">
        <v>15</v>
      </c>
      <c r="M1419" s="2">
        <v>1908</v>
      </c>
      <c r="N1419" s="2">
        <v>6</v>
      </c>
      <c r="O1419" s="2">
        <f t="shared" si="134"/>
        <v>318</v>
      </c>
      <c r="P1419" s="2">
        <f t="shared" si="135"/>
        <v>1.4476259844311923</v>
      </c>
      <c r="Q1419" s="3">
        <f t="shared" si="136"/>
        <v>0.11513102725366876</v>
      </c>
    </row>
    <row r="1420" spans="1:17" hidden="1" x14ac:dyDescent="0.25">
      <c r="A1420" t="s">
        <v>1492</v>
      </c>
      <c r="B1420" t="s">
        <v>30</v>
      </c>
      <c r="C1420" t="s">
        <v>52</v>
      </c>
      <c r="D1420" t="str">
        <f t="shared" si="132"/>
        <v>AZ</v>
      </c>
      <c r="E1420" t="str">
        <f t="shared" si="133"/>
        <v>Southwest</v>
      </c>
      <c r="F1420" t="s">
        <v>25</v>
      </c>
      <c r="G1420" s="1">
        <v>45037</v>
      </c>
      <c r="H1420" s="1">
        <v>45053</v>
      </c>
      <c r="I1420" s="1">
        <f t="shared" si="137"/>
        <v>45053</v>
      </c>
      <c r="J1420" s="2">
        <v>41.9</v>
      </c>
      <c r="K1420" s="2">
        <v>260.33</v>
      </c>
      <c r="L1420" t="s">
        <v>47</v>
      </c>
      <c r="M1420" s="2">
        <v>1800</v>
      </c>
      <c r="N1420" s="2">
        <v>4</v>
      </c>
      <c r="O1420" s="2">
        <f t="shared" si="134"/>
        <v>450</v>
      </c>
      <c r="P1420" s="2">
        <f t="shared" si="135"/>
        <v>1.728575269849806</v>
      </c>
      <c r="Q1420" s="3">
        <f t="shared" si="136"/>
        <v>0.14462777777777777</v>
      </c>
    </row>
    <row r="1421" spans="1:17" x14ac:dyDescent="0.25">
      <c r="A1421" t="s">
        <v>1493</v>
      </c>
      <c r="B1421" t="s">
        <v>51</v>
      </c>
      <c r="C1421" t="s">
        <v>81</v>
      </c>
      <c r="D1421" t="str">
        <f t="shared" si="132"/>
        <v>CO</v>
      </c>
      <c r="E1421" t="str">
        <f t="shared" si="133"/>
        <v>West</v>
      </c>
      <c r="F1421" t="s">
        <v>32</v>
      </c>
      <c r="G1421" s="1">
        <v>45132</v>
      </c>
      <c r="H1421" s="1">
        <v>45134</v>
      </c>
      <c r="I1421" s="1">
        <f t="shared" si="137"/>
        <v>45134</v>
      </c>
      <c r="J1421" s="2">
        <v>22.9</v>
      </c>
      <c r="K1421" s="2">
        <v>123.35</v>
      </c>
      <c r="L1421" t="s">
        <v>15</v>
      </c>
      <c r="M1421" s="2">
        <v>713</v>
      </c>
      <c r="N1421" s="2">
        <v>2</v>
      </c>
      <c r="O1421" s="2">
        <f t="shared" si="134"/>
        <v>356.5</v>
      </c>
      <c r="P1421" s="2">
        <f t="shared" si="135"/>
        <v>2.8901499797324686</v>
      </c>
      <c r="Q1421" s="3">
        <f t="shared" si="136"/>
        <v>0.17300140252454418</v>
      </c>
    </row>
    <row r="1422" spans="1:17" x14ac:dyDescent="0.25">
      <c r="A1422" t="s">
        <v>1494</v>
      </c>
      <c r="B1422" t="s">
        <v>23</v>
      </c>
      <c r="C1422" t="s">
        <v>81</v>
      </c>
      <c r="D1422" t="str">
        <f t="shared" si="132"/>
        <v>CO</v>
      </c>
      <c r="E1422" t="str">
        <f t="shared" si="133"/>
        <v>West</v>
      </c>
      <c r="F1422" t="s">
        <v>32</v>
      </c>
      <c r="G1422" s="1">
        <v>45059</v>
      </c>
      <c r="H1422" s="1">
        <v>45062</v>
      </c>
      <c r="I1422" s="1">
        <f t="shared" si="137"/>
        <v>45062</v>
      </c>
      <c r="J1422" s="2">
        <v>30.6</v>
      </c>
      <c r="K1422" s="2">
        <v>83.44</v>
      </c>
      <c r="L1422" t="s">
        <v>15</v>
      </c>
      <c r="M1422" s="2">
        <v>306</v>
      </c>
      <c r="N1422" s="2">
        <v>3</v>
      </c>
      <c r="O1422" s="2">
        <f t="shared" si="134"/>
        <v>102</v>
      </c>
      <c r="P1422" s="2">
        <f t="shared" si="135"/>
        <v>1.2224352828379674</v>
      </c>
      <c r="Q1422" s="3">
        <f t="shared" si="136"/>
        <v>0.27267973856209149</v>
      </c>
    </row>
    <row r="1423" spans="1:17" x14ac:dyDescent="0.25">
      <c r="A1423" t="s">
        <v>1495</v>
      </c>
      <c r="B1423" t="s">
        <v>51</v>
      </c>
      <c r="C1423" t="s">
        <v>13</v>
      </c>
      <c r="D1423" t="str">
        <f t="shared" si="132"/>
        <v>CA</v>
      </c>
      <c r="E1423" t="str">
        <f t="shared" si="133"/>
        <v>West</v>
      </c>
      <c r="F1423" t="s">
        <v>42</v>
      </c>
      <c r="G1423" s="1">
        <v>45115</v>
      </c>
      <c r="H1423" s="1">
        <v>45118</v>
      </c>
      <c r="I1423" s="1">
        <f t="shared" si="137"/>
        <v>45118</v>
      </c>
      <c r="J1423" s="2">
        <v>41.7</v>
      </c>
      <c r="K1423" s="2">
        <v>91.23</v>
      </c>
      <c r="L1423" t="s">
        <v>15</v>
      </c>
      <c r="M1423" s="2">
        <v>302</v>
      </c>
      <c r="N1423" s="2">
        <v>3</v>
      </c>
      <c r="O1423" s="2">
        <f t="shared" si="134"/>
        <v>100.66666666666667</v>
      </c>
      <c r="P1423" s="2">
        <f t="shared" si="135"/>
        <v>1.1034381964996893</v>
      </c>
      <c r="Q1423" s="3">
        <f t="shared" si="136"/>
        <v>0.30208609271523179</v>
      </c>
    </row>
    <row r="1424" spans="1:17" hidden="1" x14ac:dyDescent="0.25">
      <c r="A1424" t="s">
        <v>1496</v>
      </c>
      <c r="B1424" t="s">
        <v>35</v>
      </c>
      <c r="C1424" t="s">
        <v>21</v>
      </c>
      <c r="D1424" t="str">
        <f t="shared" si="132"/>
        <v>TX</v>
      </c>
      <c r="E1424" t="str">
        <f t="shared" si="133"/>
        <v>Southwest</v>
      </c>
      <c r="F1424" t="s">
        <v>42</v>
      </c>
      <c r="G1424" s="1">
        <v>45114</v>
      </c>
      <c r="H1424" s="1">
        <v>45120</v>
      </c>
      <c r="I1424" s="1">
        <f t="shared" si="137"/>
        <v>45120</v>
      </c>
      <c r="J1424" s="2">
        <v>35.4</v>
      </c>
      <c r="K1424" s="2">
        <v>217.42</v>
      </c>
      <c r="L1424" t="s">
        <v>15</v>
      </c>
      <c r="M1424" s="2">
        <v>1655</v>
      </c>
      <c r="N1424" s="2">
        <v>6</v>
      </c>
      <c r="O1424" s="2">
        <f t="shared" si="134"/>
        <v>275.83333333333331</v>
      </c>
      <c r="P1424" s="2">
        <f t="shared" si="135"/>
        <v>1.2686658694385675</v>
      </c>
      <c r="Q1424" s="3">
        <f t="shared" si="136"/>
        <v>0.1313716012084592</v>
      </c>
    </row>
    <row r="1425" spans="1:17" hidden="1" x14ac:dyDescent="0.25">
      <c r="A1425" t="s">
        <v>1497</v>
      </c>
      <c r="B1425" t="s">
        <v>35</v>
      </c>
      <c r="C1425" t="s">
        <v>40</v>
      </c>
      <c r="D1425" t="str">
        <f t="shared" si="132"/>
        <v>MI</v>
      </c>
      <c r="E1425" t="str">
        <f t="shared" si="133"/>
        <v>Midwest</v>
      </c>
      <c r="F1425" t="s">
        <v>14</v>
      </c>
      <c r="G1425" s="1">
        <v>44992</v>
      </c>
      <c r="H1425" s="1">
        <v>44995</v>
      </c>
      <c r="I1425" s="1">
        <f t="shared" si="137"/>
        <v>44995</v>
      </c>
      <c r="J1425" s="2">
        <v>36.4</v>
      </c>
      <c r="K1425" s="2">
        <v>74.25</v>
      </c>
      <c r="L1425" t="s">
        <v>15</v>
      </c>
      <c r="M1425" s="2">
        <v>283</v>
      </c>
      <c r="N1425" s="2">
        <v>3</v>
      </c>
      <c r="O1425" s="2">
        <f t="shared" si="134"/>
        <v>94.333333333333329</v>
      </c>
      <c r="P1425" s="2">
        <f t="shared" si="135"/>
        <v>1.2704826038159371</v>
      </c>
      <c r="Q1425" s="3">
        <f t="shared" si="136"/>
        <v>0.26236749116607772</v>
      </c>
    </row>
    <row r="1426" spans="1:17" hidden="1" x14ac:dyDescent="0.25">
      <c r="A1426" t="s">
        <v>1498</v>
      </c>
      <c r="B1426" t="s">
        <v>56</v>
      </c>
      <c r="C1426" t="s">
        <v>54</v>
      </c>
      <c r="D1426" t="str">
        <f t="shared" si="132"/>
        <v>FL</v>
      </c>
      <c r="E1426" t="str">
        <f t="shared" si="133"/>
        <v>Southeast</v>
      </c>
      <c r="F1426" t="s">
        <v>18</v>
      </c>
      <c r="G1426" s="1">
        <v>44960</v>
      </c>
      <c r="H1426" s="1">
        <v>44968</v>
      </c>
      <c r="I1426" s="1">
        <f t="shared" si="137"/>
        <v>44968</v>
      </c>
      <c r="J1426" s="2">
        <v>7.4</v>
      </c>
      <c r="K1426" s="2">
        <v>348.3</v>
      </c>
      <c r="L1426" t="s">
        <v>15</v>
      </c>
      <c r="M1426" s="2">
        <v>2239</v>
      </c>
      <c r="N1426" s="2">
        <v>8</v>
      </c>
      <c r="O1426" s="2">
        <f t="shared" si="134"/>
        <v>279.875</v>
      </c>
      <c r="P1426" s="2">
        <f t="shared" si="135"/>
        <v>0.80354579385587133</v>
      </c>
      <c r="Q1426" s="3">
        <f t="shared" si="136"/>
        <v>0.15556051808843235</v>
      </c>
    </row>
    <row r="1427" spans="1:17" x14ac:dyDescent="0.25">
      <c r="A1427" t="s">
        <v>1499</v>
      </c>
      <c r="B1427" t="s">
        <v>51</v>
      </c>
      <c r="C1427" t="s">
        <v>13</v>
      </c>
      <c r="D1427" t="str">
        <f t="shared" si="132"/>
        <v>CA</v>
      </c>
      <c r="E1427" t="str">
        <f t="shared" si="133"/>
        <v>West</v>
      </c>
      <c r="F1427" t="s">
        <v>59</v>
      </c>
      <c r="G1427" s="1">
        <v>45290</v>
      </c>
      <c r="H1427" s="1">
        <v>45297</v>
      </c>
      <c r="I1427" s="1">
        <f t="shared" si="137"/>
        <v>45297</v>
      </c>
      <c r="J1427" s="2">
        <v>6.4</v>
      </c>
      <c r="K1427" s="2">
        <v>256.19</v>
      </c>
      <c r="L1427" t="s">
        <v>15</v>
      </c>
      <c r="M1427" s="2">
        <v>2003</v>
      </c>
      <c r="N1427" s="2">
        <v>7</v>
      </c>
      <c r="O1427" s="2">
        <f t="shared" si="134"/>
        <v>286.14285714285717</v>
      </c>
      <c r="P1427" s="2">
        <f t="shared" si="135"/>
        <v>1.1169165741943758</v>
      </c>
      <c r="Q1427" s="3">
        <f t="shared" si="136"/>
        <v>0.12790314528207689</v>
      </c>
    </row>
    <row r="1428" spans="1:17" x14ac:dyDescent="0.25">
      <c r="A1428" t="s">
        <v>1500</v>
      </c>
      <c r="B1428" t="s">
        <v>51</v>
      </c>
      <c r="C1428" t="s">
        <v>13</v>
      </c>
      <c r="D1428" t="str">
        <f t="shared" si="132"/>
        <v>CA</v>
      </c>
      <c r="E1428" t="str">
        <f t="shared" si="133"/>
        <v>West</v>
      </c>
      <c r="F1428" t="s">
        <v>14</v>
      </c>
      <c r="G1428" s="1">
        <v>44929</v>
      </c>
      <c r="H1428" s="1">
        <v>44934</v>
      </c>
      <c r="I1428" s="1">
        <f t="shared" si="137"/>
        <v>44934</v>
      </c>
      <c r="J1428" s="2">
        <v>9.8000000000000007</v>
      </c>
      <c r="K1428" s="2">
        <v>223.01</v>
      </c>
      <c r="L1428" t="s">
        <v>15</v>
      </c>
      <c r="M1428" s="2">
        <v>1553</v>
      </c>
      <c r="N1428" s="2">
        <v>5</v>
      </c>
      <c r="O1428" s="2">
        <f t="shared" si="134"/>
        <v>310.60000000000002</v>
      </c>
      <c r="P1428" s="2">
        <f t="shared" si="135"/>
        <v>1.3927626563831219</v>
      </c>
      <c r="Q1428" s="3">
        <f t="shared" si="136"/>
        <v>0.14359948486799742</v>
      </c>
    </row>
    <row r="1429" spans="1:17" x14ac:dyDescent="0.25">
      <c r="A1429" t="s">
        <v>1501</v>
      </c>
      <c r="B1429" t="s">
        <v>12</v>
      </c>
      <c r="C1429" t="s">
        <v>24</v>
      </c>
      <c r="D1429" t="str">
        <f t="shared" si="132"/>
        <v>WA</v>
      </c>
      <c r="E1429" t="str">
        <f t="shared" si="133"/>
        <v>West</v>
      </c>
      <c r="F1429" t="s">
        <v>42</v>
      </c>
      <c r="G1429" s="1">
        <v>45129</v>
      </c>
      <c r="I1429" s="1">
        <f t="shared" si="137"/>
        <v>45132</v>
      </c>
      <c r="J1429" s="2">
        <v>47.6</v>
      </c>
      <c r="K1429" s="2">
        <v>156.85</v>
      </c>
      <c r="L1429" t="s">
        <v>15</v>
      </c>
      <c r="M1429" s="2">
        <v>717</v>
      </c>
      <c r="N1429" s="2">
        <v>3</v>
      </c>
      <c r="O1429" s="2">
        <f t="shared" si="134"/>
        <v>239</v>
      </c>
      <c r="P1429" s="2">
        <f t="shared" si="135"/>
        <v>1.5237488045903731</v>
      </c>
      <c r="Q1429" s="3">
        <f t="shared" si="136"/>
        <v>0.21875871687587167</v>
      </c>
    </row>
    <row r="1430" spans="1:17" hidden="1" x14ac:dyDescent="0.25">
      <c r="A1430" t="s">
        <v>1502</v>
      </c>
      <c r="B1430" t="s">
        <v>30</v>
      </c>
      <c r="C1430" t="s">
        <v>57</v>
      </c>
      <c r="D1430" t="str">
        <f t="shared" si="132"/>
        <v>MN</v>
      </c>
      <c r="E1430" t="str">
        <f t="shared" si="133"/>
        <v>Midwest</v>
      </c>
      <c r="F1430" t="s">
        <v>37</v>
      </c>
      <c r="G1430" s="1">
        <v>45157</v>
      </c>
      <c r="H1430" s="1">
        <v>45164</v>
      </c>
      <c r="I1430" s="1">
        <f t="shared" si="137"/>
        <v>45164</v>
      </c>
      <c r="J1430" s="2">
        <v>29.2</v>
      </c>
      <c r="K1430" s="2">
        <v>279.85000000000002</v>
      </c>
      <c r="L1430" t="s">
        <v>60</v>
      </c>
      <c r="M1430" s="2">
        <v>1843</v>
      </c>
      <c r="N1430" s="2">
        <v>7</v>
      </c>
      <c r="O1430" s="2">
        <f t="shared" si="134"/>
        <v>263.28571428571428</v>
      </c>
      <c r="P1430" s="2">
        <f t="shared" si="135"/>
        <v>0.94081012787462659</v>
      </c>
      <c r="Q1430" s="3">
        <f t="shared" si="136"/>
        <v>0.15184481823114487</v>
      </c>
    </row>
    <row r="1431" spans="1:17" hidden="1" x14ac:dyDescent="0.25">
      <c r="A1431" t="s">
        <v>1503</v>
      </c>
      <c r="B1431" t="s">
        <v>23</v>
      </c>
      <c r="C1431" t="s">
        <v>52</v>
      </c>
      <c r="D1431" t="str">
        <f t="shared" si="132"/>
        <v>AZ</v>
      </c>
      <c r="E1431" t="str">
        <f t="shared" si="133"/>
        <v>Southwest</v>
      </c>
      <c r="F1431" t="s">
        <v>59</v>
      </c>
      <c r="G1431" s="1">
        <v>45042</v>
      </c>
      <c r="H1431" s="1">
        <v>45045</v>
      </c>
      <c r="I1431" s="1">
        <f t="shared" si="137"/>
        <v>45045</v>
      </c>
      <c r="J1431" s="2">
        <v>11.5</v>
      </c>
      <c r="K1431" s="2">
        <v>62.46</v>
      </c>
      <c r="L1431" t="s">
        <v>15</v>
      </c>
      <c r="M1431" s="2">
        <v>487</v>
      </c>
      <c r="N1431" s="2">
        <v>3</v>
      </c>
      <c r="O1431" s="2">
        <f t="shared" si="134"/>
        <v>162.33333333333334</v>
      </c>
      <c r="P1431" s="2">
        <f t="shared" si="135"/>
        <v>2.5989966912157114</v>
      </c>
      <c r="Q1431" s="3">
        <f t="shared" si="136"/>
        <v>0.12825462012320329</v>
      </c>
    </row>
    <row r="1432" spans="1:17" hidden="1" x14ac:dyDescent="0.25">
      <c r="A1432" t="s">
        <v>1504</v>
      </c>
      <c r="B1432" t="s">
        <v>56</v>
      </c>
      <c r="C1432" t="s">
        <v>54</v>
      </c>
      <c r="D1432" t="str">
        <f t="shared" si="132"/>
        <v>FL</v>
      </c>
      <c r="E1432" t="str">
        <f t="shared" si="133"/>
        <v>Southeast</v>
      </c>
      <c r="F1432" t="s">
        <v>59</v>
      </c>
      <c r="G1432" s="1">
        <v>45012</v>
      </c>
      <c r="H1432" s="1">
        <v>45015</v>
      </c>
      <c r="I1432" s="1">
        <f t="shared" si="137"/>
        <v>45015</v>
      </c>
      <c r="J1432" s="2">
        <v>7.5</v>
      </c>
      <c r="K1432" s="2">
        <v>141.08000000000001</v>
      </c>
      <c r="L1432" t="s">
        <v>15</v>
      </c>
      <c r="M1432" s="2">
        <v>1061</v>
      </c>
      <c r="N1432" s="2">
        <v>3</v>
      </c>
      <c r="O1432" s="2">
        <f t="shared" si="134"/>
        <v>353.66666666666669</v>
      </c>
      <c r="P1432" s="2">
        <f t="shared" si="135"/>
        <v>2.506851904356866</v>
      </c>
      <c r="Q1432" s="3">
        <f t="shared" si="136"/>
        <v>0.1329688972667295</v>
      </c>
    </row>
    <row r="1433" spans="1:17" hidden="1" x14ac:dyDescent="0.25">
      <c r="A1433" t="s">
        <v>1505</v>
      </c>
      <c r="B1433" t="s">
        <v>51</v>
      </c>
      <c r="C1433" t="s">
        <v>40</v>
      </c>
      <c r="D1433" t="str">
        <f t="shared" si="132"/>
        <v>MI</v>
      </c>
      <c r="E1433" t="str">
        <f t="shared" si="133"/>
        <v>Midwest</v>
      </c>
      <c r="F1433" t="s">
        <v>25</v>
      </c>
      <c r="G1433" s="1">
        <v>45203</v>
      </c>
      <c r="H1433" s="1">
        <v>45205</v>
      </c>
      <c r="I1433" s="1">
        <f t="shared" si="137"/>
        <v>45205</v>
      </c>
      <c r="J1433" s="2">
        <v>10</v>
      </c>
      <c r="K1433" s="2">
        <v>85.04</v>
      </c>
      <c r="L1433" t="s">
        <v>15</v>
      </c>
      <c r="M1433" s="2">
        <v>585</v>
      </c>
      <c r="N1433" s="2">
        <v>2</v>
      </c>
      <c r="O1433" s="2">
        <f t="shared" si="134"/>
        <v>292.5</v>
      </c>
      <c r="P1433" s="2">
        <f t="shared" si="135"/>
        <v>3.4395578551269987</v>
      </c>
      <c r="Q1433" s="3">
        <f t="shared" si="136"/>
        <v>0.14536752136752137</v>
      </c>
    </row>
    <row r="1434" spans="1:17" x14ac:dyDescent="0.25">
      <c r="A1434" t="s">
        <v>1506</v>
      </c>
      <c r="B1434" t="s">
        <v>51</v>
      </c>
      <c r="C1434" t="s">
        <v>81</v>
      </c>
      <c r="D1434" t="str">
        <f t="shared" si="132"/>
        <v>CO</v>
      </c>
      <c r="E1434" t="str">
        <f t="shared" si="133"/>
        <v>West</v>
      </c>
      <c r="F1434" t="s">
        <v>32</v>
      </c>
      <c r="G1434" s="1">
        <v>45007</v>
      </c>
      <c r="H1434" s="1">
        <v>45009</v>
      </c>
      <c r="I1434" s="1">
        <f t="shared" si="137"/>
        <v>45009</v>
      </c>
      <c r="J1434" s="2">
        <v>12.2</v>
      </c>
      <c r="K1434" s="2">
        <v>109.31</v>
      </c>
      <c r="L1434" t="s">
        <v>15</v>
      </c>
      <c r="M1434" s="2">
        <v>691</v>
      </c>
      <c r="N1434" s="2">
        <v>2</v>
      </c>
      <c r="O1434" s="2">
        <f t="shared" si="134"/>
        <v>345.5</v>
      </c>
      <c r="P1434" s="2">
        <f t="shared" si="135"/>
        <v>3.1607355228249929</v>
      </c>
      <c r="Q1434" s="3">
        <f t="shared" si="136"/>
        <v>0.15819102749638206</v>
      </c>
    </row>
    <row r="1435" spans="1:17" hidden="1" x14ac:dyDescent="0.25">
      <c r="A1435" t="s">
        <v>1507</v>
      </c>
      <c r="B1435" t="s">
        <v>49</v>
      </c>
      <c r="C1435" t="s">
        <v>40</v>
      </c>
      <c r="D1435" t="str">
        <f t="shared" si="132"/>
        <v>MI</v>
      </c>
      <c r="E1435" t="str">
        <f t="shared" si="133"/>
        <v>Midwest</v>
      </c>
      <c r="F1435" t="s">
        <v>37</v>
      </c>
      <c r="G1435" s="1">
        <v>45291</v>
      </c>
      <c r="H1435" s="1">
        <v>45293</v>
      </c>
      <c r="I1435" s="1">
        <f t="shared" si="137"/>
        <v>45293</v>
      </c>
      <c r="J1435" s="2">
        <v>12.1</v>
      </c>
      <c r="K1435" s="2">
        <v>163.06</v>
      </c>
      <c r="L1435" t="s">
        <v>15</v>
      </c>
      <c r="M1435" s="2">
        <v>1097</v>
      </c>
      <c r="N1435" s="2">
        <v>2</v>
      </c>
      <c r="O1435" s="2">
        <f t="shared" si="134"/>
        <v>548.5</v>
      </c>
      <c r="P1435" s="2">
        <f t="shared" si="135"/>
        <v>3.3637924690298049</v>
      </c>
      <c r="Q1435" s="3">
        <f t="shared" si="136"/>
        <v>0.14864175022789425</v>
      </c>
    </row>
    <row r="1436" spans="1:17" hidden="1" x14ac:dyDescent="0.25">
      <c r="A1436" t="s">
        <v>1508</v>
      </c>
      <c r="B1436" t="s">
        <v>30</v>
      </c>
      <c r="C1436" t="s">
        <v>52</v>
      </c>
      <c r="D1436" t="str">
        <f t="shared" si="132"/>
        <v>AZ</v>
      </c>
      <c r="E1436" t="str">
        <f t="shared" si="133"/>
        <v>Southwest</v>
      </c>
      <c r="F1436" t="s">
        <v>14</v>
      </c>
      <c r="G1436" s="1">
        <v>45112</v>
      </c>
      <c r="H1436" s="1">
        <v>45115</v>
      </c>
      <c r="I1436" s="1">
        <f t="shared" si="137"/>
        <v>45115</v>
      </c>
      <c r="J1436" s="2">
        <v>100.9</v>
      </c>
      <c r="K1436" s="2">
        <v>172.46</v>
      </c>
      <c r="L1436" t="s">
        <v>15</v>
      </c>
      <c r="M1436" s="2">
        <v>390</v>
      </c>
      <c r="N1436" s="2">
        <v>3</v>
      </c>
      <c r="O1436" s="2">
        <f t="shared" si="134"/>
        <v>130</v>
      </c>
      <c r="P1436" s="2">
        <f t="shared" si="135"/>
        <v>0.75379798214078619</v>
      </c>
      <c r="Q1436" s="3">
        <f t="shared" si="136"/>
        <v>0.44220512820512825</v>
      </c>
    </row>
    <row r="1437" spans="1:17" hidden="1" x14ac:dyDescent="0.25">
      <c r="A1437" t="s">
        <v>1509</v>
      </c>
      <c r="B1437" t="s">
        <v>30</v>
      </c>
      <c r="C1437" t="s">
        <v>46</v>
      </c>
      <c r="D1437" t="str">
        <f t="shared" si="132"/>
        <v>MA</v>
      </c>
      <c r="E1437" t="str">
        <f t="shared" si="133"/>
        <v>Northeast</v>
      </c>
      <c r="F1437" t="s">
        <v>37</v>
      </c>
      <c r="G1437" s="1">
        <v>45128</v>
      </c>
      <c r="H1437" s="1">
        <v>45134</v>
      </c>
      <c r="I1437" s="1">
        <f t="shared" si="137"/>
        <v>45134</v>
      </c>
      <c r="J1437" s="2">
        <v>29.2</v>
      </c>
      <c r="K1437" s="2">
        <v>323.13</v>
      </c>
      <c r="L1437" t="s">
        <v>15</v>
      </c>
      <c r="M1437" s="2">
        <v>2216</v>
      </c>
      <c r="N1437" s="2">
        <v>6</v>
      </c>
      <c r="O1437" s="2">
        <f t="shared" si="134"/>
        <v>369.33333333333331</v>
      </c>
      <c r="P1437" s="2">
        <f t="shared" si="135"/>
        <v>1.1429868267673484</v>
      </c>
      <c r="Q1437" s="3">
        <f t="shared" si="136"/>
        <v>0.14581678700361012</v>
      </c>
    </row>
    <row r="1438" spans="1:17" hidden="1" x14ac:dyDescent="0.25">
      <c r="A1438" t="s">
        <v>1510</v>
      </c>
      <c r="B1438" t="s">
        <v>27</v>
      </c>
      <c r="C1438" t="s">
        <v>52</v>
      </c>
      <c r="D1438" t="str">
        <f t="shared" si="132"/>
        <v>AZ</v>
      </c>
      <c r="E1438" t="str">
        <f t="shared" si="133"/>
        <v>Southwest</v>
      </c>
      <c r="F1438" t="s">
        <v>18</v>
      </c>
      <c r="G1438" s="1">
        <v>44960</v>
      </c>
      <c r="H1438" s="1">
        <v>44967</v>
      </c>
      <c r="I1438" s="1">
        <f t="shared" si="137"/>
        <v>44967</v>
      </c>
      <c r="J1438" s="2">
        <v>34.4</v>
      </c>
      <c r="K1438" s="2">
        <v>214.6</v>
      </c>
      <c r="L1438" t="s">
        <v>15</v>
      </c>
      <c r="M1438" s="2">
        <v>1229</v>
      </c>
      <c r="N1438" s="2">
        <v>7</v>
      </c>
      <c r="O1438" s="2">
        <f t="shared" si="134"/>
        <v>175.57142857142858</v>
      </c>
      <c r="P1438" s="2">
        <f t="shared" si="135"/>
        <v>0.81813340434030102</v>
      </c>
      <c r="Q1438" s="3">
        <f t="shared" si="136"/>
        <v>0.17461350691619201</v>
      </c>
    </row>
    <row r="1439" spans="1:17" hidden="1" x14ac:dyDescent="0.25">
      <c r="A1439" t="s">
        <v>1511</v>
      </c>
      <c r="B1439" t="s">
        <v>51</v>
      </c>
      <c r="C1439" t="s">
        <v>57</v>
      </c>
      <c r="D1439" t="str">
        <f t="shared" si="132"/>
        <v>MN</v>
      </c>
      <c r="E1439" t="str">
        <f t="shared" si="133"/>
        <v>Midwest</v>
      </c>
      <c r="F1439" t="s">
        <v>37</v>
      </c>
      <c r="G1439" s="1">
        <v>45117</v>
      </c>
      <c r="H1439" s="1">
        <v>45122</v>
      </c>
      <c r="I1439" s="1">
        <f t="shared" si="137"/>
        <v>45122</v>
      </c>
      <c r="J1439" s="2">
        <v>27.8</v>
      </c>
      <c r="K1439" s="2">
        <v>239.99</v>
      </c>
      <c r="L1439" t="s">
        <v>62</v>
      </c>
      <c r="M1439" s="2">
        <v>1591</v>
      </c>
      <c r="N1439" s="2">
        <v>5</v>
      </c>
      <c r="O1439" s="2">
        <f t="shared" si="134"/>
        <v>318.2</v>
      </c>
      <c r="P1439" s="2">
        <f t="shared" si="135"/>
        <v>1.3258885786907786</v>
      </c>
      <c r="Q1439" s="3">
        <f t="shared" si="136"/>
        <v>0.15084223758642365</v>
      </c>
    </row>
    <row r="1440" spans="1:17" hidden="1" x14ac:dyDescent="0.25">
      <c r="A1440" t="s">
        <v>1512</v>
      </c>
      <c r="B1440" t="s">
        <v>20</v>
      </c>
      <c r="C1440" t="s">
        <v>31</v>
      </c>
      <c r="D1440" t="str">
        <f t="shared" si="132"/>
        <v>NY</v>
      </c>
      <c r="E1440" t="str">
        <f t="shared" si="133"/>
        <v>Northeast</v>
      </c>
      <c r="F1440" t="s">
        <v>59</v>
      </c>
      <c r="G1440" s="1">
        <v>45278</v>
      </c>
      <c r="H1440" s="1">
        <v>45283</v>
      </c>
      <c r="I1440" s="1">
        <f t="shared" si="137"/>
        <v>45283</v>
      </c>
      <c r="J1440" s="2">
        <v>32.6</v>
      </c>
      <c r="K1440" s="2">
        <v>164.69</v>
      </c>
      <c r="L1440" t="s">
        <v>15</v>
      </c>
      <c r="M1440" s="2">
        <v>807</v>
      </c>
      <c r="N1440" s="2">
        <v>5</v>
      </c>
      <c r="O1440" s="2">
        <f t="shared" si="134"/>
        <v>161.4</v>
      </c>
      <c r="P1440" s="2">
        <f t="shared" si="135"/>
        <v>0.98002307365353092</v>
      </c>
      <c r="Q1440" s="3">
        <f t="shared" si="136"/>
        <v>0.20407682775712516</v>
      </c>
    </row>
    <row r="1441" spans="1:17" hidden="1" x14ac:dyDescent="0.25">
      <c r="A1441" t="s">
        <v>1513</v>
      </c>
      <c r="B1441" t="s">
        <v>51</v>
      </c>
      <c r="C1441" t="s">
        <v>28</v>
      </c>
      <c r="D1441" t="str">
        <f t="shared" si="132"/>
        <v>TX</v>
      </c>
      <c r="E1441" t="str">
        <f t="shared" si="133"/>
        <v>Southwest</v>
      </c>
      <c r="F1441" t="s">
        <v>59</v>
      </c>
      <c r="G1441" s="1">
        <v>45248</v>
      </c>
      <c r="H1441" s="1">
        <v>45253</v>
      </c>
      <c r="I1441" s="1">
        <f t="shared" si="137"/>
        <v>45253</v>
      </c>
      <c r="J1441" s="2">
        <v>23.1</v>
      </c>
      <c r="K1441" s="2">
        <v>176.66</v>
      </c>
      <c r="L1441" t="s">
        <v>15</v>
      </c>
      <c r="M1441" s="2">
        <v>1065</v>
      </c>
      <c r="N1441" s="2">
        <v>5</v>
      </c>
      <c r="O1441" s="2">
        <f t="shared" si="134"/>
        <v>213</v>
      </c>
      <c r="P1441" s="2">
        <f t="shared" si="135"/>
        <v>1.2057058756934225</v>
      </c>
      <c r="Q1441" s="3">
        <f t="shared" si="136"/>
        <v>0.16587793427230046</v>
      </c>
    </row>
    <row r="1442" spans="1:17" hidden="1" x14ac:dyDescent="0.25">
      <c r="A1442" t="s">
        <v>1514</v>
      </c>
      <c r="B1442" t="s">
        <v>23</v>
      </c>
      <c r="C1442" t="s">
        <v>57</v>
      </c>
      <c r="D1442" t="str">
        <f t="shared" si="132"/>
        <v>MN</v>
      </c>
      <c r="E1442" t="str">
        <f t="shared" si="133"/>
        <v>Midwest</v>
      </c>
      <c r="F1442" t="s">
        <v>42</v>
      </c>
      <c r="G1442" s="1">
        <v>45066</v>
      </c>
      <c r="H1442" s="1">
        <v>45069</v>
      </c>
      <c r="I1442" s="1">
        <f t="shared" si="137"/>
        <v>45069</v>
      </c>
      <c r="J1442" s="2">
        <v>14</v>
      </c>
      <c r="K1442" s="2">
        <v>184.53</v>
      </c>
      <c r="L1442" t="s">
        <v>15</v>
      </c>
      <c r="M1442" s="2">
        <v>1408</v>
      </c>
      <c r="N1442" s="2">
        <v>3</v>
      </c>
      <c r="O1442" s="2">
        <f t="shared" si="134"/>
        <v>469.33333333333331</v>
      </c>
      <c r="P1442" s="2">
        <f t="shared" si="135"/>
        <v>2.5433985440488449</v>
      </c>
      <c r="Q1442" s="3">
        <f t="shared" si="136"/>
        <v>0.13105823863636365</v>
      </c>
    </row>
    <row r="1443" spans="1:17" x14ac:dyDescent="0.25">
      <c r="A1443" t="s">
        <v>1515</v>
      </c>
      <c r="B1443" t="s">
        <v>23</v>
      </c>
      <c r="C1443" t="s">
        <v>81</v>
      </c>
      <c r="D1443" t="str">
        <f t="shared" si="132"/>
        <v>CO</v>
      </c>
      <c r="E1443" t="str">
        <f t="shared" si="133"/>
        <v>West</v>
      </c>
      <c r="F1443" t="s">
        <v>18</v>
      </c>
      <c r="G1443" s="1">
        <v>45017</v>
      </c>
      <c r="H1443" s="1">
        <v>45020</v>
      </c>
      <c r="I1443" s="1">
        <f t="shared" si="137"/>
        <v>45020</v>
      </c>
      <c r="J1443" s="2">
        <v>71.7</v>
      </c>
      <c r="K1443" s="2">
        <v>188.04</v>
      </c>
      <c r="L1443" t="s">
        <v>15</v>
      </c>
      <c r="M1443" s="2">
        <v>635</v>
      </c>
      <c r="N1443" s="2">
        <v>3</v>
      </c>
      <c r="O1443" s="2">
        <f t="shared" si="134"/>
        <v>211.66666666666666</v>
      </c>
      <c r="P1443" s="2">
        <f t="shared" si="135"/>
        <v>1.1256470254555768</v>
      </c>
      <c r="Q1443" s="3">
        <f t="shared" si="136"/>
        <v>0.29612598425196851</v>
      </c>
    </row>
    <row r="1444" spans="1:17" x14ac:dyDescent="0.25">
      <c r="A1444" t="s">
        <v>1516</v>
      </c>
      <c r="B1444" t="s">
        <v>35</v>
      </c>
      <c r="C1444" t="s">
        <v>81</v>
      </c>
      <c r="D1444" t="str">
        <f t="shared" si="132"/>
        <v>CO</v>
      </c>
      <c r="E1444" t="str">
        <f t="shared" si="133"/>
        <v>West</v>
      </c>
      <c r="F1444" t="s">
        <v>59</v>
      </c>
      <c r="G1444" s="1">
        <v>45284</v>
      </c>
      <c r="H1444" s="1">
        <v>45254</v>
      </c>
      <c r="I1444" s="1">
        <f t="shared" si="137"/>
        <v>45254</v>
      </c>
      <c r="J1444" s="2">
        <v>10.7</v>
      </c>
      <c r="K1444" s="2">
        <v>152.15</v>
      </c>
      <c r="L1444" t="s">
        <v>15</v>
      </c>
      <c r="M1444" s="2">
        <v>1000</v>
      </c>
      <c r="N1444" s="2">
        <v>3</v>
      </c>
      <c r="O1444" s="2">
        <f t="shared" si="134"/>
        <v>333.33333333333331</v>
      </c>
      <c r="P1444" s="2">
        <f t="shared" si="135"/>
        <v>2.1908204622631176</v>
      </c>
      <c r="Q1444" s="3">
        <f t="shared" si="136"/>
        <v>0.15215000000000001</v>
      </c>
    </row>
    <row r="1445" spans="1:17" x14ac:dyDescent="0.25">
      <c r="A1445" t="s">
        <v>1517</v>
      </c>
      <c r="B1445" t="s">
        <v>56</v>
      </c>
      <c r="C1445" t="s">
        <v>81</v>
      </c>
      <c r="D1445" t="str">
        <f t="shared" si="132"/>
        <v>CO</v>
      </c>
      <c r="E1445" t="str">
        <f t="shared" si="133"/>
        <v>West</v>
      </c>
      <c r="F1445" t="s">
        <v>32</v>
      </c>
      <c r="G1445" s="1">
        <v>45271</v>
      </c>
      <c r="H1445" s="1">
        <v>45272</v>
      </c>
      <c r="I1445" s="1">
        <f t="shared" si="137"/>
        <v>45272</v>
      </c>
      <c r="J1445" s="2">
        <v>70.599999999999994</v>
      </c>
      <c r="K1445" s="2">
        <v>151.86000000000001</v>
      </c>
      <c r="L1445" t="s">
        <v>15</v>
      </c>
      <c r="M1445" s="2">
        <v>323</v>
      </c>
      <c r="N1445" s="2">
        <v>1</v>
      </c>
      <c r="O1445" s="2">
        <f t="shared" si="134"/>
        <v>323</v>
      </c>
      <c r="P1445" s="2">
        <f t="shared" si="135"/>
        <v>2.1269590412221779</v>
      </c>
      <c r="Q1445" s="3">
        <f t="shared" si="136"/>
        <v>0.47015479876160993</v>
      </c>
    </row>
    <row r="1446" spans="1:17" hidden="1" x14ac:dyDescent="0.25">
      <c r="A1446" t="s">
        <v>1518</v>
      </c>
      <c r="B1446" t="s">
        <v>27</v>
      </c>
      <c r="C1446" t="s">
        <v>52</v>
      </c>
      <c r="D1446" t="str">
        <f t="shared" si="132"/>
        <v>AZ</v>
      </c>
      <c r="E1446" t="str">
        <f t="shared" si="133"/>
        <v>Southwest</v>
      </c>
      <c r="F1446" t="s">
        <v>18</v>
      </c>
      <c r="G1446" s="1">
        <v>45158</v>
      </c>
      <c r="H1446" s="1">
        <v>45163</v>
      </c>
      <c r="I1446" s="1">
        <f t="shared" si="137"/>
        <v>45163</v>
      </c>
      <c r="J1446" s="2">
        <v>54.4</v>
      </c>
      <c r="K1446" s="2">
        <v>266.93</v>
      </c>
      <c r="L1446" t="s">
        <v>15</v>
      </c>
      <c r="M1446" s="2">
        <v>1340</v>
      </c>
      <c r="N1446" s="2">
        <v>5</v>
      </c>
      <c r="O1446" s="2">
        <f t="shared" si="134"/>
        <v>268</v>
      </c>
      <c r="P1446" s="2">
        <f t="shared" si="135"/>
        <v>1.0040085415652042</v>
      </c>
      <c r="Q1446" s="3">
        <f t="shared" si="136"/>
        <v>0.19920149253731345</v>
      </c>
    </row>
    <row r="1447" spans="1:17" hidden="1" x14ac:dyDescent="0.25">
      <c r="A1447" t="s">
        <v>1519</v>
      </c>
      <c r="B1447" t="s">
        <v>23</v>
      </c>
      <c r="C1447" t="s">
        <v>17</v>
      </c>
      <c r="D1447" t="str">
        <f t="shared" si="132"/>
        <v>GA</v>
      </c>
      <c r="E1447" t="str">
        <f t="shared" si="133"/>
        <v>Southeast</v>
      </c>
      <c r="F1447" t="s">
        <v>25</v>
      </c>
      <c r="G1447" s="1">
        <v>45063</v>
      </c>
      <c r="H1447" s="1">
        <v>45067</v>
      </c>
      <c r="I1447" s="1">
        <f t="shared" si="137"/>
        <v>45067</v>
      </c>
      <c r="J1447" s="2">
        <v>20.100000000000001</v>
      </c>
      <c r="K1447" s="2">
        <v>74.849999999999994</v>
      </c>
      <c r="L1447" t="s">
        <v>15</v>
      </c>
      <c r="M1447" s="2">
        <v>451</v>
      </c>
      <c r="N1447" s="2">
        <v>4</v>
      </c>
      <c r="O1447" s="2">
        <f t="shared" si="134"/>
        <v>112.75</v>
      </c>
      <c r="P1447" s="2">
        <f t="shared" si="135"/>
        <v>1.5063460253841017</v>
      </c>
      <c r="Q1447" s="3">
        <f t="shared" si="136"/>
        <v>0.16596452328159644</v>
      </c>
    </row>
    <row r="1448" spans="1:17" x14ac:dyDescent="0.25">
      <c r="A1448" t="s">
        <v>1520</v>
      </c>
      <c r="B1448" t="s">
        <v>56</v>
      </c>
      <c r="C1448" t="s">
        <v>13</v>
      </c>
      <c r="D1448" t="str">
        <f t="shared" si="132"/>
        <v>CA</v>
      </c>
      <c r="E1448" t="str">
        <f t="shared" si="133"/>
        <v>West</v>
      </c>
      <c r="F1448" t="s">
        <v>25</v>
      </c>
      <c r="G1448" s="1">
        <v>45047</v>
      </c>
      <c r="H1448" s="1">
        <v>45051</v>
      </c>
      <c r="I1448" s="1">
        <f t="shared" si="137"/>
        <v>45051</v>
      </c>
      <c r="J1448" s="2">
        <v>11.3</v>
      </c>
      <c r="K1448" s="2">
        <v>176.58</v>
      </c>
      <c r="L1448" t="s">
        <v>15</v>
      </c>
      <c r="M1448" s="2">
        <v>1360</v>
      </c>
      <c r="N1448" s="2">
        <v>4</v>
      </c>
      <c r="O1448" s="2">
        <f t="shared" si="134"/>
        <v>340</v>
      </c>
      <c r="P1448" s="2">
        <f t="shared" si="135"/>
        <v>1.9254728734851059</v>
      </c>
      <c r="Q1448" s="3">
        <f t="shared" si="136"/>
        <v>0.12983823529411764</v>
      </c>
    </row>
    <row r="1449" spans="1:17" x14ac:dyDescent="0.25">
      <c r="A1449" t="s">
        <v>1521</v>
      </c>
      <c r="B1449" t="s">
        <v>12</v>
      </c>
      <c r="C1449" t="s">
        <v>70</v>
      </c>
      <c r="D1449" t="str">
        <f t="shared" ref="D1449:D1509" si="138">IF(C1449="Atlanta","GA",
IF(C1449="Boston","MA",
IF(C1449="Chicago","IL",
IF(C1449="Dallas","TX",
IF(C1449="Denver","CO",
IF(C1449="Detroit","MI",
IF(C1449="Houston","TX",
IF(C1449="Los Angeles","CA",
IF(C1449="Miami","FL",
IF(C1449="Minneapolis","MN",
IF(C1449="New York","NY",
IF(C1449="Phoenix","AZ",
IF(C1449="Portland","OR",
IF(C1449="San Francisco","CA",
IF(C1449="Seattle","WA","Unknown")))))))))))))))</f>
        <v>CA</v>
      </c>
      <c r="E1449" t="str">
        <f t="shared" ref="E1449:E1509" si="139">IF(OR(D1449="NY",D1449="NJ",D1449="PA",D1449="MA",D1449="CT",D1449="RI",D1449="VT",D1449="NH",D1449="ME"),"Northeast",
IF(OR(D1449="FL",D1449="GA",D1449="AL",D1449="MS",D1449="SC",D1449="NC",D1449="TN",D1449="KY"),"Southeast",
IF(OR(D1449="IL",D1449="IN",D1449="OH",D1449="MI",D1449="WI",D1449="MN",D1449="IA",D1449="MO",D1449="KS",D1449="NE",D1449="ND",D1449="SD"),"Midwest",
IF(OR(D1449="TX",D1449="OK",D1449="NM",D1449="AZ"),"Southwest",
IF(OR(D1449="CA",D1449="OR",D1449="WA",D1449="NV",D1449="CO",D1449="UT",D1449="ID",D1449="MT",D1449="WY",D1449="AK",D1449="HI"),"West","Other")))))</f>
        <v>West</v>
      </c>
      <c r="F1449" t="s">
        <v>25</v>
      </c>
      <c r="G1449" s="1">
        <v>45287</v>
      </c>
      <c r="H1449" s="1">
        <v>45292</v>
      </c>
      <c r="I1449" s="1">
        <f t="shared" si="137"/>
        <v>45292</v>
      </c>
      <c r="J1449" s="2">
        <v>14.8</v>
      </c>
      <c r="K1449" s="2">
        <v>318.26</v>
      </c>
      <c r="L1449" t="s">
        <v>15</v>
      </c>
      <c r="M1449" s="2">
        <v>2212</v>
      </c>
      <c r="N1449" s="2">
        <v>5</v>
      </c>
      <c r="O1449" s="2">
        <f t="shared" ref="O1449:O1509" si="140">M1449/N1449</f>
        <v>442.4</v>
      </c>
      <c r="P1449" s="2">
        <f t="shared" ref="P1449:P1509" si="141">O1449/K1449</f>
        <v>1.3900584427826306</v>
      </c>
      <c r="Q1449" s="3">
        <f t="shared" ref="Q1449:Q1509" si="142">K1449/M1449</f>
        <v>0.14387884267631101</v>
      </c>
    </row>
    <row r="1450" spans="1:17" x14ac:dyDescent="0.25">
      <c r="A1450" t="s">
        <v>1522</v>
      </c>
      <c r="B1450" t="s">
        <v>20</v>
      </c>
      <c r="C1450" t="s">
        <v>36</v>
      </c>
      <c r="D1450" t="str">
        <f t="shared" si="138"/>
        <v>OR</v>
      </c>
      <c r="E1450" t="str">
        <f t="shared" si="139"/>
        <v>West</v>
      </c>
      <c r="F1450" t="s">
        <v>18</v>
      </c>
      <c r="G1450" s="1">
        <v>45140</v>
      </c>
      <c r="H1450" s="1">
        <v>45146</v>
      </c>
      <c r="I1450" s="1">
        <f t="shared" si="137"/>
        <v>45146</v>
      </c>
      <c r="J1450" s="2">
        <v>28.4</v>
      </c>
      <c r="K1450" s="2">
        <v>390.3</v>
      </c>
      <c r="L1450" t="s">
        <v>15</v>
      </c>
      <c r="M1450" s="2">
        <v>2293</v>
      </c>
      <c r="N1450" s="2">
        <v>6</v>
      </c>
      <c r="O1450" s="2">
        <f t="shared" si="140"/>
        <v>382.16666666666669</v>
      </c>
      <c r="P1450" s="2">
        <f t="shared" si="141"/>
        <v>0.97916132889230512</v>
      </c>
      <c r="Q1450" s="3">
        <f t="shared" si="142"/>
        <v>0.17021369385085042</v>
      </c>
    </row>
    <row r="1451" spans="1:17" x14ac:dyDescent="0.25">
      <c r="A1451" t="s">
        <v>1523</v>
      </c>
      <c r="B1451" t="s">
        <v>12</v>
      </c>
      <c r="C1451" t="s">
        <v>36</v>
      </c>
      <c r="D1451" t="str">
        <f t="shared" si="138"/>
        <v>OR</v>
      </c>
      <c r="E1451" t="str">
        <f t="shared" si="139"/>
        <v>West</v>
      </c>
      <c r="F1451" t="s">
        <v>14</v>
      </c>
      <c r="G1451" s="1">
        <v>45252</v>
      </c>
      <c r="H1451" s="1">
        <v>45258</v>
      </c>
      <c r="I1451" s="1">
        <f t="shared" si="137"/>
        <v>45258</v>
      </c>
      <c r="J1451" s="2">
        <v>28.1</v>
      </c>
      <c r="K1451" s="2">
        <v>303.52999999999997</v>
      </c>
      <c r="L1451" t="s">
        <v>15</v>
      </c>
      <c r="M1451" s="2">
        <v>1711</v>
      </c>
      <c r="N1451" s="2">
        <v>6</v>
      </c>
      <c r="O1451" s="2">
        <f t="shared" si="140"/>
        <v>285.16666666666669</v>
      </c>
      <c r="P1451" s="2">
        <f t="shared" si="141"/>
        <v>0.93950076324141507</v>
      </c>
      <c r="Q1451" s="3">
        <f t="shared" si="142"/>
        <v>0.17739918176504965</v>
      </c>
    </row>
    <row r="1452" spans="1:17" x14ac:dyDescent="0.25">
      <c r="A1452" t="s">
        <v>1524</v>
      </c>
      <c r="B1452" t="s">
        <v>30</v>
      </c>
      <c r="C1452" t="s">
        <v>24</v>
      </c>
      <c r="D1452" t="str">
        <f t="shared" si="138"/>
        <v>WA</v>
      </c>
      <c r="E1452" t="str">
        <f t="shared" si="139"/>
        <v>West</v>
      </c>
      <c r="F1452" t="s">
        <v>32</v>
      </c>
      <c r="G1452" s="1">
        <v>45143</v>
      </c>
      <c r="H1452" s="1">
        <v>45147</v>
      </c>
      <c r="I1452" s="1">
        <f t="shared" si="137"/>
        <v>45147</v>
      </c>
      <c r="J1452" s="2">
        <v>153</v>
      </c>
      <c r="K1452" s="2">
        <v>334.41</v>
      </c>
      <c r="L1452" t="s">
        <v>15</v>
      </c>
      <c r="M1452" s="2">
        <v>1058</v>
      </c>
      <c r="N1452" s="2">
        <v>4</v>
      </c>
      <c r="O1452" s="2">
        <f t="shared" si="140"/>
        <v>264.5</v>
      </c>
      <c r="P1452" s="2">
        <f t="shared" si="141"/>
        <v>0.79094524685266587</v>
      </c>
      <c r="Q1452" s="3">
        <f t="shared" si="142"/>
        <v>0.31607750472589796</v>
      </c>
    </row>
    <row r="1453" spans="1:17" x14ac:dyDescent="0.25">
      <c r="A1453" t="s">
        <v>1525</v>
      </c>
      <c r="B1453" t="s">
        <v>12</v>
      </c>
      <c r="C1453" t="s">
        <v>13</v>
      </c>
      <c r="D1453" t="str">
        <f t="shared" si="138"/>
        <v>CA</v>
      </c>
      <c r="E1453" t="str">
        <f t="shared" si="139"/>
        <v>West</v>
      </c>
      <c r="F1453" t="s">
        <v>18</v>
      </c>
      <c r="G1453" s="1">
        <v>45169</v>
      </c>
      <c r="H1453" s="1">
        <v>45172</v>
      </c>
      <c r="I1453" s="1">
        <f t="shared" si="137"/>
        <v>45172</v>
      </c>
      <c r="J1453" s="2">
        <v>14.2</v>
      </c>
      <c r="K1453" s="2">
        <v>101.86</v>
      </c>
      <c r="L1453" t="s">
        <v>15</v>
      </c>
      <c r="M1453" s="2">
        <v>580</v>
      </c>
      <c r="N1453" s="2">
        <v>3</v>
      </c>
      <c r="O1453" s="2">
        <f t="shared" si="140"/>
        <v>193.33333333333334</v>
      </c>
      <c r="P1453" s="2">
        <f t="shared" si="141"/>
        <v>1.8980299757837555</v>
      </c>
      <c r="Q1453" s="3">
        <f t="shared" si="142"/>
        <v>0.17562068965517241</v>
      </c>
    </row>
    <row r="1454" spans="1:17" hidden="1" x14ac:dyDescent="0.25">
      <c r="A1454" t="s">
        <v>1526</v>
      </c>
      <c r="B1454" t="s">
        <v>51</v>
      </c>
      <c r="C1454" t="s">
        <v>40</v>
      </c>
      <c r="D1454" t="str">
        <f t="shared" si="138"/>
        <v>MI</v>
      </c>
      <c r="E1454" t="str">
        <f t="shared" si="139"/>
        <v>Midwest</v>
      </c>
      <c r="F1454" t="s">
        <v>32</v>
      </c>
      <c r="G1454" s="1">
        <v>45207</v>
      </c>
      <c r="H1454" s="1">
        <v>45212</v>
      </c>
      <c r="I1454" s="1">
        <f t="shared" si="137"/>
        <v>45212</v>
      </c>
      <c r="J1454" s="2">
        <v>34</v>
      </c>
      <c r="K1454" s="2">
        <v>228.26</v>
      </c>
      <c r="L1454" t="s">
        <v>15</v>
      </c>
      <c r="M1454" s="2">
        <v>1463</v>
      </c>
      <c r="N1454" s="2">
        <v>5</v>
      </c>
      <c r="O1454" s="2">
        <f t="shared" si="140"/>
        <v>292.60000000000002</v>
      </c>
      <c r="P1454" s="2">
        <f t="shared" si="141"/>
        <v>1.2818715499868572</v>
      </c>
      <c r="Q1454" s="3">
        <f t="shared" si="142"/>
        <v>0.15602187286397812</v>
      </c>
    </row>
    <row r="1455" spans="1:17" hidden="1" x14ac:dyDescent="0.25">
      <c r="A1455" t="s">
        <v>1527</v>
      </c>
      <c r="B1455" t="s">
        <v>27</v>
      </c>
      <c r="C1455" t="s">
        <v>31</v>
      </c>
      <c r="D1455" t="str">
        <f t="shared" si="138"/>
        <v>NY</v>
      </c>
      <c r="E1455" t="str">
        <f t="shared" si="139"/>
        <v>Northeast</v>
      </c>
      <c r="F1455" t="s">
        <v>42</v>
      </c>
      <c r="G1455" s="1">
        <v>44992</v>
      </c>
      <c r="H1455" s="1">
        <v>45005</v>
      </c>
      <c r="I1455" s="1">
        <f t="shared" si="137"/>
        <v>45005</v>
      </c>
      <c r="J1455" s="2">
        <v>30.1</v>
      </c>
      <c r="K1455" s="2">
        <v>101.62</v>
      </c>
      <c r="L1455" t="s">
        <v>47</v>
      </c>
      <c r="M1455" s="2">
        <v>615</v>
      </c>
      <c r="N1455" s="2">
        <v>2</v>
      </c>
      <c r="O1455" s="2">
        <f t="shared" si="140"/>
        <v>307.5</v>
      </c>
      <c r="P1455" s="2">
        <f t="shared" si="141"/>
        <v>3.0259791379649674</v>
      </c>
      <c r="Q1455" s="3">
        <f t="shared" si="142"/>
        <v>0.16523577235772358</v>
      </c>
    </row>
    <row r="1456" spans="1:17" hidden="1" x14ac:dyDescent="0.25">
      <c r="A1456" t="s">
        <v>1528</v>
      </c>
      <c r="B1456" t="s">
        <v>27</v>
      </c>
      <c r="C1456" t="s">
        <v>17</v>
      </c>
      <c r="D1456" t="str">
        <f t="shared" si="138"/>
        <v>GA</v>
      </c>
      <c r="E1456" t="str">
        <f t="shared" si="139"/>
        <v>Southeast</v>
      </c>
      <c r="F1456" t="s">
        <v>42</v>
      </c>
      <c r="G1456" s="1">
        <v>45031</v>
      </c>
      <c r="H1456" s="1">
        <v>45035</v>
      </c>
      <c r="I1456" s="1">
        <f t="shared" si="137"/>
        <v>45035</v>
      </c>
      <c r="J1456" s="2">
        <v>79.099999999999994</v>
      </c>
      <c r="K1456" s="2">
        <v>264.42</v>
      </c>
      <c r="L1456" t="s">
        <v>15</v>
      </c>
      <c r="M1456" s="2">
        <v>1487</v>
      </c>
      <c r="N1456" s="2">
        <v>4</v>
      </c>
      <c r="O1456" s="2">
        <f t="shared" si="140"/>
        <v>371.75</v>
      </c>
      <c r="P1456" s="2">
        <f t="shared" si="141"/>
        <v>1.405907268739127</v>
      </c>
      <c r="Q1456" s="3">
        <f t="shared" si="142"/>
        <v>0.17782111634162745</v>
      </c>
    </row>
    <row r="1457" spans="1:17" hidden="1" x14ac:dyDescent="0.25">
      <c r="A1457" t="s">
        <v>1529</v>
      </c>
      <c r="B1457" t="s">
        <v>39</v>
      </c>
      <c r="C1457" t="s">
        <v>28</v>
      </c>
      <c r="D1457" t="str">
        <f t="shared" si="138"/>
        <v>TX</v>
      </c>
      <c r="E1457" t="str">
        <f t="shared" si="139"/>
        <v>Southwest</v>
      </c>
      <c r="F1457" t="s">
        <v>25</v>
      </c>
      <c r="G1457" s="1">
        <v>45120</v>
      </c>
      <c r="H1457" s="1">
        <v>45123</v>
      </c>
      <c r="I1457" s="1">
        <f t="shared" si="137"/>
        <v>45123</v>
      </c>
      <c r="J1457" s="2">
        <v>8.1</v>
      </c>
      <c r="K1457" s="2">
        <v>188.86</v>
      </c>
      <c r="L1457" t="s">
        <v>15</v>
      </c>
      <c r="M1457" s="2">
        <v>1472</v>
      </c>
      <c r="N1457" s="2">
        <v>3</v>
      </c>
      <c r="O1457" s="2">
        <f t="shared" si="140"/>
        <v>490.66666666666669</v>
      </c>
      <c r="P1457" s="2">
        <f t="shared" si="141"/>
        <v>2.5980444067916268</v>
      </c>
      <c r="Q1457" s="3">
        <f t="shared" si="142"/>
        <v>0.12830163043478263</v>
      </c>
    </row>
    <row r="1458" spans="1:17" hidden="1" x14ac:dyDescent="0.25">
      <c r="A1458" t="s">
        <v>1530</v>
      </c>
      <c r="B1458" t="s">
        <v>51</v>
      </c>
      <c r="C1458" t="s">
        <v>52</v>
      </c>
      <c r="D1458" t="str">
        <f t="shared" si="138"/>
        <v>AZ</v>
      </c>
      <c r="E1458" t="str">
        <f t="shared" si="139"/>
        <v>Southwest</v>
      </c>
      <c r="F1458" t="s">
        <v>25</v>
      </c>
      <c r="G1458" s="1">
        <v>45192</v>
      </c>
      <c r="H1458" s="1">
        <v>45162</v>
      </c>
      <c r="I1458" s="1">
        <f t="shared" si="137"/>
        <v>45162</v>
      </c>
      <c r="J1458" s="2">
        <v>22.7</v>
      </c>
      <c r="K1458" s="2">
        <v>110.05</v>
      </c>
      <c r="L1458" t="s">
        <v>15</v>
      </c>
      <c r="M1458" s="2">
        <v>787</v>
      </c>
      <c r="N1458" s="2">
        <v>3</v>
      </c>
      <c r="O1458" s="2">
        <f t="shared" si="140"/>
        <v>262.33333333333331</v>
      </c>
      <c r="P1458" s="2">
        <f t="shared" si="141"/>
        <v>2.383764955323338</v>
      </c>
      <c r="Q1458" s="3">
        <f t="shared" si="142"/>
        <v>0.13983481575603557</v>
      </c>
    </row>
    <row r="1459" spans="1:17" hidden="1" x14ac:dyDescent="0.25">
      <c r="A1459" t="s">
        <v>1531</v>
      </c>
      <c r="B1459" t="s">
        <v>23</v>
      </c>
      <c r="C1459" t="s">
        <v>21</v>
      </c>
      <c r="D1459" t="str">
        <f t="shared" si="138"/>
        <v>TX</v>
      </c>
      <c r="E1459" t="str">
        <f t="shared" si="139"/>
        <v>Southwest</v>
      </c>
      <c r="F1459" t="s">
        <v>18</v>
      </c>
      <c r="G1459" s="1">
        <v>45177</v>
      </c>
      <c r="H1459" s="1">
        <v>45180</v>
      </c>
      <c r="I1459" s="1">
        <f t="shared" si="137"/>
        <v>45180</v>
      </c>
      <c r="J1459" s="2">
        <v>21.8</v>
      </c>
      <c r="K1459" s="2">
        <v>202.57</v>
      </c>
      <c r="L1459" t="s">
        <v>15</v>
      </c>
      <c r="M1459" s="2">
        <v>1364</v>
      </c>
      <c r="N1459" s="2">
        <v>3</v>
      </c>
      <c r="O1459" s="2">
        <f t="shared" si="140"/>
        <v>454.66666666666669</v>
      </c>
      <c r="P1459" s="2">
        <f t="shared" si="141"/>
        <v>2.244491616066874</v>
      </c>
      <c r="Q1459" s="3">
        <f t="shared" si="142"/>
        <v>0.14851173020527858</v>
      </c>
    </row>
    <row r="1460" spans="1:17" x14ac:dyDescent="0.25">
      <c r="A1460" t="s">
        <v>1532</v>
      </c>
      <c r="B1460" t="s">
        <v>20</v>
      </c>
      <c r="C1460" t="s">
        <v>70</v>
      </c>
      <c r="D1460" t="str">
        <f t="shared" si="138"/>
        <v>CA</v>
      </c>
      <c r="E1460" t="str">
        <f t="shared" si="139"/>
        <v>West</v>
      </c>
      <c r="F1460" t="s">
        <v>32</v>
      </c>
      <c r="G1460" s="1">
        <v>45055</v>
      </c>
      <c r="H1460" s="1">
        <v>45059</v>
      </c>
      <c r="I1460" s="1">
        <f t="shared" si="137"/>
        <v>45059</v>
      </c>
      <c r="J1460" s="2">
        <v>12</v>
      </c>
      <c r="K1460" s="2">
        <v>178.39</v>
      </c>
      <c r="L1460" t="s">
        <v>15</v>
      </c>
      <c r="M1460" s="2">
        <v>1377</v>
      </c>
      <c r="N1460" s="2">
        <v>4</v>
      </c>
      <c r="O1460" s="2">
        <f t="shared" si="140"/>
        <v>344.25</v>
      </c>
      <c r="P1460" s="2">
        <f t="shared" si="141"/>
        <v>1.9297606368069962</v>
      </c>
      <c r="Q1460" s="3">
        <f t="shared" si="142"/>
        <v>0.12954974582425563</v>
      </c>
    </row>
    <row r="1461" spans="1:17" x14ac:dyDescent="0.25">
      <c r="A1461" t="s">
        <v>1533</v>
      </c>
      <c r="B1461" t="s">
        <v>49</v>
      </c>
      <c r="C1461" t="s">
        <v>13</v>
      </c>
      <c r="D1461" t="str">
        <f t="shared" si="138"/>
        <v>CA</v>
      </c>
      <c r="E1461" t="str">
        <f t="shared" si="139"/>
        <v>West</v>
      </c>
      <c r="F1461" t="s">
        <v>14</v>
      </c>
      <c r="G1461" s="1">
        <v>44964</v>
      </c>
      <c r="H1461" s="1">
        <v>44969</v>
      </c>
      <c r="I1461" s="1">
        <f t="shared" si="137"/>
        <v>44969</v>
      </c>
      <c r="J1461" s="2">
        <v>11.3</v>
      </c>
      <c r="K1461" s="2">
        <v>199.25</v>
      </c>
      <c r="L1461" t="s">
        <v>15</v>
      </c>
      <c r="M1461" s="2">
        <v>1332</v>
      </c>
      <c r="N1461" s="2">
        <v>5</v>
      </c>
      <c r="O1461" s="2">
        <f t="shared" si="140"/>
        <v>266.39999999999998</v>
      </c>
      <c r="P1461" s="2">
        <f t="shared" si="141"/>
        <v>1.3370138017565871</v>
      </c>
      <c r="Q1461" s="3">
        <f t="shared" si="142"/>
        <v>0.1495870870870871</v>
      </c>
    </row>
    <row r="1462" spans="1:17" hidden="1" x14ac:dyDescent="0.25">
      <c r="A1462" t="s">
        <v>1534</v>
      </c>
      <c r="B1462" t="s">
        <v>39</v>
      </c>
      <c r="C1462" t="s">
        <v>52</v>
      </c>
      <c r="D1462" t="str">
        <f t="shared" si="138"/>
        <v>AZ</v>
      </c>
      <c r="E1462" t="str">
        <f t="shared" si="139"/>
        <v>Southwest</v>
      </c>
      <c r="F1462" t="s">
        <v>59</v>
      </c>
      <c r="G1462" s="1">
        <v>45159</v>
      </c>
      <c r="H1462" s="1">
        <v>45163</v>
      </c>
      <c r="I1462" s="1">
        <f t="shared" si="137"/>
        <v>45163</v>
      </c>
      <c r="J1462" s="2">
        <v>21.5</v>
      </c>
      <c r="K1462" s="2">
        <v>154.34</v>
      </c>
      <c r="L1462" t="s">
        <v>15</v>
      </c>
      <c r="M1462" s="2">
        <v>1209</v>
      </c>
      <c r="N1462" s="2">
        <v>4</v>
      </c>
      <c r="O1462" s="2">
        <f t="shared" si="140"/>
        <v>302.25</v>
      </c>
      <c r="P1462" s="2">
        <f t="shared" si="141"/>
        <v>1.9583387326681352</v>
      </c>
      <c r="Q1462" s="3">
        <f t="shared" si="142"/>
        <v>0.12765922249793218</v>
      </c>
    </row>
    <row r="1463" spans="1:17" hidden="1" x14ac:dyDescent="0.25">
      <c r="A1463" t="s">
        <v>1535</v>
      </c>
      <c r="B1463" t="s">
        <v>23</v>
      </c>
      <c r="C1463" t="s">
        <v>57</v>
      </c>
      <c r="D1463" t="str">
        <f t="shared" si="138"/>
        <v>MN</v>
      </c>
      <c r="E1463" t="str">
        <f t="shared" si="139"/>
        <v>Midwest</v>
      </c>
      <c r="F1463" t="s">
        <v>18</v>
      </c>
      <c r="G1463" s="1">
        <v>45238</v>
      </c>
      <c r="H1463" s="1">
        <v>45243</v>
      </c>
      <c r="I1463" s="1">
        <f t="shared" si="137"/>
        <v>45243</v>
      </c>
      <c r="J1463" s="2">
        <v>17.8</v>
      </c>
      <c r="K1463" s="2">
        <v>407.33</v>
      </c>
      <c r="L1463" t="s">
        <v>15</v>
      </c>
      <c r="M1463" s="2">
        <v>2300</v>
      </c>
      <c r="N1463" s="2">
        <v>5</v>
      </c>
      <c r="O1463" s="2">
        <f t="shared" si="140"/>
        <v>460</v>
      </c>
      <c r="P1463" s="2">
        <f t="shared" si="141"/>
        <v>1.129305477131564</v>
      </c>
      <c r="Q1463" s="3">
        <f t="shared" si="142"/>
        <v>0.17709999999999998</v>
      </c>
    </row>
    <row r="1464" spans="1:17" hidden="1" x14ac:dyDescent="0.25">
      <c r="A1464" t="s">
        <v>1536</v>
      </c>
      <c r="B1464" t="s">
        <v>23</v>
      </c>
      <c r="C1464" t="s">
        <v>52</v>
      </c>
      <c r="D1464" t="str">
        <f t="shared" si="138"/>
        <v>AZ</v>
      </c>
      <c r="E1464" t="str">
        <f t="shared" si="139"/>
        <v>Southwest</v>
      </c>
      <c r="F1464" t="s">
        <v>59</v>
      </c>
      <c r="G1464" s="1">
        <v>44960</v>
      </c>
      <c r="H1464" s="1">
        <v>44961</v>
      </c>
      <c r="I1464" s="1">
        <f t="shared" si="137"/>
        <v>44961</v>
      </c>
      <c r="J1464" s="2">
        <v>22.5</v>
      </c>
      <c r="K1464" s="2">
        <v>63.76</v>
      </c>
      <c r="L1464" t="s">
        <v>62</v>
      </c>
      <c r="M1464" s="2">
        <v>289</v>
      </c>
      <c r="N1464" s="2">
        <v>1</v>
      </c>
      <c r="O1464" s="2">
        <f t="shared" si="140"/>
        <v>289</v>
      </c>
      <c r="P1464" s="2">
        <f t="shared" si="141"/>
        <v>4.5326223337515685</v>
      </c>
      <c r="Q1464" s="3">
        <f t="shared" si="142"/>
        <v>0.22062283737024221</v>
      </c>
    </row>
    <row r="1465" spans="1:17" x14ac:dyDescent="0.25">
      <c r="A1465" t="s">
        <v>1537</v>
      </c>
      <c r="B1465" t="s">
        <v>35</v>
      </c>
      <c r="C1465" t="s">
        <v>81</v>
      </c>
      <c r="D1465" t="str">
        <f t="shared" si="138"/>
        <v>CO</v>
      </c>
      <c r="E1465" t="str">
        <f t="shared" si="139"/>
        <v>West</v>
      </c>
      <c r="F1465" t="s">
        <v>14</v>
      </c>
      <c r="G1465" s="1">
        <v>45074</v>
      </c>
      <c r="H1465" s="1">
        <v>45078</v>
      </c>
      <c r="I1465" s="1">
        <f t="shared" si="137"/>
        <v>45078</v>
      </c>
      <c r="J1465" s="2">
        <v>15.8</v>
      </c>
      <c r="K1465" s="2">
        <v>152.19999999999999</v>
      </c>
      <c r="L1465" t="s">
        <v>15</v>
      </c>
      <c r="M1465" s="2">
        <v>1000</v>
      </c>
      <c r="N1465" s="2">
        <v>4</v>
      </c>
      <c r="O1465" s="2">
        <f t="shared" si="140"/>
        <v>250</v>
      </c>
      <c r="P1465" s="2">
        <f t="shared" si="141"/>
        <v>1.64257555847569</v>
      </c>
      <c r="Q1465" s="3">
        <f t="shared" si="142"/>
        <v>0.1522</v>
      </c>
    </row>
    <row r="1466" spans="1:17" x14ac:dyDescent="0.25">
      <c r="A1466" t="s">
        <v>1538</v>
      </c>
      <c r="B1466" t="s">
        <v>49</v>
      </c>
      <c r="C1466" t="s">
        <v>24</v>
      </c>
      <c r="D1466" t="str">
        <f t="shared" si="138"/>
        <v>WA</v>
      </c>
      <c r="E1466" t="str">
        <f t="shared" si="139"/>
        <v>West</v>
      </c>
      <c r="F1466" t="s">
        <v>42</v>
      </c>
      <c r="G1466" s="1">
        <v>45174</v>
      </c>
      <c r="H1466" s="1">
        <v>45178</v>
      </c>
      <c r="I1466" s="1">
        <f t="shared" si="137"/>
        <v>45178</v>
      </c>
      <c r="J1466" s="2">
        <v>11.8</v>
      </c>
      <c r="K1466" s="2">
        <v>88.65</v>
      </c>
      <c r="L1466" t="s">
        <v>15</v>
      </c>
      <c r="M1466" s="2">
        <v>670</v>
      </c>
      <c r="N1466" s="2">
        <v>4</v>
      </c>
      <c r="O1466" s="2">
        <f t="shared" si="140"/>
        <v>167.5</v>
      </c>
      <c r="P1466" s="2">
        <f t="shared" si="141"/>
        <v>1.8894529046813309</v>
      </c>
      <c r="Q1466" s="3">
        <f t="shared" si="142"/>
        <v>0.13231343283582089</v>
      </c>
    </row>
    <row r="1467" spans="1:17" hidden="1" x14ac:dyDescent="0.25">
      <c r="A1467" t="s">
        <v>1539</v>
      </c>
      <c r="B1467" t="s">
        <v>49</v>
      </c>
      <c r="C1467" t="s">
        <v>46</v>
      </c>
      <c r="D1467" t="str">
        <f t="shared" si="138"/>
        <v>MA</v>
      </c>
      <c r="E1467" t="str">
        <f t="shared" si="139"/>
        <v>Northeast</v>
      </c>
      <c r="F1467" t="s">
        <v>18</v>
      </c>
      <c r="G1467" s="1">
        <v>45047</v>
      </c>
      <c r="H1467" s="1">
        <v>45053</v>
      </c>
      <c r="I1467" s="1">
        <f t="shared" si="137"/>
        <v>45053</v>
      </c>
      <c r="J1467" s="2">
        <v>11.6</v>
      </c>
      <c r="K1467" s="2">
        <v>359.48</v>
      </c>
      <c r="L1467" t="s">
        <v>15</v>
      </c>
      <c r="M1467" s="2">
        <v>2379</v>
      </c>
      <c r="N1467" s="2">
        <v>6</v>
      </c>
      <c r="O1467" s="2">
        <f t="shared" si="140"/>
        <v>396.5</v>
      </c>
      <c r="P1467" s="2">
        <f t="shared" si="141"/>
        <v>1.1029820852342271</v>
      </c>
      <c r="Q1467" s="3">
        <f t="shared" si="142"/>
        <v>0.15110550651534257</v>
      </c>
    </row>
    <row r="1468" spans="1:17" x14ac:dyDescent="0.25">
      <c r="A1468" t="s">
        <v>1540</v>
      </c>
      <c r="B1468" t="s">
        <v>23</v>
      </c>
      <c r="C1468" t="s">
        <v>13</v>
      </c>
      <c r="D1468" t="str">
        <f t="shared" si="138"/>
        <v>CA</v>
      </c>
      <c r="E1468" t="str">
        <f t="shared" si="139"/>
        <v>West</v>
      </c>
      <c r="F1468" t="s">
        <v>25</v>
      </c>
      <c r="G1468" s="1">
        <v>45196</v>
      </c>
      <c r="H1468" s="1">
        <v>45197</v>
      </c>
      <c r="I1468" s="1">
        <f t="shared" si="137"/>
        <v>45197</v>
      </c>
      <c r="J1468" s="2">
        <v>13.8</v>
      </c>
      <c r="K1468" s="2">
        <v>50.83</v>
      </c>
      <c r="L1468" t="s">
        <v>15</v>
      </c>
      <c r="M1468" s="2">
        <v>274</v>
      </c>
      <c r="N1468" s="2">
        <v>1</v>
      </c>
      <c r="O1468" s="2">
        <f t="shared" si="140"/>
        <v>274</v>
      </c>
      <c r="P1468" s="2">
        <f t="shared" si="141"/>
        <v>5.3905174109777692</v>
      </c>
      <c r="Q1468" s="3">
        <f t="shared" si="142"/>
        <v>0.1855109489051095</v>
      </c>
    </row>
    <row r="1469" spans="1:17" hidden="1" x14ac:dyDescent="0.25">
      <c r="A1469" t="s">
        <v>1541</v>
      </c>
      <c r="B1469" t="s">
        <v>27</v>
      </c>
      <c r="C1469" t="s">
        <v>46</v>
      </c>
      <c r="D1469" t="str">
        <f t="shared" si="138"/>
        <v>MA</v>
      </c>
      <c r="E1469" t="str">
        <f t="shared" si="139"/>
        <v>Northeast</v>
      </c>
      <c r="F1469" t="s">
        <v>14</v>
      </c>
      <c r="G1469" s="1">
        <v>45052</v>
      </c>
      <c r="H1469" s="1">
        <v>45056</v>
      </c>
      <c r="I1469" s="1">
        <f t="shared" si="137"/>
        <v>45056</v>
      </c>
      <c r="J1469" s="2">
        <v>33.299999999999997</v>
      </c>
      <c r="K1469" s="2">
        <v>236.83</v>
      </c>
      <c r="L1469" t="s">
        <v>67</v>
      </c>
      <c r="M1469" s="2">
        <v>1438</v>
      </c>
      <c r="N1469" s="2">
        <v>4</v>
      </c>
      <c r="O1469" s="2">
        <f t="shared" si="140"/>
        <v>359.5</v>
      </c>
      <c r="P1469" s="2">
        <f t="shared" si="141"/>
        <v>1.5179664738419962</v>
      </c>
      <c r="Q1469" s="3">
        <f t="shared" si="142"/>
        <v>0.16469401947148818</v>
      </c>
    </row>
    <row r="1470" spans="1:17" x14ac:dyDescent="0.25">
      <c r="A1470" t="s">
        <v>1542</v>
      </c>
      <c r="B1470" t="s">
        <v>56</v>
      </c>
      <c r="C1470" t="s">
        <v>24</v>
      </c>
      <c r="D1470" t="str">
        <f t="shared" si="138"/>
        <v>WA</v>
      </c>
      <c r="E1470" t="str">
        <f t="shared" si="139"/>
        <v>West</v>
      </c>
      <c r="F1470" t="s">
        <v>59</v>
      </c>
      <c r="G1470" s="1">
        <v>45160</v>
      </c>
      <c r="H1470" s="1">
        <v>45165</v>
      </c>
      <c r="I1470" s="1">
        <f t="shared" si="137"/>
        <v>45165</v>
      </c>
      <c r="J1470" s="2">
        <v>13.2</v>
      </c>
      <c r="K1470" s="2">
        <v>269.86</v>
      </c>
      <c r="L1470" t="s">
        <v>15</v>
      </c>
      <c r="M1470" s="2">
        <v>2309</v>
      </c>
      <c r="N1470" s="2">
        <v>5</v>
      </c>
      <c r="O1470" s="2">
        <f t="shared" si="140"/>
        <v>461.8</v>
      </c>
      <c r="P1470" s="2">
        <f t="shared" si="141"/>
        <v>1.7112576891721634</v>
      </c>
      <c r="Q1470" s="3">
        <f t="shared" si="142"/>
        <v>0.1168731052403638</v>
      </c>
    </row>
    <row r="1471" spans="1:17" hidden="1" x14ac:dyDescent="0.25">
      <c r="A1471" t="s">
        <v>1543</v>
      </c>
      <c r="B1471" t="s">
        <v>20</v>
      </c>
      <c r="C1471" t="s">
        <v>44</v>
      </c>
      <c r="D1471" t="str">
        <f t="shared" si="138"/>
        <v>IL</v>
      </c>
      <c r="E1471" t="str">
        <f t="shared" si="139"/>
        <v>Midwest</v>
      </c>
      <c r="F1471" t="s">
        <v>37</v>
      </c>
      <c r="G1471" s="1">
        <v>45070</v>
      </c>
      <c r="H1471" s="1">
        <v>45074</v>
      </c>
      <c r="I1471" s="1">
        <f t="shared" si="137"/>
        <v>45074</v>
      </c>
      <c r="J1471" s="2">
        <v>29.9</v>
      </c>
      <c r="K1471" s="2">
        <v>235.86</v>
      </c>
      <c r="L1471" t="s">
        <v>15</v>
      </c>
      <c r="M1471" s="2">
        <v>1581</v>
      </c>
      <c r="N1471" s="2">
        <v>4</v>
      </c>
      <c r="O1471" s="2">
        <f t="shared" si="140"/>
        <v>395.25</v>
      </c>
      <c r="P1471" s="2">
        <f t="shared" si="141"/>
        <v>1.6757822437038921</v>
      </c>
      <c r="Q1471" s="3">
        <f t="shared" si="142"/>
        <v>0.14918406072106263</v>
      </c>
    </row>
    <row r="1472" spans="1:17" hidden="1" x14ac:dyDescent="0.25">
      <c r="A1472" t="s">
        <v>1544</v>
      </c>
      <c r="B1472" t="s">
        <v>51</v>
      </c>
      <c r="C1472" t="s">
        <v>31</v>
      </c>
      <c r="D1472" t="str">
        <f t="shared" si="138"/>
        <v>NY</v>
      </c>
      <c r="E1472" t="str">
        <f t="shared" si="139"/>
        <v>Northeast</v>
      </c>
      <c r="F1472" t="s">
        <v>42</v>
      </c>
      <c r="G1472" s="1">
        <v>45015</v>
      </c>
      <c r="H1472" s="1">
        <v>45018</v>
      </c>
      <c r="I1472" s="1">
        <f t="shared" si="137"/>
        <v>45018</v>
      </c>
      <c r="J1472" s="2">
        <v>16.100000000000001</v>
      </c>
      <c r="K1472" s="2">
        <v>127.74</v>
      </c>
      <c r="L1472" t="s">
        <v>15</v>
      </c>
      <c r="M1472" s="2">
        <v>932</v>
      </c>
      <c r="N1472" s="2">
        <v>3</v>
      </c>
      <c r="O1472" s="2">
        <f t="shared" si="140"/>
        <v>310.66666666666669</v>
      </c>
      <c r="P1472" s="2">
        <f t="shared" si="141"/>
        <v>2.4320233808256355</v>
      </c>
      <c r="Q1472" s="3">
        <f t="shared" si="142"/>
        <v>0.13706008583690987</v>
      </c>
    </row>
    <row r="1473" spans="1:17" hidden="1" x14ac:dyDescent="0.25">
      <c r="A1473" t="s">
        <v>1546</v>
      </c>
      <c r="B1473" t="s">
        <v>39</v>
      </c>
      <c r="C1473" t="s">
        <v>46</v>
      </c>
      <c r="D1473" t="str">
        <f t="shared" si="138"/>
        <v>MA</v>
      </c>
      <c r="E1473" t="str">
        <f t="shared" si="139"/>
        <v>Northeast</v>
      </c>
      <c r="F1473" t="s">
        <v>14</v>
      </c>
      <c r="G1473" s="1">
        <v>45107</v>
      </c>
      <c r="H1473" s="1">
        <v>45111</v>
      </c>
      <c r="I1473" s="1">
        <f t="shared" si="137"/>
        <v>45111</v>
      </c>
      <c r="J1473" s="2">
        <v>19.399999999999999</v>
      </c>
      <c r="K1473" s="2">
        <v>116.18</v>
      </c>
      <c r="L1473" t="s">
        <v>62</v>
      </c>
      <c r="M1473" s="2">
        <v>812</v>
      </c>
      <c r="N1473" s="2">
        <v>4</v>
      </c>
      <c r="O1473" s="2">
        <f t="shared" si="140"/>
        <v>203</v>
      </c>
      <c r="P1473" s="2">
        <f t="shared" si="141"/>
        <v>1.7472886899638491</v>
      </c>
      <c r="Q1473" s="3">
        <f t="shared" si="142"/>
        <v>0.14307881773399014</v>
      </c>
    </row>
    <row r="1474" spans="1:17" hidden="1" x14ac:dyDescent="0.25">
      <c r="A1474" t="s">
        <v>1547</v>
      </c>
      <c r="B1474" t="s">
        <v>39</v>
      </c>
      <c r="C1474" t="s">
        <v>52</v>
      </c>
      <c r="D1474" t="str">
        <f t="shared" si="138"/>
        <v>AZ</v>
      </c>
      <c r="E1474" t="str">
        <f t="shared" si="139"/>
        <v>Southwest</v>
      </c>
      <c r="F1474" t="s">
        <v>14</v>
      </c>
      <c r="G1474" s="1">
        <v>45032</v>
      </c>
      <c r="H1474" s="1">
        <v>45035</v>
      </c>
      <c r="I1474" s="1">
        <f t="shared" ref="I1474:I1537" si="143">IF(H1474="", G1474 + N1474, H1474)</f>
        <v>45035</v>
      </c>
      <c r="J1474" s="2">
        <v>37.700000000000003</v>
      </c>
      <c r="K1474" s="2">
        <v>164.72</v>
      </c>
      <c r="L1474" t="s">
        <v>62</v>
      </c>
      <c r="M1474" s="2">
        <v>925</v>
      </c>
      <c r="N1474" s="2">
        <v>3</v>
      </c>
      <c r="O1474" s="2">
        <f t="shared" si="140"/>
        <v>308.33333333333331</v>
      </c>
      <c r="P1474" s="2">
        <f t="shared" si="141"/>
        <v>1.8718633640926015</v>
      </c>
      <c r="Q1474" s="3">
        <f t="shared" si="142"/>
        <v>0.17807567567567567</v>
      </c>
    </row>
    <row r="1475" spans="1:17" x14ac:dyDescent="0.25">
      <c r="A1475" t="s">
        <v>1548</v>
      </c>
      <c r="B1475" t="s">
        <v>23</v>
      </c>
      <c r="C1475" t="s">
        <v>36</v>
      </c>
      <c r="D1475" t="str">
        <f t="shared" si="138"/>
        <v>OR</v>
      </c>
      <c r="E1475" t="str">
        <f t="shared" si="139"/>
        <v>West</v>
      </c>
      <c r="F1475" t="s">
        <v>37</v>
      </c>
      <c r="G1475" s="1">
        <v>45181</v>
      </c>
      <c r="H1475" s="1">
        <v>45196</v>
      </c>
      <c r="I1475" s="1">
        <f t="shared" si="143"/>
        <v>45196</v>
      </c>
      <c r="J1475" s="2">
        <v>16</v>
      </c>
      <c r="K1475" s="2">
        <v>110.54</v>
      </c>
      <c r="L1475" t="s">
        <v>47</v>
      </c>
      <c r="M1475" s="2">
        <v>770</v>
      </c>
      <c r="N1475" s="2">
        <v>6</v>
      </c>
      <c r="O1475" s="2">
        <f t="shared" si="140"/>
        <v>128.33333333333334</v>
      </c>
      <c r="P1475" s="2">
        <f t="shared" si="141"/>
        <v>1.1609673722935892</v>
      </c>
      <c r="Q1475" s="3">
        <f t="shared" si="142"/>
        <v>0.14355844155844158</v>
      </c>
    </row>
    <row r="1476" spans="1:17" hidden="1" x14ac:dyDescent="0.25">
      <c r="A1476" t="s">
        <v>1549</v>
      </c>
      <c r="B1476" t="s">
        <v>23</v>
      </c>
      <c r="C1476" t="s">
        <v>17</v>
      </c>
      <c r="D1476" t="str">
        <f t="shared" si="138"/>
        <v>GA</v>
      </c>
      <c r="E1476" t="str">
        <f t="shared" si="139"/>
        <v>Southeast</v>
      </c>
      <c r="F1476" t="s">
        <v>14</v>
      </c>
      <c r="G1476" s="1">
        <v>44991</v>
      </c>
      <c r="H1476" s="1">
        <v>44996</v>
      </c>
      <c r="I1476" s="1">
        <f t="shared" si="143"/>
        <v>44996</v>
      </c>
      <c r="J1476" s="2">
        <v>26.2</v>
      </c>
      <c r="K1476" s="2">
        <v>212.17</v>
      </c>
      <c r="L1476" t="s">
        <v>15</v>
      </c>
      <c r="M1476" s="2">
        <v>1541</v>
      </c>
      <c r="N1476" s="2">
        <v>5</v>
      </c>
      <c r="O1476" s="2">
        <f t="shared" si="140"/>
        <v>308.2</v>
      </c>
      <c r="P1476" s="2">
        <f t="shared" si="141"/>
        <v>1.4526087571287176</v>
      </c>
      <c r="Q1476" s="3">
        <f t="shared" si="142"/>
        <v>0.13768332251784554</v>
      </c>
    </row>
    <row r="1477" spans="1:17" hidden="1" x14ac:dyDescent="0.25">
      <c r="A1477" t="s">
        <v>1550</v>
      </c>
      <c r="B1477" t="s">
        <v>12</v>
      </c>
      <c r="C1477" t="s">
        <v>44</v>
      </c>
      <c r="D1477" t="str">
        <f t="shared" si="138"/>
        <v>IL</v>
      </c>
      <c r="E1477" t="str">
        <f t="shared" si="139"/>
        <v>Midwest</v>
      </c>
      <c r="F1477" t="s">
        <v>32</v>
      </c>
      <c r="G1477" s="1">
        <v>45128</v>
      </c>
      <c r="H1477" s="1">
        <v>45131</v>
      </c>
      <c r="I1477" s="1">
        <f t="shared" si="143"/>
        <v>45131</v>
      </c>
      <c r="J1477" s="2">
        <v>18.399999999999999</v>
      </c>
      <c r="K1477" s="2">
        <v>149.34</v>
      </c>
      <c r="L1477" t="s">
        <v>15</v>
      </c>
      <c r="M1477" s="2">
        <v>974</v>
      </c>
      <c r="N1477" s="2">
        <v>3</v>
      </c>
      <c r="O1477" s="2">
        <f t="shared" si="140"/>
        <v>324.66666666666669</v>
      </c>
      <c r="P1477" s="2">
        <f t="shared" si="141"/>
        <v>2.17401008883532</v>
      </c>
      <c r="Q1477" s="3">
        <f t="shared" si="142"/>
        <v>0.1533264887063655</v>
      </c>
    </row>
    <row r="1478" spans="1:17" x14ac:dyDescent="0.25">
      <c r="A1478" t="s">
        <v>1551</v>
      </c>
      <c r="B1478" t="s">
        <v>35</v>
      </c>
      <c r="C1478" t="s">
        <v>81</v>
      </c>
      <c r="D1478" t="str">
        <f t="shared" si="138"/>
        <v>CO</v>
      </c>
      <c r="E1478" t="str">
        <f t="shared" si="139"/>
        <v>West</v>
      </c>
      <c r="F1478" t="s">
        <v>32</v>
      </c>
      <c r="G1478" s="1">
        <v>45156</v>
      </c>
      <c r="H1478" s="1">
        <v>45158</v>
      </c>
      <c r="I1478" s="1">
        <f t="shared" si="143"/>
        <v>45158</v>
      </c>
      <c r="J1478" s="2">
        <v>22.3</v>
      </c>
      <c r="K1478" s="2">
        <v>151.26</v>
      </c>
      <c r="L1478" t="s">
        <v>15</v>
      </c>
      <c r="M1478" s="2">
        <v>1000</v>
      </c>
      <c r="N1478" s="2">
        <v>2</v>
      </c>
      <c r="O1478" s="2">
        <f t="shared" si="140"/>
        <v>500</v>
      </c>
      <c r="P1478" s="2">
        <f t="shared" si="141"/>
        <v>3.3055665741108027</v>
      </c>
      <c r="Q1478" s="3">
        <f t="shared" si="142"/>
        <v>0.15125999999999998</v>
      </c>
    </row>
    <row r="1479" spans="1:17" hidden="1" x14ac:dyDescent="0.25">
      <c r="A1479" t="s">
        <v>1552</v>
      </c>
      <c r="B1479" t="s">
        <v>51</v>
      </c>
      <c r="C1479" t="s">
        <v>54</v>
      </c>
      <c r="D1479" t="str">
        <f t="shared" si="138"/>
        <v>FL</v>
      </c>
      <c r="E1479" t="str">
        <f t="shared" si="139"/>
        <v>Southeast</v>
      </c>
      <c r="F1479" t="s">
        <v>37</v>
      </c>
      <c r="G1479" s="1">
        <v>45194</v>
      </c>
      <c r="H1479" s="1">
        <v>45195</v>
      </c>
      <c r="I1479" s="1">
        <f t="shared" si="143"/>
        <v>45195</v>
      </c>
      <c r="J1479" s="2">
        <v>21.1</v>
      </c>
      <c r="K1479" s="2">
        <v>49.13</v>
      </c>
      <c r="L1479" t="s">
        <v>15</v>
      </c>
      <c r="M1479" s="2">
        <v>190</v>
      </c>
      <c r="N1479" s="2">
        <v>1</v>
      </c>
      <c r="O1479" s="2">
        <f t="shared" si="140"/>
        <v>190</v>
      </c>
      <c r="P1479" s="2">
        <f t="shared" si="141"/>
        <v>3.8672908609810706</v>
      </c>
      <c r="Q1479" s="3">
        <f t="shared" si="142"/>
        <v>0.25857894736842107</v>
      </c>
    </row>
    <row r="1480" spans="1:17" hidden="1" x14ac:dyDescent="0.25">
      <c r="A1480" t="s">
        <v>1553</v>
      </c>
      <c r="B1480" t="s">
        <v>30</v>
      </c>
      <c r="C1480" t="s">
        <v>57</v>
      </c>
      <c r="D1480" t="str">
        <f t="shared" si="138"/>
        <v>MN</v>
      </c>
      <c r="E1480" t="str">
        <f t="shared" si="139"/>
        <v>Midwest</v>
      </c>
      <c r="F1480" t="s">
        <v>25</v>
      </c>
      <c r="G1480" s="1">
        <v>45107</v>
      </c>
      <c r="H1480" s="1">
        <v>45118</v>
      </c>
      <c r="I1480" s="1">
        <f t="shared" si="143"/>
        <v>45118</v>
      </c>
      <c r="J1480" s="2">
        <v>7.7</v>
      </c>
      <c r="K1480" s="2">
        <v>157.65</v>
      </c>
      <c r="L1480" t="s">
        <v>47</v>
      </c>
      <c r="M1480" s="2">
        <v>1140</v>
      </c>
      <c r="N1480" s="2">
        <v>3</v>
      </c>
      <c r="O1480" s="2">
        <f t="shared" si="140"/>
        <v>380</v>
      </c>
      <c r="P1480" s="2">
        <f t="shared" si="141"/>
        <v>2.4104027909927055</v>
      </c>
      <c r="Q1480" s="3">
        <f t="shared" si="142"/>
        <v>0.13828947368421052</v>
      </c>
    </row>
    <row r="1481" spans="1:17" hidden="1" x14ac:dyDescent="0.25">
      <c r="A1481" t="s">
        <v>1554</v>
      </c>
      <c r="B1481" t="s">
        <v>27</v>
      </c>
      <c r="C1481" t="s">
        <v>54</v>
      </c>
      <c r="D1481" t="str">
        <f t="shared" si="138"/>
        <v>FL</v>
      </c>
      <c r="E1481" t="str">
        <f t="shared" si="139"/>
        <v>Southeast</v>
      </c>
      <c r="F1481" t="s">
        <v>42</v>
      </c>
      <c r="G1481" s="1">
        <v>45013</v>
      </c>
      <c r="H1481" s="1">
        <v>45019</v>
      </c>
      <c r="I1481" s="1">
        <f t="shared" si="143"/>
        <v>45019</v>
      </c>
      <c r="J1481" s="2">
        <v>23.1</v>
      </c>
      <c r="K1481" s="2">
        <v>232.72</v>
      </c>
      <c r="L1481" t="s">
        <v>47</v>
      </c>
      <c r="M1481" s="2">
        <v>1646</v>
      </c>
      <c r="N1481" s="2">
        <v>5</v>
      </c>
      <c r="O1481" s="2">
        <f t="shared" si="140"/>
        <v>329.2</v>
      </c>
      <c r="P1481" s="2">
        <f t="shared" si="141"/>
        <v>1.4145754554829839</v>
      </c>
      <c r="Q1481" s="3">
        <f t="shared" si="142"/>
        <v>0.14138517618469015</v>
      </c>
    </row>
    <row r="1482" spans="1:17" hidden="1" x14ac:dyDescent="0.25">
      <c r="A1482" t="s">
        <v>1555</v>
      </c>
      <c r="B1482" t="s">
        <v>49</v>
      </c>
      <c r="C1482" t="s">
        <v>54</v>
      </c>
      <c r="D1482" t="str">
        <f t="shared" si="138"/>
        <v>FL</v>
      </c>
      <c r="E1482" t="str">
        <f t="shared" si="139"/>
        <v>Southeast</v>
      </c>
      <c r="F1482" t="s">
        <v>32</v>
      </c>
      <c r="G1482" s="1">
        <v>45209</v>
      </c>
      <c r="H1482" s="1">
        <v>45216</v>
      </c>
      <c r="I1482" s="1">
        <f t="shared" si="143"/>
        <v>45216</v>
      </c>
      <c r="J1482" s="2">
        <v>15.5</v>
      </c>
      <c r="K1482" s="2">
        <v>303.18</v>
      </c>
      <c r="L1482" t="s">
        <v>15</v>
      </c>
      <c r="M1482" s="2">
        <v>2200</v>
      </c>
      <c r="N1482" s="2">
        <v>7</v>
      </c>
      <c r="O1482" s="2">
        <f t="shared" si="140"/>
        <v>314.28571428571428</v>
      </c>
      <c r="P1482" s="2">
        <f t="shared" si="141"/>
        <v>1.036630761546653</v>
      </c>
      <c r="Q1482" s="3">
        <f t="shared" si="142"/>
        <v>0.13780909090909091</v>
      </c>
    </row>
    <row r="1483" spans="1:17" hidden="1" x14ac:dyDescent="0.25">
      <c r="A1483" t="s">
        <v>1556</v>
      </c>
      <c r="B1483" t="s">
        <v>56</v>
      </c>
      <c r="C1483" t="s">
        <v>52</v>
      </c>
      <c r="D1483" t="str">
        <f t="shared" si="138"/>
        <v>AZ</v>
      </c>
      <c r="E1483" t="str">
        <f t="shared" si="139"/>
        <v>Southwest</v>
      </c>
      <c r="F1483" t="s">
        <v>25</v>
      </c>
      <c r="G1483" s="1">
        <v>45288</v>
      </c>
      <c r="H1483" s="1">
        <v>45293</v>
      </c>
      <c r="I1483" s="1">
        <f t="shared" si="143"/>
        <v>45293</v>
      </c>
      <c r="J1483" s="2">
        <v>6.8</v>
      </c>
      <c r="K1483" s="2">
        <v>343.72</v>
      </c>
      <c r="L1483" t="s">
        <v>15</v>
      </c>
      <c r="M1483" s="2">
        <v>2246</v>
      </c>
      <c r="N1483" s="2">
        <v>5</v>
      </c>
      <c r="O1483" s="2">
        <f t="shared" si="140"/>
        <v>449.2</v>
      </c>
      <c r="P1483" s="2">
        <f t="shared" si="141"/>
        <v>1.3068776911439541</v>
      </c>
      <c r="Q1483" s="3">
        <f t="shared" si="142"/>
        <v>0.1530365093499555</v>
      </c>
    </row>
    <row r="1484" spans="1:17" hidden="1" x14ac:dyDescent="0.25">
      <c r="A1484" t="s">
        <v>1557</v>
      </c>
      <c r="B1484" t="s">
        <v>39</v>
      </c>
      <c r="C1484" t="s">
        <v>46</v>
      </c>
      <c r="D1484" t="str">
        <f t="shared" si="138"/>
        <v>MA</v>
      </c>
      <c r="E1484" t="str">
        <f t="shared" si="139"/>
        <v>Northeast</v>
      </c>
      <c r="F1484" t="s">
        <v>14</v>
      </c>
      <c r="G1484" s="1">
        <v>45222</v>
      </c>
      <c r="H1484" s="1">
        <v>45223</v>
      </c>
      <c r="I1484" s="1">
        <f t="shared" si="143"/>
        <v>45223</v>
      </c>
      <c r="J1484" s="2">
        <v>40.9</v>
      </c>
      <c r="K1484" s="2">
        <v>86.69</v>
      </c>
      <c r="L1484" t="s">
        <v>15</v>
      </c>
      <c r="M1484" s="2">
        <v>295</v>
      </c>
      <c r="N1484" s="2">
        <v>1</v>
      </c>
      <c r="O1484" s="2">
        <f t="shared" si="140"/>
        <v>295</v>
      </c>
      <c r="P1484" s="2">
        <f t="shared" si="141"/>
        <v>3.4029299803898949</v>
      </c>
      <c r="Q1484" s="3">
        <f t="shared" si="142"/>
        <v>0.29386440677966102</v>
      </c>
    </row>
    <row r="1485" spans="1:17" hidden="1" x14ac:dyDescent="0.25">
      <c r="A1485" t="s">
        <v>1558</v>
      </c>
      <c r="B1485" t="s">
        <v>30</v>
      </c>
      <c r="C1485" t="s">
        <v>44</v>
      </c>
      <c r="D1485" t="str">
        <f t="shared" si="138"/>
        <v>IL</v>
      </c>
      <c r="E1485" t="str">
        <f t="shared" si="139"/>
        <v>Midwest</v>
      </c>
      <c r="F1485" t="s">
        <v>42</v>
      </c>
      <c r="G1485" s="1">
        <v>45027</v>
      </c>
      <c r="H1485" s="1">
        <v>45034</v>
      </c>
      <c r="I1485" s="1">
        <f t="shared" si="143"/>
        <v>45034</v>
      </c>
      <c r="J1485" s="2">
        <v>13.9</v>
      </c>
      <c r="K1485" s="2">
        <v>302.88</v>
      </c>
      <c r="L1485" t="s">
        <v>62</v>
      </c>
      <c r="M1485" s="2">
        <v>2212</v>
      </c>
      <c r="N1485" s="2">
        <v>7</v>
      </c>
      <c r="O1485" s="2">
        <f t="shared" si="140"/>
        <v>316</v>
      </c>
      <c r="P1485" s="2">
        <f t="shared" si="141"/>
        <v>1.0433174854727945</v>
      </c>
      <c r="Q1485" s="3">
        <f t="shared" si="142"/>
        <v>0.1369258589511754</v>
      </c>
    </row>
    <row r="1486" spans="1:17" hidden="1" x14ac:dyDescent="0.25">
      <c r="A1486" t="s">
        <v>1559</v>
      </c>
      <c r="B1486" t="s">
        <v>20</v>
      </c>
      <c r="C1486" t="s">
        <v>31</v>
      </c>
      <c r="D1486" t="str">
        <f t="shared" si="138"/>
        <v>NY</v>
      </c>
      <c r="E1486" t="str">
        <f t="shared" si="139"/>
        <v>Northeast</v>
      </c>
      <c r="F1486" t="s">
        <v>14</v>
      </c>
      <c r="G1486" s="1">
        <v>45074</v>
      </c>
      <c r="H1486" s="1">
        <v>45076</v>
      </c>
      <c r="I1486" s="1">
        <f t="shared" si="143"/>
        <v>45076</v>
      </c>
      <c r="J1486" s="2">
        <v>29.3</v>
      </c>
      <c r="K1486" s="2">
        <v>95.51</v>
      </c>
      <c r="L1486" t="s">
        <v>15</v>
      </c>
      <c r="M1486" s="2">
        <v>458</v>
      </c>
      <c r="N1486" s="2">
        <v>2</v>
      </c>
      <c r="O1486" s="2">
        <f t="shared" si="140"/>
        <v>229</v>
      </c>
      <c r="P1486" s="2">
        <f t="shared" si="141"/>
        <v>2.3976546958433671</v>
      </c>
      <c r="Q1486" s="3">
        <f t="shared" si="142"/>
        <v>0.20853711790393015</v>
      </c>
    </row>
    <row r="1487" spans="1:17" hidden="1" x14ac:dyDescent="0.25">
      <c r="A1487" t="s">
        <v>1560</v>
      </c>
      <c r="B1487" t="s">
        <v>30</v>
      </c>
      <c r="C1487" t="s">
        <v>40</v>
      </c>
      <c r="D1487" t="str">
        <f t="shared" si="138"/>
        <v>MI</v>
      </c>
      <c r="E1487" t="str">
        <f t="shared" si="139"/>
        <v>Midwest</v>
      </c>
      <c r="F1487" t="s">
        <v>42</v>
      </c>
      <c r="G1487" s="1">
        <v>45157</v>
      </c>
      <c r="H1487" s="1">
        <v>45167</v>
      </c>
      <c r="I1487" s="1">
        <f t="shared" si="143"/>
        <v>45167</v>
      </c>
      <c r="J1487" s="2">
        <v>23.9</v>
      </c>
      <c r="K1487" s="2">
        <v>321.25</v>
      </c>
      <c r="L1487" t="s">
        <v>47</v>
      </c>
      <c r="M1487" s="2">
        <v>2386</v>
      </c>
      <c r="N1487" s="2">
        <v>5</v>
      </c>
      <c r="O1487" s="2">
        <f t="shared" si="140"/>
        <v>477.2</v>
      </c>
      <c r="P1487" s="2">
        <f t="shared" si="141"/>
        <v>1.4854474708171206</v>
      </c>
      <c r="Q1487" s="3">
        <f t="shared" si="142"/>
        <v>0.134639564124057</v>
      </c>
    </row>
    <row r="1488" spans="1:17" hidden="1" x14ac:dyDescent="0.25">
      <c r="A1488" t="s">
        <v>1561</v>
      </c>
      <c r="B1488" t="s">
        <v>23</v>
      </c>
      <c r="C1488" t="s">
        <v>54</v>
      </c>
      <c r="D1488" t="str">
        <f t="shared" si="138"/>
        <v>FL</v>
      </c>
      <c r="E1488" t="str">
        <f t="shared" si="139"/>
        <v>Southeast</v>
      </c>
      <c r="F1488" t="s">
        <v>37</v>
      </c>
      <c r="G1488" s="1">
        <v>44976</v>
      </c>
      <c r="H1488" s="1">
        <v>44980</v>
      </c>
      <c r="I1488" s="1">
        <f t="shared" si="143"/>
        <v>44980</v>
      </c>
      <c r="J1488" s="2">
        <v>48.5</v>
      </c>
      <c r="K1488" s="2">
        <v>220.96</v>
      </c>
      <c r="L1488" t="s">
        <v>15</v>
      </c>
      <c r="M1488" s="2">
        <v>1396</v>
      </c>
      <c r="N1488" s="2">
        <v>4</v>
      </c>
      <c r="O1488" s="2">
        <f t="shared" si="140"/>
        <v>349</v>
      </c>
      <c r="P1488" s="2">
        <f t="shared" si="141"/>
        <v>1.5794713975380159</v>
      </c>
      <c r="Q1488" s="3">
        <f t="shared" si="142"/>
        <v>0.15828080229226363</v>
      </c>
    </row>
    <row r="1489" spans="1:17" hidden="1" x14ac:dyDescent="0.25">
      <c r="A1489" t="s">
        <v>1562</v>
      </c>
      <c r="B1489" t="s">
        <v>35</v>
      </c>
      <c r="C1489" t="s">
        <v>52</v>
      </c>
      <c r="D1489" t="str">
        <f t="shared" si="138"/>
        <v>AZ</v>
      </c>
      <c r="E1489" t="str">
        <f t="shared" si="139"/>
        <v>Southwest</v>
      </c>
      <c r="F1489" t="s">
        <v>25</v>
      </c>
      <c r="G1489" s="1">
        <v>45275</v>
      </c>
      <c r="H1489" s="1">
        <v>45280</v>
      </c>
      <c r="I1489" s="1">
        <f t="shared" si="143"/>
        <v>45280</v>
      </c>
      <c r="J1489" s="2">
        <v>39.700000000000003</v>
      </c>
      <c r="K1489" s="2">
        <v>186.77</v>
      </c>
      <c r="L1489" t="s">
        <v>15</v>
      </c>
      <c r="M1489" s="2">
        <v>890</v>
      </c>
      <c r="N1489" s="2">
        <v>5</v>
      </c>
      <c r="O1489" s="2">
        <f t="shared" si="140"/>
        <v>178</v>
      </c>
      <c r="P1489" s="2">
        <f t="shared" si="141"/>
        <v>0.95304385072549125</v>
      </c>
      <c r="Q1489" s="3">
        <f t="shared" si="142"/>
        <v>0.20985393258426968</v>
      </c>
    </row>
    <row r="1490" spans="1:17" hidden="1" x14ac:dyDescent="0.25">
      <c r="A1490" t="s">
        <v>1563</v>
      </c>
      <c r="B1490" t="s">
        <v>39</v>
      </c>
      <c r="C1490" t="s">
        <v>31</v>
      </c>
      <c r="D1490" t="str">
        <f t="shared" si="138"/>
        <v>NY</v>
      </c>
      <c r="E1490" t="str">
        <f t="shared" si="139"/>
        <v>Northeast</v>
      </c>
      <c r="F1490" t="s">
        <v>37</v>
      </c>
      <c r="G1490" s="1">
        <v>45044</v>
      </c>
      <c r="H1490" s="1">
        <v>45050</v>
      </c>
      <c r="I1490" s="1">
        <f t="shared" si="143"/>
        <v>45050</v>
      </c>
      <c r="J1490" s="2">
        <v>27.7</v>
      </c>
      <c r="K1490" s="2">
        <v>131.18</v>
      </c>
      <c r="L1490" t="s">
        <v>47</v>
      </c>
      <c r="M1490" s="2">
        <v>916</v>
      </c>
      <c r="N1490" s="2">
        <v>3</v>
      </c>
      <c r="O1490" s="2">
        <f t="shared" si="140"/>
        <v>305.33333333333331</v>
      </c>
      <c r="P1490" s="2">
        <f t="shared" si="141"/>
        <v>2.3275905879961374</v>
      </c>
      <c r="Q1490" s="3">
        <f t="shared" si="142"/>
        <v>0.14320960698689958</v>
      </c>
    </row>
    <row r="1491" spans="1:17" hidden="1" x14ac:dyDescent="0.25">
      <c r="A1491" t="s">
        <v>1564</v>
      </c>
      <c r="B1491" t="s">
        <v>27</v>
      </c>
      <c r="C1491" t="s">
        <v>44</v>
      </c>
      <c r="D1491" t="str">
        <f t="shared" si="138"/>
        <v>IL</v>
      </c>
      <c r="E1491" t="str">
        <f t="shared" si="139"/>
        <v>Midwest</v>
      </c>
      <c r="F1491" t="s">
        <v>42</v>
      </c>
      <c r="G1491" s="1">
        <v>45132</v>
      </c>
      <c r="H1491" s="1">
        <v>45134</v>
      </c>
      <c r="I1491" s="1">
        <f t="shared" si="143"/>
        <v>45134</v>
      </c>
      <c r="J1491" s="2">
        <v>18.8</v>
      </c>
      <c r="K1491" s="2">
        <v>80.05</v>
      </c>
      <c r="L1491" t="s">
        <v>15</v>
      </c>
      <c r="M1491" s="2">
        <v>496</v>
      </c>
      <c r="N1491" s="2">
        <v>2</v>
      </c>
      <c r="O1491" s="2">
        <f t="shared" si="140"/>
        <v>248</v>
      </c>
      <c r="P1491" s="2">
        <f t="shared" si="141"/>
        <v>3.0980637101811368</v>
      </c>
      <c r="Q1491" s="3">
        <f t="shared" si="142"/>
        <v>0.16139112903225805</v>
      </c>
    </row>
    <row r="1492" spans="1:17" x14ac:dyDescent="0.25">
      <c r="A1492" t="s">
        <v>1565</v>
      </c>
      <c r="B1492" t="s">
        <v>51</v>
      </c>
      <c r="C1492" t="s">
        <v>13</v>
      </c>
      <c r="D1492" t="str">
        <f t="shared" si="138"/>
        <v>CA</v>
      </c>
      <c r="E1492" t="str">
        <f t="shared" si="139"/>
        <v>West</v>
      </c>
      <c r="F1492" t="s">
        <v>59</v>
      </c>
      <c r="G1492" s="1">
        <v>45187</v>
      </c>
      <c r="H1492" s="1">
        <v>45196</v>
      </c>
      <c r="I1492" s="1">
        <f t="shared" si="143"/>
        <v>45196</v>
      </c>
      <c r="J1492" s="2">
        <v>9.6999999999999993</v>
      </c>
      <c r="K1492" s="2">
        <v>284.70999999999998</v>
      </c>
      <c r="L1492" t="s">
        <v>15</v>
      </c>
      <c r="M1492" s="2">
        <v>2488</v>
      </c>
      <c r="N1492" s="2">
        <v>9</v>
      </c>
      <c r="O1492" s="2">
        <f t="shared" si="140"/>
        <v>276.44444444444446</v>
      </c>
      <c r="P1492" s="2">
        <f t="shared" si="141"/>
        <v>0.97096850986774075</v>
      </c>
      <c r="Q1492" s="3">
        <f t="shared" si="142"/>
        <v>0.11443327974276526</v>
      </c>
    </row>
    <row r="1493" spans="1:17" hidden="1" x14ac:dyDescent="0.25">
      <c r="A1493" t="s">
        <v>1566</v>
      </c>
      <c r="B1493" t="s">
        <v>23</v>
      </c>
      <c r="C1493" t="s">
        <v>28</v>
      </c>
      <c r="D1493" t="str">
        <f t="shared" si="138"/>
        <v>TX</v>
      </c>
      <c r="E1493" t="str">
        <f t="shared" si="139"/>
        <v>Southwest</v>
      </c>
      <c r="F1493" t="s">
        <v>18</v>
      </c>
      <c r="G1493" s="1">
        <v>45093</v>
      </c>
      <c r="H1493" s="1">
        <v>45097</v>
      </c>
      <c r="I1493" s="1">
        <f t="shared" si="143"/>
        <v>45097</v>
      </c>
      <c r="J1493" s="2">
        <v>34.9</v>
      </c>
      <c r="K1493" s="2">
        <v>261.45</v>
      </c>
      <c r="L1493" t="s">
        <v>15</v>
      </c>
      <c r="M1493" s="2">
        <v>1507</v>
      </c>
      <c r="N1493" s="2">
        <v>4</v>
      </c>
      <c r="O1493" s="2">
        <f t="shared" si="140"/>
        <v>376.75</v>
      </c>
      <c r="P1493" s="2">
        <f t="shared" si="141"/>
        <v>1.4410021036527061</v>
      </c>
      <c r="Q1493" s="3">
        <f t="shared" si="142"/>
        <v>0.17349037823490376</v>
      </c>
    </row>
    <row r="1494" spans="1:17" hidden="1" x14ac:dyDescent="0.25">
      <c r="A1494" t="s">
        <v>1568</v>
      </c>
      <c r="B1494" t="s">
        <v>39</v>
      </c>
      <c r="C1494" t="s">
        <v>28</v>
      </c>
      <c r="D1494" t="str">
        <f t="shared" si="138"/>
        <v>TX</v>
      </c>
      <c r="E1494" t="str">
        <f t="shared" si="139"/>
        <v>Southwest</v>
      </c>
      <c r="F1494" t="s">
        <v>37</v>
      </c>
      <c r="G1494" s="1">
        <v>45077</v>
      </c>
      <c r="H1494" s="1">
        <v>45079</v>
      </c>
      <c r="I1494" s="1">
        <f t="shared" si="143"/>
        <v>45079</v>
      </c>
      <c r="J1494" s="2">
        <v>28.2</v>
      </c>
      <c r="K1494" s="2">
        <v>103.67</v>
      </c>
      <c r="L1494" t="s">
        <v>15</v>
      </c>
      <c r="M1494" s="2">
        <v>599</v>
      </c>
      <c r="N1494" s="2">
        <v>2</v>
      </c>
      <c r="O1494" s="2">
        <f t="shared" si="140"/>
        <v>299.5</v>
      </c>
      <c r="P1494" s="2">
        <f t="shared" si="141"/>
        <v>2.8889746310408024</v>
      </c>
      <c r="Q1494" s="3">
        <f t="shared" si="142"/>
        <v>0.17307178631051753</v>
      </c>
    </row>
    <row r="1495" spans="1:17" x14ac:dyDescent="0.25">
      <c r="A1495" t="s">
        <v>1569</v>
      </c>
      <c r="B1495" t="s">
        <v>56</v>
      </c>
      <c r="C1495" t="s">
        <v>81</v>
      </c>
      <c r="D1495" t="str">
        <f t="shared" si="138"/>
        <v>CO</v>
      </c>
      <c r="E1495" t="str">
        <f t="shared" si="139"/>
        <v>West</v>
      </c>
      <c r="F1495" t="s">
        <v>18</v>
      </c>
      <c r="G1495" s="1">
        <v>45147</v>
      </c>
      <c r="H1495" s="1">
        <v>45148</v>
      </c>
      <c r="I1495" s="1">
        <f t="shared" si="143"/>
        <v>45148</v>
      </c>
      <c r="J1495" s="2">
        <v>11.4</v>
      </c>
      <c r="K1495" s="2">
        <v>44.4</v>
      </c>
      <c r="L1495" t="s">
        <v>15</v>
      </c>
      <c r="M1495" s="2">
        <v>234</v>
      </c>
      <c r="N1495" s="2">
        <v>1</v>
      </c>
      <c r="O1495" s="2">
        <f t="shared" si="140"/>
        <v>234</v>
      </c>
      <c r="P1495" s="2">
        <f t="shared" si="141"/>
        <v>5.2702702702702702</v>
      </c>
      <c r="Q1495" s="3">
        <f t="shared" si="142"/>
        <v>0.18974358974358974</v>
      </c>
    </row>
    <row r="1496" spans="1:17" x14ac:dyDescent="0.25">
      <c r="A1496" t="s">
        <v>1570</v>
      </c>
      <c r="B1496" t="s">
        <v>27</v>
      </c>
      <c r="C1496" t="s">
        <v>13</v>
      </c>
      <c r="D1496" t="str">
        <f t="shared" si="138"/>
        <v>CA</v>
      </c>
      <c r="E1496" t="str">
        <f t="shared" si="139"/>
        <v>West</v>
      </c>
      <c r="F1496" t="s">
        <v>18</v>
      </c>
      <c r="G1496" s="1">
        <v>45077</v>
      </c>
      <c r="H1496" s="1">
        <v>45085</v>
      </c>
      <c r="I1496" s="1">
        <f t="shared" si="143"/>
        <v>45085</v>
      </c>
      <c r="J1496" s="2">
        <v>10.8</v>
      </c>
      <c r="K1496" s="2">
        <v>271.64</v>
      </c>
      <c r="L1496" t="s">
        <v>15</v>
      </c>
      <c r="M1496" s="2">
        <v>1974</v>
      </c>
      <c r="N1496" s="2">
        <v>8</v>
      </c>
      <c r="O1496" s="2">
        <f t="shared" si="140"/>
        <v>246.75</v>
      </c>
      <c r="P1496" s="2">
        <f t="shared" si="141"/>
        <v>0.90837137387719047</v>
      </c>
      <c r="Q1496" s="3">
        <f t="shared" si="142"/>
        <v>0.13760891590678825</v>
      </c>
    </row>
    <row r="1497" spans="1:17" x14ac:dyDescent="0.25">
      <c r="A1497" t="s">
        <v>1571</v>
      </c>
      <c r="B1497" t="s">
        <v>35</v>
      </c>
      <c r="C1497" t="s">
        <v>13</v>
      </c>
      <c r="D1497" t="str">
        <f t="shared" si="138"/>
        <v>CA</v>
      </c>
      <c r="E1497" t="str">
        <f t="shared" si="139"/>
        <v>West</v>
      </c>
      <c r="F1497" t="s">
        <v>37</v>
      </c>
      <c r="G1497" s="1">
        <v>45163</v>
      </c>
      <c r="H1497" s="1">
        <v>45169</v>
      </c>
      <c r="I1497" s="1">
        <f t="shared" si="143"/>
        <v>45169</v>
      </c>
      <c r="J1497" s="2">
        <v>12.2</v>
      </c>
      <c r="K1497" s="2">
        <v>259.25</v>
      </c>
      <c r="L1497" t="s">
        <v>15</v>
      </c>
      <c r="M1497" s="2">
        <v>2271</v>
      </c>
      <c r="N1497" s="2">
        <v>6</v>
      </c>
      <c r="O1497" s="2">
        <f t="shared" si="140"/>
        <v>378.5</v>
      </c>
      <c r="P1497" s="2">
        <f t="shared" si="141"/>
        <v>1.4599807135969143</v>
      </c>
      <c r="Q1497" s="3">
        <f t="shared" si="142"/>
        <v>0.11415675913694408</v>
      </c>
    </row>
    <row r="1498" spans="1:17" hidden="1" x14ac:dyDescent="0.25">
      <c r="A1498" t="s">
        <v>1572</v>
      </c>
      <c r="B1498" t="s">
        <v>27</v>
      </c>
      <c r="C1498" t="s">
        <v>54</v>
      </c>
      <c r="D1498" t="str">
        <f t="shared" si="138"/>
        <v>FL</v>
      </c>
      <c r="E1498" t="str">
        <f t="shared" si="139"/>
        <v>Southeast</v>
      </c>
      <c r="F1498" t="s">
        <v>32</v>
      </c>
      <c r="G1498" s="1">
        <v>45167</v>
      </c>
      <c r="H1498" s="1">
        <v>45171</v>
      </c>
      <c r="I1498" s="1">
        <f t="shared" si="143"/>
        <v>45171</v>
      </c>
      <c r="J1498" s="2">
        <v>22.8</v>
      </c>
      <c r="K1498" s="2">
        <v>221.62</v>
      </c>
      <c r="L1498" t="s">
        <v>67</v>
      </c>
      <c r="M1498" s="2">
        <v>1599</v>
      </c>
      <c r="N1498" s="2">
        <v>4</v>
      </c>
      <c r="O1498" s="2">
        <f t="shared" si="140"/>
        <v>399.75</v>
      </c>
      <c r="P1498" s="2">
        <f t="shared" si="141"/>
        <v>1.8037631982673044</v>
      </c>
      <c r="Q1498" s="3">
        <f t="shared" si="142"/>
        <v>0.138599124452783</v>
      </c>
    </row>
    <row r="1499" spans="1:17" hidden="1" x14ac:dyDescent="0.25">
      <c r="A1499" t="s">
        <v>1573</v>
      </c>
      <c r="B1499" t="s">
        <v>35</v>
      </c>
      <c r="C1499" t="s">
        <v>57</v>
      </c>
      <c r="D1499" t="str">
        <f t="shared" si="138"/>
        <v>MN</v>
      </c>
      <c r="E1499" t="str">
        <f t="shared" si="139"/>
        <v>Midwest</v>
      </c>
      <c r="F1499" t="s">
        <v>18</v>
      </c>
      <c r="G1499" s="1">
        <v>45094</v>
      </c>
      <c r="H1499" s="1">
        <v>45099</v>
      </c>
      <c r="I1499" s="1">
        <f t="shared" si="143"/>
        <v>45099</v>
      </c>
      <c r="J1499" s="2">
        <v>15.1</v>
      </c>
      <c r="K1499" s="2">
        <v>142.08000000000001</v>
      </c>
      <c r="L1499" t="s">
        <v>15</v>
      </c>
      <c r="M1499" s="2">
        <v>977</v>
      </c>
      <c r="N1499" s="2">
        <v>5</v>
      </c>
      <c r="O1499" s="2">
        <f t="shared" si="140"/>
        <v>195.4</v>
      </c>
      <c r="P1499" s="2">
        <f t="shared" si="141"/>
        <v>1.3752815315315314</v>
      </c>
      <c r="Q1499" s="3">
        <f t="shared" si="142"/>
        <v>0.145424769703173</v>
      </c>
    </row>
    <row r="1500" spans="1:17" x14ac:dyDescent="0.25">
      <c r="A1500" t="s">
        <v>1574</v>
      </c>
      <c r="B1500" t="s">
        <v>51</v>
      </c>
      <c r="C1500" t="s">
        <v>81</v>
      </c>
      <c r="D1500" t="str">
        <f t="shared" si="138"/>
        <v>CO</v>
      </c>
      <c r="E1500" t="str">
        <f t="shared" si="139"/>
        <v>West</v>
      </c>
      <c r="F1500" t="s">
        <v>37</v>
      </c>
      <c r="G1500" s="1">
        <v>45202</v>
      </c>
      <c r="H1500" s="1">
        <v>45205</v>
      </c>
      <c r="I1500" s="1">
        <f t="shared" si="143"/>
        <v>45205</v>
      </c>
      <c r="J1500" s="2">
        <v>11.3</v>
      </c>
      <c r="K1500" s="2">
        <v>154.44999999999999</v>
      </c>
      <c r="L1500" t="s">
        <v>15</v>
      </c>
      <c r="M1500" s="2">
        <v>1311</v>
      </c>
      <c r="N1500" s="2">
        <v>3</v>
      </c>
      <c r="O1500" s="2">
        <f t="shared" si="140"/>
        <v>437</v>
      </c>
      <c r="P1500" s="2">
        <f t="shared" si="141"/>
        <v>2.8293946260925869</v>
      </c>
      <c r="Q1500" s="3">
        <f t="shared" si="142"/>
        <v>0.11781083142639207</v>
      </c>
    </row>
    <row r="1501" spans="1:17" x14ac:dyDescent="0.25">
      <c r="A1501" t="s">
        <v>1575</v>
      </c>
      <c r="B1501" t="s">
        <v>35</v>
      </c>
      <c r="C1501" t="s">
        <v>70</v>
      </c>
      <c r="D1501" t="str">
        <f t="shared" si="138"/>
        <v>CA</v>
      </c>
      <c r="E1501" t="str">
        <f t="shared" si="139"/>
        <v>West</v>
      </c>
      <c r="F1501" t="s">
        <v>37</v>
      </c>
      <c r="G1501" s="1">
        <v>45062</v>
      </c>
      <c r="H1501" s="1">
        <v>45064</v>
      </c>
      <c r="I1501" s="1">
        <f t="shared" si="143"/>
        <v>45064</v>
      </c>
      <c r="J1501" s="2">
        <v>64.7</v>
      </c>
      <c r="K1501" s="2">
        <v>105.03</v>
      </c>
      <c r="L1501" t="s">
        <v>15</v>
      </c>
      <c r="M1501" s="2">
        <v>268</v>
      </c>
      <c r="N1501" s="2">
        <v>2</v>
      </c>
      <c r="O1501" s="2">
        <f t="shared" si="140"/>
        <v>134</v>
      </c>
      <c r="P1501" s="2">
        <f t="shared" si="141"/>
        <v>1.2758259544891934</v>
      </c>
      <c r="Q1501" s="3">
        <f t="shared" si="142"/>
        <v>0.3919029850746269</v>
      </c>
    </row>
    <row r="1502" spans="1:17" x14ac:dyDescent="0.25">
      <c r="A1502" t="s">
        <v>1576</v>
      </c>
      <c r="B1502" t="s">
        <v>56</v>
      </c>
      <c r="C1502" t="s">
        <v>13</v>
      </c>
      <c r="D1502" t="str">
        <f t="shared" si="138"/>
        <v>CA</v>
      </c>
      <c r="E1502" t="str">
        <f t="shared" si="139"/>
        <v>West</v>
      </c>
      <c r="F1502" t="s">
        <v>59</v>
      </c>
      <c r="G1502" s="1">
        <v>45194</v>
      </c>
      <c r="H1502" s="1">
        <v>45198</v>
      </c>
      <c r="I1502" s="1">
        <f t="shared" si="143"/>
        <v>45198</v>
      </c>
      <c r="J1502" s="2">
        <v>64.8</v>
      </c>
      <c r="K1502" s="2">
        <v>258.52</v>
      </c>
      <c r="L1502" t="s">
        <v>15</v>
      </c>
      <c r="M1502" s="2">
        <v>1466</v>
      </c>
      <c r="N1502" s="2">
        <v>4</v>
      </c>
      <c r="O1502" s="2">
        <f t="shared" si="140"/>
        <v>366.5</v>
      </c>
      <c r="P1502" s="2">
        <f t="shared" si="141"/>
        <v>1.4176852854711435</v>
      </c>
      <c r="Q1502" s="3">
        <f t="shared" si="142"/>
        <v>0.176343792633015</v>
      </c>
    </row>
    <row r="1503" spans="1:17" hidden="1" x14ac:dyDescent="0.25">
      <c r="A1503" t="s">
        <v>1577</v>
      </c>
      <c r="B1503" t="s">
        <v>30</v>
      </c>
      <c r="C1503" t="s">
        <v>44</v>
      </c>
      <c r="D1503" t="str">
        <f t="shared" si="138"/>
        <v>IL</v>
      </c>
      <c r="E1503" t="str">
        <f t="shared" si="139"/>
        <v>Midwest</v>
      </c>
      <c r="F1503" t="s">
        <v>18</v>
      </c>
      <c r="G1503" s="1">
        <v>44988</v>
      </c>
      <c r="H1503" s="1">
        <v>44997</v>
      </c>
      <c r="I1503" s="1">
        <f t="shared" si="143"/>
        <v>44997</v>
      </c>
      <c r="J1503" s="2">
        <v>21.2</v>
      </c>
      <c r="K1503" s="2">
        <v>312.87</v>
      </c>
      <c r="L1503" t="s">
        <v>15</v>
      </c>
      <c r="M1503" s="2">
        <v>2181</v>
      </c>
      <c r="N1503" s="2">
        <v>9</v>
      </c>
      <c r="O1503" s="2">
        <f t="shared" si="140"/>
        <v>242.33333333333334</v>
      </c>
      <c r="P1503" s="2">
        <f t="shared" si="141"/>
        <v>0.77454959994033734</v>
      </c>
      <c r="Q1503" s="3">
        <f t="shared" si="142"/>
        <v>0.14345254470426411</v>
      </c>
    </row>
    <row r="1504" spans="1:17" hidden="1" x14ac:dyDescent="0.25">
      <c r="A1504" t="s">
        <v>1578</v>
      </c>
      <c r="B1504" t="s">
        <v>39</v>
      </c>
      <c r="C1504" t="s">
        <v>21</v>
      </c>
      <c r="D1504" t="str">
        <f t="shared" si="138"/>
        <v>TX</v>
      </c>
      <c r="E1504" t="str">
        <f t="shared" si="139"/>
        <v>Southwest</v>
      </c>
      <c r="F1504" t="s">
        <v>25</v>
      </c>
      <c r="G1504" s="1">
        <v>44932</v>
      </c>
      <c r="H1504" s="1">
        <v>44934</v>
      </c>
      <c r="I1504" s="1">
        <f t="shared" si="143"/>
        <v>44934</v>
      </c>
      <c r="J1504" s="2">
        <v>13.4</v>
      </c>
      <c r="K1504" s="2">
        <v>62.54</v>
      </c>
      <c r="L1504" t="s">
        <v>15</v>
      </c>
      <c r="M1504" s="2">
        <v>379</v>
      </c>
      <c r="N1504" s="2">
        <v>2</v>
      </c>
      <c r="O1504" s="2">
        <f t="shared" si="140"/>
        <v>189.5</v>
      </c>
      <c r="P1504" s="2">
        <f t="shared" si="141"/>
        <v>3.0300607611128876</v>
      </c>
      <c r="Q1504" s="3">
        <f t="shared" si="142"/>
        <v>0.16501319261213721</v>
      </c>
    </row>
    <row r="1505" spans="1:17" x14ac:dyDescent="0.25">
      <c r="A1505" t="s">
        <v>1579</v>
      </c>
      <c r="B1505" t="s">
        <v>39</v>
      </c>
      <c r="C1505" t="s">
        <v>36</v>
      </c>
      <c r="D1505" t="str">
        <f t="shared" si="138"/>
        <v>OR</v>
      </c>
      <c r="E1505" t="str">
        <f t="shared" si="139"/>
        <v>West</v>
      </c>
      <c r="F1505" t="s">
        <v>59</v>
      </c>
      <c r="G1505" s="1">
        <v>45230</v>
      </c>
      <c r="H1505" s="1">
        <v>45233</v>
      </c>
      <c r="I1505" s="1">
        <f t="shared" si="143"/>
        <v>45233</v>
      </c>
      <c r="J1505" s="2">
        <v>9.1999999999999993</v>
      </c>
      <c r="K1505" s="2">
        <v>22.1</v>
      </c>
      <c r="L1505" t="s">
        <v>15</v>
      </c>
      <c r="M1505" s="2">
        <v>123</v>
      </c>
      <c r="N1505" s="2">
        <v>3</v>
      </c>
      <c r="O1505" s="2">
        <f t="shared" si="140"/>
        <v>41</v>
      </c>
      <c r="P1505" s="2">
        <f t="shared" si="141"/>
        <v>1.8552036199095021</v>
      </c>
      <c r="Q1505" s="3">
        <f t="shared" si="142"/>
        <v>0.17967479674796749</v>
      </c>
    </row>
    <row r="1506" spans="1:17" hidden="1" x14ac:dyDescent="0.25">
      <c r="A1506" t="s">
        <v>1581</v>
      </c>
      <c r="B1506" t="s">
        <v>30</v>
      </c>
      <c r="C1506" t="s">
        <v>52</v>
      </c>
      <c r="D1506" t="str">
        <f t="shared" si="138"/>
        <v>AZ</v>
      </c>
      <c r="E1506" t="str">
        <f t="shared" si="139"/>
        <v>Southwest</v>
      </c>
      <c r="F1506" t="s">
        <v>59</v>
      </c>
      <c r="G1506" s="1">
        <v>45080</v>
      </c>
      <c r="H1506" s="1">
        <v>45083</v>
      </c>
      <c r="I1506" s="1">
        <f t="shared" si="143"/>
        <v>45083</v>
      </c>
      <c r="J1506" s="2">
        <v>41.9</v>
      </c>
      <c r="K1506" s="2">
        <v>108.73</v>
      </c>
      <c r="L1506" t="s">
        <v>15</v>
      </c>
      <c r="M1506" s="2">
        <v>501</v>
      </c>
      <c r="N1506" s="2">
        <v>3</v>
      </c>
      <c r="O1506" s="2">
        <f t="shared" si="140"/>
        <v>167</v>
      </c>
      <c r="P1506" s="2">
        <f t="shared" si="141"/>
        <v>1.5359146509702932</v>
      </c>
      <c r="Q1506" s="3">
        <f t="shared" si="142"/>
        <v>0.21702594810379242</v>
      </c>
    </row>
    <row r="1507" spans="1:17" hidden="1" x14ac:dyDescent="0.25">
      <c r="A1507" t="s">
        <v>1582</v>
      </c>
      <c r="B1507" t="s">
        <v>27</v>
      </c>
      <c r="C1507" t="s">
        <v>57</v>
      </c>
      <c r="D1507" t="str">
        <f t="shared" si="138"/>
        <v>MN</v>
      </c>
      <c r="E1507" t="str">
        <f t="shared" si="139"/>
        <v>Midwest</v>
      </c>
      <c r="F1507" t="s">
        <v>37</v>
      </c>
      <c r="G1507" s="1">
        <v>45288</v>
      </c>
      <c r="H1507" s="1">
        <v>45292</v>
      </c>
      <c r="I1507" s="1">
        <f t="shared" si="143"/>
        <v>45292</v>
      </c>
      <c r="J1507" s="2">
        <v>10.3</v>
      </c>
      <c r="K1507" s="2">
        <v>164.78</v>
      </c>
      <c r="L1507" t="s">
        <v>60</v>
      </c>
      <c r="M1507" s="2">
        <v>1034</v>
      </c>
      <c r="N1507" s="2">
        <v>4</v>
      </c>
      <c r="O1507" s="2">
        <f t="shared" si="140"/>
        <v>258.5</v>
      </c>
      <c r="P1507" s="2">
        <f t="shared" si="141"/>
        <v>1.568758344459279</v>
      </c>
      <c r="Q1507" s="3">
        <f t="shared" si="142"/>
        <v>0.15936170212765957</v>
      </c>
    </row>
    <row r="1508" spans="1:17" x14ac:dyDescent="0.25">
      <c r="A1508" t="s">
        <v>1583</v>
      </c>
      <c r="B1508" t="s">
        <v>12</v>
      </c>
      <c r="C1508" t="s">
        <v>81</v>
      </c>
      <c r="D1508" t="str">
        <f t="shared" si="138"/>
        <v>CO</v>
      </c>
      <c r="E1508" t="str">
        <f t="shared" si="139"/>
        <v>West</v>
      </c>
      <c r="F1508" t="s">
        <v>32</v>
      </c>
      <c r="G1508" s="1">
        <v>45233</v>
      </c>
      <c r="H1508" s="1">
        <v>45234</v>
      </c>
      <c r="I1508" s="1">
        <f t="shared" si="143"/>
        <v>45234</v>
      </c>
      <c r="J1508" s="2">
        <v>6</v>
      </c>
      <c r="K1508" s="2">
        <v>50.96</v>
      </c>
      <c r="L1508" t="s">
        <v>62</v>
      </c>
      <c r="M1508" s="2">
        <v>283</v>
      </c>
      <c r="N1508" s="2">
        <v>1</v>
      </c>
      <c r="O1508" s="2">
        <f t="shared" si="140"/>
        <v>283</v>
      </c>
      <c r="P1508" s="2">
        <f t="shared" si="141"/>
        <v>5.5533751962323388</v>
      </c>
      <c r="Q1508" s="3">
        <f t="shared" si="142"/>
        <v>0.18007067137809188</v>
      </c>
    </row>
    <row r="1509" spans="1:17" x14ac:dyDescent="0.25">
      <c r="A1509" t="s">
        <v>1584</v>
      </c>
      <c r="B1509" t="s">
        <v>27</v>
      </c>
      <c r="C1509" t="s">
        <v>13</v>
      </c>
      <c r="D1509" t="str">
        <f t="shared" si="138"/>
        <v>CA</v>
      </c>
      <c r="E1509" t="str">
        <f t="shared" si="139"/>
        <v>West</v>
      </c>
      <c r="F1509" t="s">
        <v>18</v>
      </c>
      <c r="G1509" s="1">
        <v>45284</v>
      </c>
      <c r="H1509" s="1">
        <v>45299</v>
      </c>
      <c r="I1509" s="1">
        <f t="shared" si="143"/>
        <v>45299</v>
      </c>
      <c r="J1509" s="2">
        <v>14.8</v>
      </c>
      <c r="K1509" s="2">
        <v>137.77000000000001</v>
      </c>
      <c r="L1509" t="s">
        <v>47</v>
      </c>
      <c r="M1509" s="2">
        <v>655</v>
      </c>
      <c r="N1509" s="2">
        <v>4</v>
      </c>
      <c r="O1509" s="2">
        <f t="shared" si="140"/>
        <v>163.75</v>
      </c>
      <c r="P1509" s="2">
        <f t="shared" si="141"/>
        <v>1.1885751615010525</v>
      </c>
      <c r="Q1509" s="3">
        <f t="shared" si="142"/>
        <v>0.21033587786259544</v>
      </c>
    </row>
    <row r="1510" spans="1:17" hidden="1" x14ac:dyDescent="0.25">
      <c r="A1510" t="s">
        <v>1585</v>
      </c>
      <c r="B1510" t="s">
        <v>49</v>
      </c>
      <c r="C1510" t="s">
        <v>57</v>
      </c>
      <c r="D1510" t="str">
        <f t="shared" ref="D1510:D1572" si="144">IF(C1510="Atlanta","GA",
IF(C1510="Boston","MA",
IF(C1510="Chicago","IL",
IF(C1510="Dallas","TX",
IF(C1510="Denver","CO",
IF(C1510="Detroit","MI",
IF(C1510="Houston","TX",
IF(C1510="Los Angeles","CA",
IF(C1510="Miami","FL",
IF(C1510="Minneapolis","MN",
IF(C1510="New York","NY",
IF(C1510="Phoenix","AZ",
IF(C1510="Portland","OR",
IF(C1510="San Francisco","CA",
IF(C1510="Seattle","WA","Unknown")))))))))))))))</f>
        <v>MN</v>
      </c>
      <c r="E1510" t="str">
        <f t="shared" ref="E1510:E1572" si="145">IF(OR(D1510="NY",D1510="NJ",D1510="PA",D1510="MA",D1510="CT",D1510="RI",D1510="VT",D1510="NH",D1510="ME"),"Northeast",
IF(OR(D1510="FL",D1510="GA",D1510="AL",D1510="MS",D1510="SC",D1510="NC",D1510="TN",D1510="KY"),"Southeast",
IF(OR(D1510="IL",D1510="IN",D1510="OH",D1510="MI",D1510="WI",D1510="MN",D1510="IA",D1510="MO",D1510="KS",D1510="NE",D1510="ND",D1510="SD"),"Midwest",
IF(OR(D1510="TX",D1510="OK",D1510="NM",D1510="AZ"),"Southwest",
IF(OR(D1510="CA",D1510="OR",D1510="WA",D1510="NV",D1510="CO",D1510="UT",D1510="ID",D1510="MT",D1510="WY",D1510="AK",D1510="HI"),"West","Other")))))</f>
        <v>Midwest</v>
      </c>
      <c r="F1510" t="s">
        <v>25</v>
      </c>
      <c r="G1510" s="1">
        <v>45199</v>
      </c>
      <c r="H1510" s="1">
        <v>45201</v>
      </c>
      <c r="I1510" s="1">
        <f t="shared" si="143"/>
        <v>45201</v>
      </c>
      <c r="J1510" s="2">
        <v>17.899999999999999</v>
      </c>
      <c r="K1510" s="2">
        <v>87.69</v>
      </c>
      <c r="L1510" t="s">
        <v>15</v>
      </c>
      <c r="M1510" s="2">
        <v>552</v>
      </c>
      <c r="N1510" s="2">
        <v>2</v>
      </c>
      <c r="O1510" s="2">
        <f t="shared" ref="O1510:O1572" si="146">M1510/N1510</f>
        <v>276</v>
      </c>
      <c r="P1510" s="2">
        <f t="shared" ref="P1510:P1572" si="147">O1510/K1510</f>
        <v>3.1474512487170716</v>
      </c>
      <c r="Q1510" s="3">
        <f t="shared" ref="Q1510:Q1572" si="148">K1510/M1510</f>
        <v>0.15885869565217392</v>
      </c>
    </row>
    <row r="1511" spans="1:17" hidden="1" x14ac:dyDescent="0.25">
      <c r="A1511" t="s">
        <v>1586</v>
      </c>
      <c r="B1511" t="s">
        <v>35</v>
      </c>
      <c r="C1511" t="s">
        <v>54</v>
      </c>
      <c r="D1511" t="str">
        <f t="shared" si="144"/>
        <v>FL</v>
      </c>
      <c r="E1511" t="str">
        <f t="shared" si="145"/>
        <v>Southeast</v>
      </c>
      <c r="F1511" t="s">
        <v>32</v>
      </c>
      <c r="G1511" s="1">
        <v>45059</v>
      </c>
      <c r="H1511" s="1">
        <v>45063</v>
      </c>
      <c r="I1511" s="1">
        <f t="shared" si="143"/>
        <v>45063</v>
      </c>
      <c r="J1511" s="2">
        <v>179.1</v>
      </c>
      <c r="K1511" s="2">
        <v>216.48</v>
      </c>
      <c r="L1511" t="s">
        <v>15</v>
      </c>
      <c r="M1511" s="2">
        <v>1350</v>
      </c>
      <c r="N1511" s="2">
        <v>4</v>
      </c>
      <c r="O1511" s="2">
        <f t="shared" si="146"/>
        <v>337.5</v>
      </c>
      <c r="P1511" s="2">
        <f t="shared" si="147"/>
        <v>1.5590354767184036</v>
      </c>
      <c r="Q1511" s="3">
        <f t="shared" si="148"/>
        <v>0.16035555555555556</v>
      </c>
    </row>
    <row r="1512" spans="1:17" hidden="1" x14ac:dyDescent="0.25">
      <c r="A1512" t="s">
        <v>1587</v>
      </c>
      <c r="B1512" t="s">
        <v>20</v>
      </c>
      <c r="C1512" t="s">
        <v>57</v>
      </c>
      <c r="D1512" t="str">
        <f t="shared" si="144"/>
        <v>MN</v>
      </c>
      <c r="E1512" t="str">
        <f t="shared" si="145"/>
        <v>Midwest</v>
      </c>
      <c r="F1512" t="s">
        <v>32</v>
      </c>
      <c r="G1512" s="1">
        <v>45253</v>
      </c>
      <c r="H1512" s="1">
        <v>45259</v>
      </c>
      <c r="I1512" s="1">
        <f t="shared" si="143"/>
        <v>45259</v>
      </c>
      <c r="J1512" s="2">
        <v>36.299999999999997</v>
      </c>
      <c r="K1512" s="2">
        <v>439.48</v>
      </c>
      <c r="L1512" t="s">
        <v>15</v>
      </c>
      <c r="M1512" s="2">
        <v>2181</v>
      </c>
      <c r="N1512" s="2">
        <v>6</v>
      </c>
      <c r="O1512" s="2">
        <f t="shared" si="146"/>
        <v>363.5</v>
      </c>
      <c r="P1512" s="2">
        <f t="shared" si="147"/>
        <v>0.82711386183671609</v>
      </c>
      <c r="Q1512" s="3">
        <f t="shared" si="148"/>
        <v>0.20150389729481891</v>
      </c>
    </row>
    <row r="1513" spans="1:17" hidden="1" x14ac:dyDescent="0.25">
      <c r="A1513" t="s">
        <v>1588</v>
      </c>
      <c r="B1513" t="s">
        <v>30</v>
      </c>
      <c r="C1513" t="s">
        <v>57</v>
      </c>
      <c r="D1513" t="str">
        <f t="shared" si="144"/>
        <v>MN</v>
      </c>
      <c r="E1513" t="str">
        <f t="shared" si="145"/>
        <v>Midwest</v>
      </c>
      <c r="F1513" t="s">
        <v>18</v>
      </c>
      <c r="G1513" s="1">
        <v>45081</v>
      </c>
      <c r="H1513" s="1">
        <v>45087</v>
      </c>
      <c r="I1513" s="1">
        <f t="shared" si="143"/>
        <v>45087</v>
      </c>
      <c r="J1513" s="2">
        <v>5.8</v>
      </c>
      <c r="K1513" s="2">
        <v>338.34</v>
      </c>
      <c r="L1513" t="s">
        <v>15</v>
      </c>
      <c r="M1513" s="2">
        <v>2466</v>
      </c>
      <c r="N1513" s="2">
        <v>6</v>
      </c>
      <c r="O1513" s="2">
        <f t="shared" si="146"/>
        <v>411</v>
      </c>
      <c r="P1513" s="2">
        <f t="shared" si="147"/>
        <v>1.2147543890760775</v>
      </c>
      <c r="Q1513" s="3">
        <f t="shared" si="148"/>
        <v>0.13720194647201944</v>
      </c>
    </row>
    <row r="1514" spans="1:17" hidden="1" x14ac:dyDescent="0.25">
      <c r="A1514" t="s">
        <v>1589</v>
      </c>
      <c r="B1514" t="s">
        <v>27</v>
      </c>
      <c r="C1514" t="s">
        <v>52</v>
      </c>
      <c r="D1514" t="str">
        <f t="shared" si="144"/>
        <v>AZ</v>
      </c>
      <c r="E1514" t="str">
        <f t="shared" si="145"/>
        <v>Southwest</v>
      </c>
      <c r="F1514" t="s">
        <v>25</v>
      </c>
      <c r="G1514" s="1">
        <v>45053</v>
      </c>
      <c r="H1514" s="1">
        <v>45058</v>
      </c>
      <c r="I1514" s="1">
        <f t="shared" si="143"/>
        <v>45058</v>
      </c>
      <c r="J1514" s="2">
        <v>5.6</v>
      </c>
      <c r="K1514" s="2">
        <v>78.42</v>
      </c>
      <c r="L1514" t="s">
        <v>15</v>
      </c>
      <c r="M1514" s="2">
        <v>636</v>
      </c>
      <c r="N1514" s="2">
        <v>5</v>
      </c>
      <c r="O1514" s="2">
        <f t="shared" si="146"/>
        <v>127.2</v>
      </c>
      <c r="P1514" s="2">
        <f t="shared" si="147"/>
        <v>1.6220351951032901</v>
      </c>
      <c r="Q1514" s="3">
        <f t="shared" si="148"/>
        <v>0.12330188679245284</v>
      </c>
    </row>
    <row r="1515" spans="1:17" hidden="1" x14ac:dyDescent="0.25">
      <c r="A1515" t="s">
        <v>1590</v>
      </c>
      <c r="B1515" t="s">
        <v>35</v>
      </c>
      <c r="C1515" t="s">
        <v>40</v>
      </c>
      <c r="D1515" t="str">
        <f t="shared" si="144"/>
        <v>MI</v>
      </c>
      <c r="E1515" t="str">
        <f t="shared" si="145"/>
        <v>Midwest</v>
      </c>
      <c r="F1515" t="s">
        <v>59</v>
      </c>
      <c r="G1515" s="1">
        <v>45262</v>
      </c>
      <c r="H1515" s="1">
        <v>45264</v>
      </c>
      <c r="I1515" s="1">
        <f t="shared" si="143"/>
        <v>45264</v>
      </c>
      <c r="J1515" s="2">
        <v>14.1</v>
      </c>
      <c r="K1515" s="2">
        <v>58.04</v>
      </c>
      <c r="L1515" t="s">
        <v>15</v>
      </c>
      <c r="M1515" s="2">
        <v>283</v>
      </c>
      <c r="N1515" s="2">
        <v>2</v>
      </c>
      <c r="O1515" s="2">
        <f t="shared" si="146"/>
        <v>141.5</v>
      </c>
      <c r="P1515" s="2">
        <f t="shared" si="147"/>
        <v>2.437973811164714</v>
      </c>
      <c r="Q1515" s="3">
        <f t="shared" si="148"/>
        <v>0.20508833922261485</v>
      </c>
    </row>
    <row r="1516" spans="1:17" hidden="1" x14ac:dyDescent="0.25">
      <c r="A1516" t="s">
        <v>1591</v>
      </c>
      <c r="B1516" t="s">
        <v>27</v>
      </c>
      <c r="C1516" t="s">
        <v>54</v>
      </c>
      <c r="D1516" t="str">
        <f t="shared" si="144"/>
        <v>FL</v>
      </c>
      <c r="E1516" t="str">
        <f t="shared" si="145"/>
        <v>Southeast</v>
      </c>
      <c r="F1516" t="s">
        <v>37</v>
      </c>
      <c r="G1516" s="1">
        <v>45044</v>
      </c>
      <c r="H1516" s="1">
        <v>45046</v>
      </c>
      <c r="I1516" s="1">
        <f t="shared" si="143"/>
        <v>45046</v>
      </c>
      <c r="J1516" s="2">
        <v>12</v>
      </c>
      <c r="K1516" s="2">
        <v>43.35</v>
      </c>
      <c r="L1516" t="s">
        <v>15</v>
      </c>
      <c r="M1516" s="2">
        <v>208</v>
      </c>
      <c r="N1516" s="2">
        <v>2</v>
      </c>
      <c r="O1516" s="2">
        <f t="shared" si="146"/>
        <v>104</v>
      </c>
      <c r="P1516" s="2">
        <f t="shared" si="147"/>
        <v>2.3990772779700116</v>
      </c>
      <c r="Q1516" s="3">
        <f t="shared" si="148"/>
        <v>0.20841346153846155</v>
      </c>
    </row>
    <row r="1517" spans="1:17" hidden="1" x14ac:dyDescent="0.25">
      <c r="A1517" t="s">
        <v>1593</v>
      </c>
      <c r="B1517" t="s">
        <v>49</v>
      </c>
      <c r="C1517" t="s">
        <v>17</v>
      </c>
      <c r="D1517" t="str">
        <f t="shared" si="144"/>
        <v>GA</v>
      </c>
      <c r="E1517" t="str">
        <f t="shared" si="145"/>
        <v>Southeast</v>
      </c>
      <c r="F1517" t="s">
        <v>25</v>
      </c>
      <c r="G1517" s="1">
        <v>45094</v>
      </c>
      <c r="H1517" s="1">
        <v>45097</v>
      </c>
      <c r="I1517" s="1">
        <f t="shared" si="143"/>
        <v>45097</v>
      </c>
      <c r="J1517" s="2">
        <v>25.2</v>
      </c>
      <c r="K1517" s="2">
        <v>190.12</v>
      </c>
      <c r="L1517" t="s">
        <v>15</v>
      </c>
      <c r="M1517" s="2">
        <v>1442</v>
      </c>
      <c r="N1517" s="2">
        <v>3</v>
      </c>
      <c r="O1517" s="2">
        <f t="shared" si="146"/>
        <v>480.66666666666669</v>
      </c>
      <c r="P1517" s="2">
        <f t="shared" si="147"/>
        <v>2.5282277859597446</v>
      </c>
      <c r="Q1517" s="3">
        <f t="shared" si="148"/>
        <v>0.13184466019417476</v>
      </c>
    </row>
    <row r="1518" spans="1:17" hidden="1" x14ac:dyDescent="0.25">
      <c r="A1518" t="s">
        <v>1594</v>
      </c>
      <c r="B1518" t="s">
        <v>20</v>
      </c>
      <c r="C1518" t="s">
        <v>31</v>
      </c>
      <c r="D1518" t="str">
        <f t="shared" si="144"/>
        <v>NY</v>
      </c>
      <c r="E1518" t="str">
        <f t="shared" si="145"/>
        <v>Northeast</v>
      </c>
      <c r="F1518" t="s">
        <v>42</v>
      </c>
      <c r="G1518" s="1">
        <v>45052</v>
      </c>
      <c r="H1518" s="1">
        <v>45055</v>
      </c>
      <c r="I1518" s="1">
        <f t="shared" si="143"/>
        <v>45055</v>
      </c>
      <c r="J1518" s="2">
        <v>24.1</v>
      </c>
      <c r="K1518" s="2">
        <v>70.430000000000007</v>
      </c>
      <c r="L1518" t="s">
        <v>15</v>
      </c>
      <c r="M1518" s="2">
        <v>295</v>
      </c>
      <c r="N1518" s="2">
        <v>3</v>
      </c>
      <c r="O1518" s="2">
        <f t="shared" si="146"/>
        <v>98.333333333333329</v>
      </c>
      <c r="P1518" s="2">
        <f t="shared" si="147"/>
        <v>1.3961853376875382</v>
      </c>
      <c r="Q1518" s="3">
        <f t="shared" si="148"/>
        <v>0.23874576271186443</v>
      </c>
    </row>
    <row r="1519" spans="1:17" x14ac:dyDescent="0.25">
      <c r="A1519" t="s">
        <v>1595</v>
      </c>
      <c r="B1519" t="s">
        <v>23</v>
      </c>
      <c r="C1519" t="s">
        <v>81</v>
      </c>
      <c r="D1519" t="str">
        <f t="shared" si="144"/>
        <v>CO</v>
      </c>
      <c r="E1519" t="str">
        <f t="shared" si="145"/>
        <v>West</v>
      </c>
      <c r="F1519" t="s">
        <v>25</v>
      </c>
      <c r="G1519" s="1">
        <v>45228</v>
      </c>
      <c r="H1519" s="1">
        <v>45236</v>
      </c>
      <c r="I1519" s="1">
        <f t="shared" si="143"/>
        <v>45236</v>
      </c>
      <c r="J1519" s="2">
        <v>17.5</v>
      </c>
      <c r="K1519" s="2">
        <v>240.07</v>
      </c>
      <c r="L1519" t="s">
        <v>15</v>
      </c>
      <c r="M1519" s="2">
        <v>1720</v>
      </c>
      <c r="N1519" s="2">
        <v>8</v>
      </c>
      <c r="O1519" s="2">
        <f t="shared" si="146"/>
        <v>215</v>
      </c>
      <c r="P1519" s="2">
        <f t="shared" si="147"/>
        <v>0.89557212479693427</v>
      </c>
      <c r="Q1519" s="3">
        <f t="shared" si="148"/>
        <v>0.13957558139534884</v>
      </c>
    </row>
    <row r="1520" spans="1:17" hidden="1" x14ac:dyDescent="0.25">
      <c r="A1520" t="s">
        <v>1596</v>
      </c>
      <c r="B1520" t="s">
        <v>39</v>
      </c>
      <c r="C1520" t="s">
        <v>46</v>
      </c>
      <c r="D1520" t="str">
        <f t="shared" si="144"/>
        <v>MA</v>
      </c>
      <c r="E1520" t="str">
        <f t="shared" si="145"/>
        <v>Northeast</v>
      </c>
      <c r="F1520" t="s">
        <v>25</v>
      </c>
      <c r="G1520" s="1">
        <v>45092</v>
      </c>
      <c r="H1520" s="1">
        <v>45095</v>
      </c>
      <c r="I1520" s="1">
        <f t="shared" si="143"/>
        <v>45095</v>
      </c>
      <c r="J1520" s="2">
        <v>46.3</v>
      </c>
      <c r="K1520" s="2">
        <v>155.66</v>
      </c>
      <c r="L1520" t="s">
        <v>15</v>
      </c>
      <c r="M1520" s="2">
        <v>912</v>
      </c>
      <c r="N1520" s="2">
        <v>3</v>
      </c>
      <c r="O1520" s="2">
        <f t="shared" si="146"/>
        <v>304</v>
      </c>
      <c r="P1520" s="2">
        <f t="shared" si="147"/>
        <v>1.9529744314531672</v>
      </c>
      <c r="Q1520" s="3">
        <f t="shared" si="148"/>
        <v>0.17067982456140351</v>
      </c>
    </row>
    <row r="1521" spans="1:17" hidden="1" x14ac:dyDescent="0.25">
      <c r="A1521" t="s">
        <v>1597</v>
      </c>
      <c r="B1521" t="s">
        <v>23</v>
      </c>
      <c r="C1521" t="s">
        <v>54</v>
      </c>
      <c r="D1521" t="str">
        <f t="shared" si="144"/>
        <v>FL</v>
      </c>
      <c r="E1521" t="str">
        <f t="shared" si="145"/>
        <v>Southeast</v>
      </c>
      <c r="F1521" t="s">
        <v>42</v>
      </c>
      <c r="G1521" s="1">
        <v>45093</v>
      </c>
      <c r="H1521" s="1">
        <v>45100</v>
      </c>
      <c r="I1521" s="1">
        <f t="shared" si="143"/>
        <v>45100</v>
      </c>
      <c r="J1521" s="2">
        <v>25.6</v>
      </c>
      <c r="K1521" s="2">
        <v>287.97000000000003</v>
      </c>
      <c r="L1521" t="s">
        <v>60</v>
      </c>
      <c r="M1521" s="2">
        <v>2129</v>
      </c>
      <c r="N1521" s="2">
        <v>7</v>
      </c>
      <c r="O1521" s="2">
        <f t="shared" si="146"/>
        <v>304.14285714285717</v>
      </c>
      <c r="P1521" s="2">
        <f t="shared" si="147"/>
        <v>1.0561616041353514</v>
      </c>
      <c r="Q1521" s="3">
        <f t="shared" si="148"/>
        <v>0.13526068576796618</v>
      </c>
    </row>
    <row r="1522" spans="1:17" hidden="1" x14ac:dyDescent="0.25">
      <c r="A1522" t="s">
        <v>1598</v>
      </c>
      <c r="B1522" t="s">
        <v>30</v>
      </c>
      <c r="C1522" t="s">
        <v>54</v>
      </c>
      <c r="D1522" t="str">
        <f t="shared" si="144"/>
        <v>FL</v>
      </c>
      <c r="E1522" t="str">
        <f t="shared" si="145"/>
        <v>Southeast</v>
      </c>
      <c r="F1522" t="s">
        <v>25</v>
      </c>
      <c r="G1522" s="1">
        <v>45014</v>
      </c>
      <c r="H1522" s="1">
        <v>45015</v>
      </c>
      <c r="I1522" s="1">
        <f t="shared" si="143"/>
        <v>45015</v>
      </c>
      <c r="J1522" s="2">
        <v>41.5</v>
      </c>
      <c r="K1522" s="2">
        <v>85.01</v>
      </c>
      <c r="L1522" t="s">
        <v>15</v>
      </c>
      <c r="M1522" s="2">
        <v>305</v>
      </c>
      <c r="N1522" s="2">
        <v>1</v>
      </c>
      <c r="O1522" s="2">
        <f t="shared" si="146"/>
        <v>305</v>
      </c>
      <c r="P1522" s="2">
        <f t="shared" si="147"/>
        <v>3.5878131984472414</v>
      </c>
      <c r="Q1522" s="3">
        <f t="shared" si="148"/>
        <v>0.27872131147540985</v>
      </c>
    </row>
    <row r="1523" spans="1:17" x14ac:dyDescent="0.25">
      <c r="A1523" t="s">
        <v>1599</v>
      </c>
      <c r="B1523" t="s">
        <v>12</v>
      </c>
      <c r="C1523" t="s">
        <v>24</v>
      </c>
      <c r="D1523" t="str">
        <f t="shared" si="144"/>
        <v>WA</v>
      </c>
      <c r="E1523" t="str">
        <f t="shared" si="145"/>
        <v>West</v>
      </c>
      <c r="F1523" t="s">
        <v>18</v>
      </c>
      <c r="G1523" s="1">
        <v>45194</v>
      </c>
      <c r="I1523" s="1">
        <f t="shared" si="143"/>
        <v>45200</v>
      </c>
      <c r="J1523" s="2">
        <v>17.399999999999999</v>
      </c>
      <c r="K1523" s="2">
        <v>305.83</v>
      </c>
      <c r="L1523" t="s">
        <v>15</v>
      </c>
      <c r="M1523" s="2">
        <v>1894</v>
      </c>
      <c r="N1523" s="2">
        <v>6</v>
      </c>
      <c r="O1523" s="2">
        <f t="shared" si="146"/>
        <v>315.66666666666669</v>
      </c>
      <c r="P1523" s="2">
        <f t="shared" si="147"/>
        <v>1.0321638382979652</v>
      </c>
      <c r="Q1523" s="3">
        <f t="shared" si="148"/>
        <v>0.16147307286166843</v>
      </c>
    </row>
    <row r="1524" spans="1:17" hidden="1" x14ac:dyDescent="0.25">
      <c r="A1524" t="s">
        <v>1600</v>
      </c>
      <c r="B1524" t="s">
        <v>49</v>
      </c>
      <c r="C1524" t="s">
        <v>46</v>
      </c>
      <c r="D1524" t="str">
        <f t="shared" si="144"/>
        <v>MA</v>
      </c>
      <c r="E1524" t="str">
        <f t="shared" si="145"/>
        <v>Northeast</v>
      </c>
      <c r="F1524" t="s">
        <v>25</v>
      </c>
      <c r="G1524" s="1">
        <v>44929</v>
      </c>
      <c r="I1524" s="1">
        <f t="shared" si="143"/>
        <v>44936</v>
      </c>
      <c r="J1524" s="2">
        <v>184.3</v>
      </c>
      <c r="K1524" s="2">
        <v>497.31</v>
      </c>
      <c r="L1524" t="s">
        <v>47</v>
      </c>
      <c r="M1524" s="2">
        <v>1941</v>
      </c>
      <c r="N1524" s="2">
        <v>7</v>
      </c>
      <c r="O1524" s="2">
        <f t="shared" si="146"/>
        <v>277.28571428571428</v>
      </c>
      <c r="P1524" s="2">
        <f t="shared" si="147"/>
        <v>0.5575711614198674</v>
      </c>
      <c r="Q1524" s="3">
        <f t="shared" si="148"/>
        <v>0.25621329211746524</v>
      </c>
    </row>
    <row r="1525" spans="1:17" hidden="1" x14ac:dyDescent="0.25">
      <c r="A1525" t="s">
        <v>1601</v>
      </c>
      <c r="B1525" t="s">
        <v>23</v>
      </c>
      <c r="C1525" t="s">
        <v>17</v>
      </c>
      <c r="D1525" t="str">
        <f t="shared" si="144"/>
        <v>GA</v>
      </c>
      <c r="E1525" t="str">
        <f t="shared" si="145"/>
        <v>Southeast</v>
      </c>
      <c r="F1525" t="s">
        <v>42</v>
      </c>
      <c r="G1525" s="1">
        <v>45162</v>
      </c>
      <c r="H1525" s="1">
        <v>45168</v>
      </c>
      <c r="I1525" s="1">
        <f t="shared" si="143"/>
        <v>45168</v>
      </c>
      <c r="J1525" s="2">
        <v>50.5</v>
      </c>
      <c r="K1525" s="2">
        <v>323.77</v>
      </c>
      <c r="L1525" t="s">
        <v>15</v>
      </c>
      <c r="M1525" s="2">
        <v>2250</v>
      </c>
      <c r="N1525" s="2">
        <v>6</v>
      </c>
      <c r="O1525" s="2">
        <f t="shared" si="146"/>
        <v>375</v>
      </c>
      <c r="P1525" s="2">
        <f t="shared" si="147"/>
        <v>1.1582296074373784</v>
      </c>
      <c r="Q1525" s="3">
        <f t="shared" si="148"/>
        <v>0.14389777777777776</v>
      </c>
    </row>
    <row r="1526" spans="1:17" hidden="1" x14ac:dyDescent="0.25">
      <c r="A1526" t="s">
        <v>1602</v>
      </c>
      <c r="B1526" t="s">
        <v>12</v>
      </c>
      <c r="C1526" t="s">
        <v>40</v>
      </c>
      <c r="D1526" t="str">
        <f t="shared" si="144"/>
        <v>MI</v>
      </c>
      <c r="E1526" t="str">
        <f t="shared" si="145"/>
        <v>Midwest</v>
      </c>
      <c r="F1526" t="s">
        <v>42</v>
      </c>
      <c r="G1526" s="1">
        <v>45185</v>
      </c>
      <c r="H1526" s="1">
        <v>45192</v>
      </c>
      <c r="I1526" s="1">
        <f t="shared" si="143"/>
        <v>45192</v>
      </c>
      <c r="J1526" s="2">
        <v>9</v>
      </c>
      <c r="K1526" s="2">
        <v>261.35000000000002</v>
      </c>
      <c r="L1526" t="s">
        <v>15</v>
      </c>
      <c r="M1526" s="2">
        <v>2105</v>
      </c>
      <c r="N1526" s="2">
        <v>7</v>
      </c>
      <c r="O1526" s="2">
        <f t="shared" si="146"/>
        <v>300.71428571428572</v>
      </c>
      <c r="P1526" s="2">
        <f t="shared" si="147"/>
        <v>1.1506190385088413</v>
      </c>
      <c r="Q1526" s="3">
        <f t="shared" si="148"/>
        <v>0.12415676959619953</v>
      </c>
    </row>
    <row r="1527" spans="1:17" hidden="1" x14ac:dyDescent="0.25">
      <c r="A1527" t="s">
        <v>1603</v>
      </c>
      <c r="B1527" t="s">
        <v>27</v>
      </c>
      <c r="C1527" t="s">
        <v>21</v>
      </c>
      <c r="D1527" t="str">
        <f t="shared" si="144"/>
        <v>TX</v>
      </c>
      <c r="E1527" t="str">
        <f t="shared" si="145"/>
        <v>Southwest</v>
      </c>
      <c r="F1527" t="s">
        <v>18</v>
      </c>
      <c r="G1527" s="1">
        <v>45280</v>
      </c>
      <c r="H1527" s="1">
        <v>45287</v>
      </c>
      <c r="I1527" s="1">
        <f t="shared" si="143"/>
        <v>45287</v>
      </c>
      <c r="J1527" s="2">
        <v>10.5</v>
      </c>
      <c r="K1527" s="2">
        <v>81.73</v>
      </c>
      <c r="L1527" t="s">
        <v>47</v>
      </c>
      <c r="M1527" s="2">
        <v>397</v>
      </c>
      <c r="N1527" s="2">
        <v>2</v>
      </c>
      <c r="O1527" s="2">
        <f t="shared" si="146"/>
        <v>198.5</v>
      </c>
      <c r="P1527" s="2">
        <f t="shared" si="147"/>
        <v>2.4287287409763856</v>
      </c>
      <c r="Q1527" s="3">
        <f t="shared" si="148"/>
        <v>0.20586901763224183</v>
      </c>
    </row>
    <row r="1528" spans="1:17" hidden="1" x14ac:dyDescent="0.25">
      <c r="A1528" t="s">
        <v>1604</v>
      </c>
      <c r="B1528" t="s">
        <v>56</v>
      </c>
      <c r="C1528" t="s">
        <v>54</v>
      </c>
      <c r="D1528" t="str">
        <f t="shared" si="144"/>
        <v>FL</v>
      </c>
      <c r="E1528" t="str">
        <f t="shared" si="145"/>
        <v>Southeast</v>
      </c>
      <c r="F1528" t="s">
        <v>37</v>
      </c>
      <c r="G1528" s="1">
        <v>44936</v>
      </c>
      <c r="H1528" s="1">
        <v>44940</v>
      </c>
      <c r="I1528" s="1">
        <f t="shared" si="143"/>
        <v>44940</v>
      </c>
      <c r="J1528" s="2">
        <v>6.7</v>
      </c>
      <c r="K1528" s="2">
        <v>54.04</v>
      </c>
      <c r="L1528" t="s">
        <v>15</v>
      </c>
      <c r="M1528" s="2">
        <v>392</v>
      </c>
      <c r="N1528" s="2">
        <v>4</v>
      </c>
      <c r="O1528" s="2">
        <f t="shared" si="146"/>
        <v>98</v>
      </c>
      <c r="P1528" s="2">
        <f t="shared" si="147"/>
        <v>1.8134715025906736</v>
      </c>
      <c r="Q1528" s="3">
        <f t="shared" si="148"/>
        <v>0.13785714285714284</v>
      </c>
    </row>
    <row r="1529" spans="1:17" hidden="1" x14ac:dyDescent="0.25">
      <c r="A1529" t="s">
        <v>1605</v>
      </c>
      <c r="B1529" t="s">
        <v>27</v>
      </c>
      <c r="C1529" t="s">
        <v>21</v>
      </c>
      <c r="D1529" t="str">
        <f t="shared" si="144"/>
        <v>TX</v>
      </c>
      <c r="E1529" t="str">
        <f t="shared" si="145"/>
        <v>Southwest</v>
      </c>
      <c r="F1529" t="s">
        <v>25</v>
      </c>
      <c r="G1529" s="1">
        <v>45118</v>
      </c>
      <c r="H1529" s="1">
        <v>45132</v>
      </c>
      <c r="I1529" s="1">
        <f t="shared" si="143"/>
        <v>45132</v>
      </c>
      <c r="J1529" s="2">
        <v>9</v>
      </c>
      <c r="K1529" s="2">
        <v>126.74</v>
      </c>
      <c r="L1529" t="s">
        <v>47</v>
      </c>
      <c r="M1529" s="2">
        <v>979</v>
      </c>
      <c r="N1529" s="2">
        <v>4</v>
      </c>
      <c r="O1529" s="2">
        <f t="shared" si="146"/>
        <v>244.75</v>
      </c>
      <c r="P1529" s="2">
        <f t="shared" si="147"/>
        <v>1.9311188259428753</v>
      </c>
      <c r="Q1529" s="3">
        <f t="shared" si="148"/>
        <v>0.12945863125638407</v>
      </c>
    </row>
    <row r="1530" spans="1:17" x14ac:dyDescent="0.25">
      <c r="A1530" t="s">
        <v>1606</v>
      </c>
      <c r="B1530" t="s">
        <v>35</v>
      </c>
      <c r="C1530" t="s">
        <v>36</v>
      </c>
      <c r="D1530" t="str">
        <f t="shared" si="144"/>
        <v>OR</v>
      </c>
      <c r="E1530" t="str">
        <f t="shared" si="145"/>
        <v>West</v>
      </c>
      <c r="F1530" t="s">
        <v>59</v>
      </c>
      <c r="G1530" s="1">
        <v>44999</v>
      </c>
      <c r="H1530" s="1">
        <v>45007</v>
      </c>
      <c r="I1530" s="1">
        <f t="shared" si="143"/>
        <v>45007</v>
      </c>
      <c r="J1530" s="2">
        <v>15.1</v>
      </c>
      <c r="K1530" s="2">
        <v>193.28</v>
      </c>
      <c r="L1530" t="s">
        <v>47</v>
      </c>
      <c r="M1530" s="2">
        <v>1427</v>
      </c>
      <c r="N1530" s="2">
        <v>4</v>
      </c>
      <c r="O1530" s="2">
        <f t="shared" si="146"/>
        <v>356.75</v>
      </c>
      <c r="P1530" s="2">
        <f t="shared" si="147"/>
        <v>1.845767798013245</v>
      </c>
      <c r="Q1530" s="3">
        <f t="shared" si="148"/>
        <v>0.13544498948843728</v>
      </c>
    </row>
    <row r="1531" spans="1:17" hidden="1" x14ac:dyDescent="0.25">
      <c r="A1531" t="s">
        <v>1607</v>
      </c>
      <c r="B1531" t="s">
        <v>27</v>
      </c>
      <c r="C1531" t="s">
        <v>28</v>
      </c>
      <c r="D1531" t="str">
        <f t="shared" si="144"/>
        <v>TX</v>
      </c>
      <c r="E1531" t="str">
        <f t="shared" si="145"/>
        <v>Southwest</v>
      </c>
      <c r="F1531" t="s">
        <v>25</v>
      </c>
      <c r="G1531" s="1">
        <v>44952</v>
      </c>
      <c r="H1531" s="1">
        <v>44957</v>
      </c>
      <c r="I1531" s="1">
        <f t="shared" si="143"/>
        <v>44957</v>
      </c>
      <c r="J1531" s="2">
        <v>20.7</v>
      </c>
      <c r="K1531" s="2">
        <v>254.82</v>
      </c>
      <c r="L1531" t="s">
        <v>15</v>
      </c>
      <c r="M1531" s="2">
        <v>1956</v>
      </c>
      <c r="N1531" s="2">
        <v>5</v>
      </c>
      <c r="O1531" s="2">
        <f t="shared" si="146"/>
        <v>391.2</v>
      </c>
      <c r="P1531" s="2">
        <f t="shared" si="147"/>
        <v>1.5352013185778197</v>
      </c>
      <c r="Q1531" s="3">
        <f t="shared" si="148"/>
        <v>0.13027607361963189</v>
      </c>
    </row>
    <row r="1532" spans="1:17" hidden="1" x14ac:dyDescent="0.25">
      <c r="A1532" t="s">
        <v>1608</v>
      </c>
      <c r="B1532" t="s">
        <v>51</v>
      </c>
      <c r="C1532" t="s">
        <v>21</v>
      </c>
      <c r="D1532" t="str">
        <f t="shared" si="144"/>
        <v>TX</v>
      </c>
      <c r="E1532" t="str">
        <f t="shared" si="145"/>
        <v>Southwest</v>
      </c>
      <c r="F1532" t="s">
        <v>59</v>
      </c>
      <c r="G1532" s="1">
        <v>45254</v>
      </c>
      <c r="H1532" s="1">
        <v>45259</v>
      </c>
      <c r="I1532" s="1">
        <f t="shared" si="143"/>
        <v>45259</v>
      </c>
      <c r="J1532" s="2">
        <v>18.100000000000001</v>
      </c>
      <c r="K1532" s="2">
        <v>132.04</v>
      </c>
      <c r="L1532" t="s">
        <v>15</v>
      </c>
      <c r="M1532" s="2">
        <v>863</v>
      </c>
      <c r="N1532" s="2">
        <v>5</v>
      </c>
      <c r="O1532" s="2">
        <f t="shared" si="146"/>
        <v>172.6</v>
      </c>
      <c r="P1532" s="2">
        <f t="shared" si="147"/>
        <v>1.3071796425325659</v>
      </c>
      <c r="Q1532" s="3">
        <f t="shared" si="148"/>
        <v>0.15300115874855155</v>
      </c>
    </row>
    <row r="1533" spans="1:17" hidden="1" x14ac:dyDescent="0.25">
      <c r="A1533" t="s">
        <v>1609</v>
      </c>
      <c r="B1533" t="s">
        <v>49</v>
      </c>
      <c r="C1533" t="s">
        <v>31</v>
      </c>
      <c r="D1533" t="str">
        <f t="shared" si="144"/>
        <v>NY</v>
      </c>
      <c r="E1533" t="str">
        <f t="shared" si="145"/>
        <v>Northeast</v>
      </c>
      <c r="F1533" t="s">
        <v>59</v>
      </c>
      <c r="G1533" s="1">
        <v>45038</v>
      </c>
      <c r="H1533" s="1">
        <v>45045</v>
      </c>
      <c r="I1533" s="1">
        <f t="shared" si="143"/>
        <v>45045</v>
      </c>
      <c r="J1533" s="2">
        <v>22.1</v>
      </c>
      <c r="K1533" s="2">
        <v>305.98</v>
      </c>
      <c r="L1533" t="s">
        <v>15</v>
      </c>
      <c r="M1533" s="2">
        <v>2347</v>
      </c>
      <c r="N1533" s="2">
        <v>7</v>
      </c>
      <c r="O1533" s="2">
        <f t="shared" si="146"/>
        <v>335.28571428571428</v>
      </c>
      <c r="P1533" s="2">
        <f t="shared" si="147"/>
        <v>1.0957765680296563</v>
      </c>
      <c r="Q1533" s="3">
        <f t="shared" si="148"/>
        <v>0.13037068598210483</v>
      </c>
    </row>
    <row r="1534" spans="1:17" hidden="1" x14ac:dyDescent="0.25">
      <c r="A1534" t="s">
        <v>1610</v>
      </c>
      <c r="B1534" t="s">
        <v>49</v>
      </c>
      <c r="C1534" t="s">
        <v>21</v>
      </c>
      <c r="D1534" t="str">
        <f t="shared" si="144"/>
        <v>TX</v>
      </c>
      <c r="E1534" t="str">
        <f t="shared" si="145"/>
        <v>Southwest</v>
      </c>
      <c r="F1534" t="s">
        <v>18</v>
      </c>
      <c r="G1534" s="1">
        <v>45043</v>
      </c>
      <c r="H1534" s="1">
        <v>45047</v>
      </c>
      <c r="I1534" s="1">
        <f t="shared" si="143"/>
        <v>45047</v>
      </c>
      <c r="J1534" s="2">
        <v>28.8</v>
      </c>
      <c r="K1534" s="2">
        <v>151.25</v>
      </c>
      <c r="L1534" t="s">
        <v>15</v>
      </c>
      <c r="M1534" s="2">
        <v>919</v>
      </c>
      <c r="N1534" s="2">
        <v>4</v>
      </c>
      <c r="O1534" s="2">
        <f t="shared" si="146"/>
        <v>229.75</v>
      </c>
      <c r="P1534" s="2">
        <f t="shared" si="147"/>
        <v>1.51900826446281</v>
      </c>
      <c r="Q1534" s="3">
        <f t="shared" si="148"/>
        <v>0.16458106637649619</v>
      </c>
    </row>
    <row r="1535" spans="1:17" hidden="1" x14ac:dyDescent="0.25">
      <c r="A1535" t="s">
        <v>1611</v>
      </c>
      <c r="B1535" t="s">
        <v>20</v>
      </c>
      <c r="C1535" t="s">
        <v>46</v>
      </c>
      <c r="D1535" t="str">
        <f t="shared" si="144"/>
        <v>MA</v>
      </c>
      <c r="E1535" t="str">
        <f t="shared" si="145"/>
        <v>Northeast</v>
      </c>
      <c r="F1535" t="s">
        <v>25</v>
      </c>
      <c r="G1535" s="1">
        <v>45251</v>
      </c>
      <c r="H1535" s="1">
        <v>45254</v>
      </c>
      <c r="I1535" s="1">
        <f t="shared" si="143"/>
        <v>45254</v>
      </c>
      <c r="J1535" s="2">
        <v>46.2</v>
      </c>
      <c r="K1535" s="2">
        <v>94.64</v>
      </c>
      <c r="L1535" t="s">
        <v>15</v>
      </c>
      <c r="M1535" s="2">
        <v>176</v>
      </c>
      <c r="N1535" s="2">
        <v>3</v>
      </c>
      <c r="O1535" s="2">
        <f t="shared" si="146"/>
        <v>58.666666666666664</v>
      </c>
      <c r="P1535" s="2">
        <f t="shared" si="147"/>
        <v>0.61989292758523529</v>
      </c>
      <c r="Q1535" s="3">
        <f t="shared" si="148"/>
        <v>0.53772727272727272</v>
      </c>
    </row>
    <row r="1536" spans="1:17" hidden="1" x14ac:dyDescent="0.25">
      <c r="A1536" t="s">
        <v>1612</v>
      </c>
      <c r="B1536" t="s">
        <v>49</v>
      </c>
      <c r="C1536" t="s">
        <v>40</v>
      </c>
      <c r="D1536" t="str">
        <f t="shared" si="144"/>
        <v>MI</v>
      </c>
      <c r="E1536" t="str">
        <f t="shared" si="145"/>
        <v>Midwest</v>
      </c>
      <c r="F1536" t="s">
        <v>18</v>
      </c>
      <c r="G1536" s="1">
        <v>45133</v>
      </c>
      <c r="H1536" s="1">
        <v>45138</v>
      </c>
      <c r="I1536" s="1">
        <f t="shared" si="143"/>
        <v>45138</v>
      </c>
      <c r="J1536" s="2">
        <v>49.5</v>
      </c>
      <c r="K1536" s="2">
        <v>383.77</v>
      </c>
      <c r="L1536" t="s">
        <v>15</v>
      </c>
      <c r="M1536" s="2">
        <v>2055</v>
      </c>
      <c r="N1536" s="2">
        <v>5</v>
      </c>
      <c r="O1536" s="2">
        <f t="shared" si="146"/>
        <v>411</v>
      </c>
      <c r="P1536" s="2">
        <f t="shared" si="147"/>
        <v>1.0709539567970399</v>
      </c>
      <c r="Q1536" s="3">
        <f t="shared" si="148"/>
        <v>0.18674939172749391</v>
      </c>
    </row>
    <row r="1537" spans="1:17" hidden="1" x14ac:dyDescent="0.25">
      <c r="A1537" t="s">
        <v>1613</v>
      </c>
      <c r="B1537" t="s">
        <v>39</v>
      </c>
      <c r="C1537" t="s">
        <v>44</v>
      </c>
      <c r="D1537" t="str">
        <f t="shared" si="144"/>
        <v>IL</v>
      </c>
      <c r="E1537" t="str">
        <f t="shared" si="145"/>
        <v>Midwest</v>
      </c>
      <c r="F1537" t="s">
        <v>14</v>
      </c>
      <c r="G1537" s="1">
        <v>45026</v>
      </c>
      <c r="I1537" s="1">
        <f t="shared" si="143"/>
        <v>45032</v>
      </c>
      <c r="J1537" s="2">
        <v>39.200000000000003</v>
      </c>
      <c r="K1537" s="2">
        <v>293.51</v>
      </c>
      <c r="L1537" t="s">
        <v>15</v>
      </c>
      <c r="M1537" s="2">
        <v>1732</v>
      </c>
      <c r="N1537" s="2">
        <v>6</v>
      </c>
      <c r="O1537" s="2">
        <f t="shared" si="146"/>
        <v>288.66666666666669</v>
      </c>
      <c r="P1537" s="2">
        <f t="shared" si="147"/>
        <v>0.9834985747220425</v>
      </c>
      <c r="Q1537" s="3">
        <f t="shared" si="148"/>
        <v>0.16946304849884525</v>
      </c>
    </row>
    <row r="1538" spans="1:17" x14ac:dyDescent="0.25">
      <c r="A1538" t="s">
        <v>1614</v>
      </c>
      <c r="B1538" t="s">
        <v>39</v>
      </c>
      <c r="C1538" t="s">
        <v>70</v>
      </c>
      <c r="D1538" t="str">
        <f t="shared" si="144"/>
        <v>CA</v>
      </c>
      <c r="E1538" t="str">
        <f t="shared" si="145"/>
        <v>West</v>
      </c>
      <c r="F1538" t="s">
        <v>59</v>
      </c>
      <c r="G1538" s="1">
        <v>45203</v>
      </c>
      <c r="H1538" s="1">
        <v>45208</v>
      </c>
      <c r="I1538" s="1">
        <f t="shared" ref="I1538:I1601" si="149">IF(H1538="", G1538 + N1538, H1538)</f>
        <v>45208</v>
      </c>
      <c r="J1538" s="2">
        <v>17.7</v>
      </c>
      <c r="K1538" s="2">
        <v>168.61</v>
      </c>
      <c r="L1538" t="s">
        <v>15</v>
      </c>
      <c r="M1538" s="2">
        <v>1439</v>
      </c>
      <c r="N1538" s="2">
        <v>5</v>
      </c>
      <c r="O1538" s="2">
        <f t="shared" si="146"/>
        <v>287.8</v>
      </c>
      <c r="P1538" s="2">
        <f t="shared" si="147"/>
        <v>1.7068975742838501</v>
      </c>
      <c r="Q1538" s="3">
        <f t="shared" si="148"/>
        <v>0.11717164697706742</v>
      </c>
    </row>
    <row r="1539" spans="1:17" hidden="1" x14ac:dyDescent="0.25">
      <c r="A1539" t="s">
        <v>1615</v>
      </c>
      <c r="B1539" t="s">
        <v>39</v>
      </c>
      <c r="C1539" t="s">
        <v>57</v>
      </c>
      <c r="D1539" t="str">
        <f t="shared" si="144"/>
        <v>MN</v>
      </c>
      <c r="E1539" t="str">
        <f t="shared" si="145"/>
        <v>Midwest</v>
      </c>
      <c r="F1539" t="s">
        <v>32</v>
      </c>
      <c r="G1539" s="1">
        <v>45015</v>
      </c>
      <c r="H1539" s="1">
        <v>45017</v>
      </c>
      <c r="I1539" s="1">
        <f t="shared" si="149"/>
        <v>45017</v>
      </c>
      <c r="J1539" s="2">
        <v>27.9</v>
      </c>
      <c r="K1539" s="2">
        <v>138.4</v>
      </c>
      <c r="L1539" t="s">
        <v>15</v>
      </c>
      <c r="M1539" s="2">
        <v>860</v>
      </c>
      <c r="N1539" s="2">
        <v>2</v>
      </c>
      <c r="O1539" s="2">
        <f t="shared" si="146"/>
        <v>430</v>
      </c>
      <c r="P1539" s="2">
        <f t="shared" si="147"/>
        <v>3.1069364161849711</v>
      </c>
      <c r="Q1539" s="3">
        <f t="shared" si="148"/>
        <v>0.16093023255813954</v>
      </c>
    </row>
    <row r="1540" spans="1:17" hidden="1" x14ac:dyDescent="0.25">
      <c r="A1540" t="s">
        <v>1616</v>
      </c>
      <c r="B1540" t="s">
        <v>27</v>
      </c>
      <c r="C1540" t="s">
        <v>17</v>
      </c>
      <c r="D1540" t="str">
        <f t="shared" si="144"/>
        <v>GA</v>
      </c>
      <c r="E1540" t="str">
        <f t="shared" si="145"/>
        <v>Southeast</v>
      </c>
      <c r="F1540" t="s">
        <v>18</v>
      </c>
      <c r="G1540" s="1">
        <v>44942</v>
      </c>
      <c r="H1540" s="1">
        <v>44947</v>
      </c>
      <c r="I1540" s="1">
        <f t="shared" si="149"/>
        <v>44947</v>
      </c>
      <c r="J1540" s="2">
        <v>4.5999999999999996</v>
      </c>
      <c r="K1540" s="2">
        <v>291.01</v>
      </c>
      <c r="L1540" t="s">
        <v>15</v>
      </c>
      <c r="M1540" s="2">
        <v>2171</v>
      </c>
      <c r="N1540" s="2">
        <v>5</v>
      </c>
      <c r="O1540" s="2">
        <f t="shared" si="146"/>
        <v>434.2</v>
      </c>
      <c r="P1540" s="2">
        <f t="shared" si="147"/>
        <v>1.4920449469090409</v>
      </c>
      <c r="Q1540" s="3">
        <f t="shared" si="148"/>
        <v>0.13404421925380008</v>
      </c>
    </row>
    <row r="1541" spans="1:17" hidden="1" x14ac:dyDescent="0.25">
      <c r="A1541" t="s">
        <v>1617</v>
      </c>
      <c r="B1541" t="s">
        <v>12</v>
      </c>
      <c r="C1541" t="s">
        <v>40</v>
      </c>
      <c r="D1541" t="str">
        <f t="shared" si="144"/>
        <v>MI</v>
      </c>
      <c r="E1541" t="str">
        <f t="shared" si="145"/>
        <v>Midwest</v>
      </c>
      <c r="F1541" t="s">
        <v>14</v>
      </c>
      <c r="G1541" s="1">
        <v>44994</v>
      </c>
      <c r="H1541" s="1">
        <v>45001</v>
      </c>
      <c r="I1541" s="1">
        <f t="shared" si="149"/>
        <v>45001</v>
      </c>
      <c r="J1541" s="2">
        <v>13.6</v>
      </c>
      <c r="K1541" s="2">
        <v>261.01</v>
      </c>
      <c r="L1541" t="s">
        <v>15</v>
      </c>
      <c r="M1541" s="2">
        <v>2029</v>
      </c>
      <c r="N1541" s="2">
        <v>7</v>
      </c>
      <c r="O1541" s="2">
        <f t="shared" si="146"/>
        <v>289.85714285714283</v>
      </c>
      <c r="P1541" s="2">
        <f t="shared" si="147"/>
        <v>1.1105212170305461</v>
      </c>
      <c r="Q1541" s="3">
        <f t="shared" si="148"/>
        <v>0.12863972400197141</v>
      </c>
    </row>
    <row r="1542" spans="1:17" hidden="1" x14ac:dyDescent="0.25">
      <c r="A1542" t="s">
        <v>1618</v>
      </c>
      <c r="B1542" t="s">
        <v>35</v>
      </c>
      <c r="C1542" t="s">
        <v>44</v>
      </c>
      <c r="D1542" t="str">
        <f t="shared" si="144"/>
        <v>IL</v>
      </c>
      <c r="E1542" t="str">
        <f t="shared" si="145"/>
        <v>Midwest</v>
      </c>
      <c r="F1542" t="s">
        <v>42</v>
      </c>
      <c r="G1542" s="1">
        <v>44992</v>
      </c>
      <c r="H1542" s="1">
        <v>44996</v>
      </c>
      <c r="I1542" s="1">
        <f t="shared" si="149"/>
        <v>44996</v>
      </c>
      <c r="J1542" s="2">
        <v>137.5</v>
      </c>
      <c r="K1542" s="2">
        <v>165.56</v>
      </c>
      <c r="L1542" t="s">
        <v>15</v>
      </c>
      <c r="M1542" s="2">
        <v>136</v>
      </c>
      <c r="N1542" s="2">
        <v>4</v>
      </c>
      <c r="O1542" s="2">
        <f t="shared" si="146"/>
        <v>34</v>
      </c>
      <c r="P1542" s="2">
        <f t="shared" si="147"/>
        <v>0.20536361439961343</v>
      </c>
      <c r="Q1542" s="3">
        <f t="shared" si="148"/>
        <v>1.2173529411764705</v>
      </c>
    </row>
    <row r="1543" spans="1:17" hidden="1" x14ac:dyDescent="0.25">
      <c r="A1543" t="s">
        <v>1619</v>
      </c>
      <c r="B1543" t="s">
        <v>56</v>
      </c>
      <c r="C1543" t="s">
        <v>57</v>
      </c>
      <c r="D1543" t="str">
        <f t="shared" si="144"/>
        <v>MN</v>
      </c>
      <c r="E1543" t="str">
        <f t="shared" si="145"/>
        <v>Midwest</v>
      </c>
      <c r="F1543" t="s">
        <v>37</v>
      </c>
      <c r="G1543" s="1">
        <v>45036</v>
      </c>
      <c r="H1543" s="1">
        <v>45043</v>
      </c>
      <c r="I1543" s="1">
        <f t="shared" si="149"/>
        <v>45043</v>
      </c>
      <c r="J1543" s="2">
        <v>17.100000000000001</v>
      </c>
      <c r="K1543" s="2">
        <v>303.85000000000002</v>
      </c>
      <c r="L1543" t="s">
        <v>15</v>
      </c>
      <c r="M1543" s="2">
        <v>2247</v>
      </c>
      <c r="N1543" s="2">
        <v>7</v>
      </c>
      <c r="O1543" s="2">
        <f t="shared" si="146"/>
        <v>321</v>
      </c>
      <c r="P1543" s="2">
        <f t="shared" si="147"/>
        <v>1.0564423235148921</v>
      </c>
      <c r="Q1543" s="3">
        <f t="shared" si="148"/>
        <v>0.13522474410324878</v>
      </c>
    </row>
    <row r="1544" spans="1:17" x14ac:dyDescent="0.25">
      <c r="A1544" t="s">
        <v>1620</v>
      </c>
      <c r="B1544" t="s">
        <v>27</v>
      </c>
      <c r="C1544" t="s">
        <v>81</v>
      </c>
      <c r="D1544" t="str">
        <f t="shared" si="144"/>
        <v>CO</v>
      </c>
      <c r="E1544" t="str">
        <f t="shared" si="145"/>
        <v>West</v>
      </c>
      <c r="F1544" t="s">
        <v>14</v>
      </c>
      <c r="G1544" s="1">
        <v>45267</v>
      </c>
      <c r="H1544" s="1">
        <v>45268</v>
      </c>
      <c r="I1544" s="1">
        <f t="shared" si="149"/>
        <v>45268</v>
      </c>
      <c r="J1544" s="2">
        <v>25.9</v>
      </c>
      <c r="K1544" s="2">
        <v>60.74</v>
      </c>
      <c r="L1544" t="s">
        <v>15</v>
      </c>
      <c r="M1544" s="2">
        <v>131</v>
      </c>
      <c r="N1544" s="2">
        <v>1</v>
      </c>
      <c r="O1544" s="2">
        <f t="shared" si="146"/>
        <v>131</v>
      </c>
      <c r="P1544" s="2">
        <f t="shared" si="147"/>
        <v>2.1567336187026669</v>
      </c>
      <c r="Q1544" s="3">
        <f t="shared" si="148"/>
        <v>0.4636641221374046</v>
      </c>
    </row>
    <row r="1545" spans="1:17" x14ac:dyDescent="0.25">
      <c r="A1545" t="s">
        <v>1621</v>
      </c>
      <c r="B1545" t="s">
        <v>35</v>
      </c>
      <c r="C1545" t="s">
        <v>81</v>
      </c>
      <c r="D1545" t="str">
        <f t="shared" si="144"/>
        <v>CO</v>
      </c>
      <c r="E1545" t="str">
        <f t="shared" si="145"/>
        <v>West</v>
      </c>
      <c r="F1545" t="s">
        <v>18</v>
      </c>
      <c r="G1545" s="1">
        <v>45202</v>
      </c>
      <c r="H1545" s="1">
        <v>45206</v>
      </c>
      <c r="I1545" s="1">
        <f t="shared" si="149"/>
        <v>45206</v>
      </c>
      <c r="J1545" s="2">
        <v>18.3</v>
      </c>
      <c r="K1545" s="2">
        <v>172.23</v>
      </c>
      <c r="L1545" t="s">
        <v>15</v>
      </c>
      <c r="M1545" s="2">
        <v>1000</v>
      </c>
      <c r="N1545" s="2">
        <v>4</v>
      </c>
      <c r="O1545" s="2">
        <f t="shared" si="146"/>
        <v>250</v>
      </c>
      <c r="P1545" s="2">
        <f t="shared" si="147"/>
        <v>1.4515473494745399</v>
      </c>
      <c r="Q1545" s="3">
        <f t="shared" si="148"/>
        <v>0.17222999999999999</v>
      </c>
    </row>
    <row r="1546" spans="1:17" x14ac:dyDescent="0.25">
      <c r="A1546" t="s">
        <v>1622</v>
      </c>
      <c r="B1546" t="s">
        <v>56</v>
      </c>
      <c r="C1546" t="s">
        <v>81</v>
      </c>
      <c r="D1546" t="str">
        <f t="shared" si="144"/>
        <v>CO</v>
      </c>
      <c r="E1546" t="str">
        <f t="shared" si="145"/>
        <v>West</v>
      </c>
      <c r="F1546" t="s">
        <v>25</v>
      </c>
      <c r="G1546" s="1">
        <v>45280</v>
      </c>
      <c r="H1546" s="1">
        <v>45282</v>
      </c>
      <c r="I1546" s="1">
        <f t="shared" si="149"/>
        <v>45282</v>
      </c>
      <c r="J1546" s="2">
        <v>6.8</v>
      </c>
      <c r="K1546" s="2">
        <v>30.04</v>
      </c>
      <c r="L1546" t="s">
        <v>15</v>
      </c>
      <c r="M1546" s="2">
        <v>152</v>
      </c>
      <c r="N1546" s="2">
        <v>2</v>
      </c>
      <c r="O1546" s="2">
        <f t="shared" si="146"/>
        <v>76</v>
      </c>
      <c r="P1546" s="2">
        <f t="shared" si="147"/>
        <v>2.5299600532623168</v>
      </c>
      <c r="Q1546" s="3">
        <f t="shared" si="148"/>
        <v>0.19763157894736841</v>
      </c>
    </row>
    <row r="1547" spans="1:17" hidden="1" x14ac:dyDescent="0.25">
      <c r="A1547" t="s">
        <v>1623</v>
      </c>
      <c r="B1547" t="s">
        <v>56</v>
      </c>
      <c r="C1547" t="s">
        <v>52</v>
      </c>
      <c r="D1547" t="str">
        <f t="shared" si="144"/>
        <v>AZ</v>
      </c>
      <c r="E1547" t="str">
        <f t="shared" si="145"/>
        <v>Southwest</v>
      </c>
      <c r="F1547" t="s">
        <v>32</v>
      </c>
      <c r="G1547" s="1">
        <v>45280</v>
      </c>
      <c r="H1547" s="1">
        <v>45281</v>
      </c>
      <c r="I1547" s="1">
        <f t="shared" si="149"/>
        <v>45281</v>
      </c>
      <c r="J1547" s="2">
        <v>34.700000000000003</v>
      </c>
      <c r="K1547" s="2">
        <v>86.21</v>
      </c>
      <c r="L1547" t="s">
        <v>15</v>
      </c>
      <c r="M1547" s="2">
        <v>224</v>
      </c>
      <c r="N1547" s="2">
        <v>1</v>
      </c>
      <c r="O1547" s="2">
        <f t="shared" si="146"/>
        <v>224</v>
      </c>
      <c r="P1547" s="2">
        <f t="shared" si="147"/>
        <v>2.5983064609674051</v>
      </c>
      <c r="Q1547" s="3">
        <f t="shared" si="148"/>
        <v>0.38486607142857138</v>
      </c>
    </row>
    <row r="1548" spans="1:17" hidden="1" x14ac:dyDescent="0.25">
      <c r="A1548" t="s">
        <v>1624</v>
      </c>
      <c r="B1548" t="s">
        <v>20</v>
      </c>
      <c r="C1548" t="s">
        <v>21</v>
      </c>
      <c r="D1548" t="str">
        <f t="shared" si="144"/>
        <v>TX</v>
      </c>
      <c r="E1548" t="str">
        <f t="shared" si="145"/>
        <v>Southwest</v>
      </c>
      <c r="F1548" t="s">
        <v>25</v>
      </c>
      <c r="G1548" s="1">
        <v>45108</v>
      </c>
      <c r="H1548" s="1">
        <v>45120</v>
      </c>
      <c r="I1548" s="1">
        <f t="shared" si="149"/>
        <v>45120</v>
      </c>
      <c r="J1548" s="2">
        <v>36.799999999999997</v>
      </c>
      <c r="K1548" s="2">
        <v>150.78</v>
      </c>
      <c r="L1548" t="s">
        <v>47</v>
      </c>
      <c r="M1548" s="2">
        <v>882</v>
      </c>
      <c r="N1548" s="2">
        <v>2</v>
      </c>
      <c r="O1548" s="2">
        <f t="shared" si="146"/>
        <v>441</v>
      </c>
      <c r="P1548" s="2">
        <f t="shared" si="147"/>
        <v>2.9247910863509747</v>
      </c>
      <c r="Q1548" s="3">
        <f t="shared" si="148"/>
        <v>0.17095238095238097</v>
      </c>
    </row>
    <row r="1549" spans="1:17" x14ac:dyDescent="0.25">
      <c r="A1549" t="s">
        <v>1625</v>
      </c>
      <c r="B1549" t="s">
        <v>12</v>
      </c>
      <c r="C1549" t="s">
        <v>13</v>
      </c>
      <c r="D1549" t="str">
        <f t="shared" si="144"/>
        <v>CA</v>
      </c>
      <c r="E1549" t="str">
        <f t="shared" si="145"/>
        <v>West</v>
      </c>
      <c r="F1549" t="s">
        <v>37</v>
      </c>
      <c r="G1549" s="1">
        <v>45267</v>
      </c>
      <c r="H1549" s="1">
        <v>45271</v>
      </c>
      <c r="I1549" s="1">
        <f t="shared" si="149"/>
        <v>45271</v>
      </c>
      <c r="J1549" s="2">
        <v>28.7</v>
      </c>
      <c r="K1549" s="2">
        <v>238.39</v>
      </c>
      <c r="L1549" t="s">
        <v>15</v>
      </c>
      <c r="M1549" s="2">
        <v>1229</v>
      </c>
      <c r="N1549" s="2">
        <v>4</v>
      </c>
      <c r="O1549" s="2">
        <f t="shared" si="146"/>
        <v>307.25</v>
      </c>
      <c r="P1549" s="2">
        <f t="shared" si="147"/>
        <v>1.2888543982549605</v>
      </c>
      <c r="Q1549" s="3">
        <f t="shared" si="148"/>
        <v>0.1939707078925956</v>
      </c>
    </row>
    <row r="1550" spans="1:17" hidden="1" x14ac:dyDescent="0.25">
      <c r="A1550" t="s">
        <v>1626</v>
      </c>
      <c r="B1550" t="s">
        <v>30</v>
      </c>
      <c r="C1550" t="s">
        <v>17</v>
      </c>
      <c r="D1550" t="str">
        <f t="shared" si="144"/>
        <v>GA</v>
      </c>
      <c r="E1550" t="str">
        <f t="shared" si="145"/>
        <v>Southeast</v>
      </c>
      <c r="F1550" t="s">
        <v>32</v>
      </c>
      <c r="G1550" s="1">
        <v>44942</v>
      </c>
      <c r="H1550" s="1">
        <v>44945</v>
      </c>
      <c r="I1550" s="1">
        <f t="shared" si="149"/>
        <v>44945</v>
      </c>
      <c r="J1550" s="2">
        <v>8.1</v>
      </c>
      <c r="K1550" s="2">
        <v>171.35</v>
      </c>
      <c r="L1550" t="s">
        <v>67</v>
      </c>
      <c r="M1550" s="2">
        <v>1305</v>
      </c>
      <c r="N1550" s="2">
        <v>3</v>
      </c>
      <c r="O1550" s="2">
        <f t="shared" si="146"/>
        <v>435</v>
      </c>
      <c r="P1550" s="2">
        <f t="shared" si="147"/>
        <v>2.5386635541289757</v>
      </c>
      <c r="Q1550" s="3">
        <f t="shared" si="148"/>
        <v>0.13130268199233716</v>
      </c>
    </row>
    <row r="1551" spans="1:17" x14ac:dyDescent="0.25">
      <c r="A1551" t="s">
        <v>1627</v>
      </c>
      <c r="B1551" t="s">
        <v>51</v>
      </c>
      <c r="C1551" t="s">
        <v>24</v>
      </c>
      <c r="D1551" t="str">
        <f t="shared" si="144"/>
        <v>WA</v>
      </c>
      <c r="E1551" t="str">
        <f t="shared" si="145"/>
        <v>West</v>
      </c>
      <c r="F1551" t="s">
        <v>18</v>
      </c>
      <c r="G1551" s="1">
        <v>45134</v>
      </c>
      <c r="H1551" s="1">
        <v>45137</v>
      </c>
      <c r="I1551" s="1">
        <f t="shared" si="149"/>
        <v>45137</v>
      </c>
      <c r="J1551" s="2">
        <v>34.6</v>
      </c>
      <c r="K1551" s="2">
        <v>91.64</v>
      </c>
      <c r="L1551" t="s">
        <v>15</v>
      </c>
      <c r="M1551" s="2">
        <v>344</v>
      </c>
      <c r="N1551" s="2">
        <v>3</v>
      </c>
      <c r="O1551" s="2">
        <f t="shared" si="146"/>
        <v>114.66666666666667</v>
      </c>
      <c r="P1551" s="2">
        <f t="shared" si="147"/>
        <v>1.251273097628401</v>
      </c>
      <c r="Q1551" s="3">
        <f t="shared" si="148"/>
        <v>0.26639534883720928</v>
      </c>
    </row>
    <row r="1552" spans="1:17" x14ac:dyDescent="0.25">
      <c r="A1552" t="s">
        <v>1628</v>
      </c>
      <c r="B1552" t="s">
        <v>49</v>
      </c>
      <c r="C1552" t="s">
        <v>81</v>
      </c>
      <c r="D1552" t="str">
        <f t="shared" si="144"/>
        <v>CO</v>
      </c>
      <c r="E1552" t="str">
        <f t="shared" si="145"/>
        <v>West</v>
      </c>
      <c r="F1552" t="s">
        <v>14</v>
      </c>
      <c r="G1552" s="1">
        <v>45145</v>
      </c>
      <c r="I1552" s="1">
        <f t="shared" si="149"/>
        <v>45149</v>
      </c>
      <c r="J1552" s="2">
        <v>52.4</v>
      </c>
      <c r="K1552" s="2">
        <v>194.19</v>
      </c>
      <c r="L1552" t="s">
        <v>15</v>
      </c>
      <c r="M1552" s="2">
        <v>1071</v>
      </c>
      <c r="N1552" s="2">
        <v>4</v>
      </c>
      <c r="O1552" s="2">
        <f t="shared" si="146"/>
        <v>267.75</v>
      </c>
      <c r="P1552" s="2">
        <f t="shared" si="147"/>
        <v>1.3788042638652867</v>
      </c>
      <c r="Q1552" s="3">
        <f t="shared" si="148"/>
        <v>0.18131652661064426</v>
      </c>
    </row>
    <row r="1553" spans="1:17" hidden="1" x14ac:dyDescent="0.25">
      <c r="A1553" t="s">
        <v>1629</v>
      </c>
      <c r="B1553" t="s">
        <v>49</v>
      </c>
      <c r="C1553" t="s">
        <v>44</v>
      </c>
      <c r="D1553" t="str">
        <f t="shared" si="144"/>
        <v>IL</v>
      </c>
      <c r="E1553" t="str">
        <f t="shared" si="145"/>
        <v>Midwest</v>
      </c>
      <c r="F1553" t="s">
        <v>25</v>
      </c>
      <c r="G1553" s="1">
        <v>45266</v>
      </c>
      <c r="H1553" s="1">
        <v>45273</v>
      </c>
      <c r="I1553" s="1">
        <f t="shared" si="149"/>
        <v>45273</v>
      </c>
      <c r="J1553" s="2">
        <v>10.8</v>
      </c>
      <c r="K1553" s="2">
        <v>225.38</v>
      </c>
      <c r="L1553" t="s">
        <v>15</v>
      </c>
      <c r="M1553" s="2">
        <v>1369</v>
      </c>
      <c r="N1553" s="2">
        <v>7</v>
      </c>
      <c r="O1553" s="2">
        <f t="shared" si="146"/>
        <v>195.57142857142858</v>
      </c>
      <c r="P1553" s="2">
        <f t="shared" si="147"/>
        <v>0.86774083135783386</v>
      </c>
      <c r="Q1553" s="3">
        <f t="shared" si="148"/>
        <v>0.16463111760409058</v>
      </c>
    </row>
    <row r="1554" spans="1:17" x14ac:dyDescent="0.25">
      <c r="A1554" t="s">
        <v>1630</v>
      </c>
      <c r="B1554" t="s">
        <v>20</v>
      </c>
      <c r="C1554" t="s">
        <v>70</v>
      </c>
      <c r="D1554" t="str">
        <f t="shared" si="144"/>
        <v>CA</v>
      </c>
      <c r="E1554" t="str">
        <f t="shared" si="145"/>
        <v>West</v>
      </c>
      <c r="F1554" t="s">
        <v>14</v>
      </c>
      <c r="G1554" s="1">
        <v>45038</v>
      </c>
      <c r="H1554" s="1">
        <v>45043</v>
      </c>
      <c r="I1554" s="1">
        <f t="shared" si="149"/>
        <v>45043</v>
      </c>
      <c r="J1554" s="2">
        <v>16.5</v>
      </c>
      <c r="K1554" s="2">
        <v>282.23</v>
      </c>
      <c r="L1554" t="s">
        <v>15</v>
      </c>
      <c r="M1554" s="2">
        <v>2056</v>
      </c>
      <c r="N1554" s="2">
        <v>5</v>
      </c>
      <c r="O1554" s="2">
        <f t="shared" si="146"/>
        <v>411.2</v>
      </c>
      <c r="P1554" s="2">
        <f t="shared" si="147"/>
        <v>1.4569677213620096</v>
      </c>
      <c r="Q1554" s="3">
        <f t="shared" si="148"/>
        <v>0.13727140077821012</v>
      </c>
    </row>
    <row r="1555" spans="1:17" hidden="1" x14ac:dyDescent="0.25">
      <c r="A1555" t="s">
        <v>1631</v>
      </c>
      <c r="B1555" t="s">
        <v>39</v>
      </c>
      <c r="C1555" t="s">
        <v>44</v>
      </c>
      <c r="D1555" t="str">
        <f t="shared" si="144"/>
        <v>IL</v>
      </c>
      <c r="E1555" t="str">
        <f t="shared" si="145"/>
        <v>Midwest</v>
      </c>
      <c r="F1555" t="s">
        <v>59</v>
      </c>
      <c r="G1555" s="1">
        <v>45279</v>
      </c>
      <c r="H1555" s="1">
        <v>45283</v>
      </c>
      <c r="I1555" s="1">
        <f t="shared" si="149"/>
        <v>45283</v>
      </c>
      <c r="J1555" s="2">
        <v>108.5</v>
      </c>
      <c r="K1555" s="2">
        <v>299.16000000000003</v>
      </c>
      <c r="L1555" t="s">
        <v>15</v>
      </c>
      <c r="M1555" s="2">
        <v>1240</v>
      </c>
      <c r="N1555" s="2">
        <v>4</v>
      </c>
      <c r="O1555" s="2">
        <f t="shared" si="146"/>
        <v>310</v>
      </c>
      <c r="P1555" s="2">
        <f t="shared" si="147"/>
        <v>1.0362347907474261</v>
      </c>
      <c r="Q1555" s="3">
        <f t="shared" si="148"/>
        <v>0.24125806451612905</v>
      </c>
    </row>
    <row r="1556" spans="1:17" x14ac:dyDescent="0.25">
      <c r="A1556" t="s">
        <v>1632</v>
      </c>
      <c r="B1556" t="s">
        <v>56</v>
      </c>
      <c r="C1556" t="s">
        <v>70</v>
      </c>
      <c r="D1556" t="str">
        <f t="shared" si="144"/>
        <v>CA</v>
      </c>
      <c r="E1556" t="str">
        <f t="shared" si="145"/>
        <v>West</v>
      </c>
      <c r="F1556" t="s">
        <v>25</v>
      </c>
      <c r="G1556" s="1">
        <v>45018</v>
      </c>
      <c r="H1556" s="1">
        <v>45022</v>
      </c>
      <c r="I1556" s="1">
        <f t="shared" si="149"/>
        <v>45022</v>
      </c>
      <c r="J1556" s="2">
        <v>5.8</v>
      </c>
      <c r="K1556" s="2">
        <v>173.56</v>
      </c>
      <c r="L1556" t="s">
        <v>15</v>
      </c>
      <c r="M1556" s="2">
        <v>1355</v>
      </c>
      <c r="N1556" s="2">
        <v>4</v>
      </c>
      <c r="O1556" s="2">
        <f t="shared" si="146"/>
        <v>338.75</v>
      </c>
      <c r="P1556" s="2">
        <f t="shared" si="147"/>
        <v>1.9517746024429592</v>
      </c>
      <c r="Q1556" s="3">
        <f t="shared" si="148"/>
        <v>0.12808856088560885</v>
      </c>
    </row>
    <row r="1557" spans="1:17" hidden="1" x14ac:dyDescent="0.25">
      <c r="A1557" t="s">
        <v>1633</v>
      </c>
      <c r="B1557" t="s">
        <v>39</v>
      </c>
      <c r="C1557" t="s">
        <v>44</v>
      </c>
      <c r="D1557" t="str">
        <f t="shared" si="144"/>
        <v>IL</v>
      </c>
      <c r="E1557" t="str">
        <f t="shared" si="145"/>
        <v>Midwest</v>
      </c>
      <c r="F1557" t="s">
        <v>18</v>
      </c>
      <c r="G1557" s="1">
        <v>45220</v>
      </c>
      <c r="H1557" s="1">
        <v>45233</v>
      </c>
      <c r="I1557" s="1">
        <f t="shared" si="149"/>
        <v>45233</v>
      </c>
      <c r="J1557" s="2">
        <v>31</v>
      </c>
      <c r="K1557" s="2">
        <v>346.62</v>
      </c>
      <c r="L1557" t="s">
        <v>47</v>
      </c>
      <c r="M1557" s="2">
        <v>2201</v>
      </c>
      <c r="N1557" s="2">
        <v>8</v>
      </c>
      <c r="O1557" s="2">
        <f t="shared" si="146"/>
        <v>275.125</v>
      </c>
      <c r="P1557" s="2">
        <f t="shared" si="147"/>
        <v>0.79373665685765393</v>
      </c>
      <c r="Q1557" s="3">
        <f t="shared" si="148"/>
        <v>0.15748296228986824</v>
      </c>
    </row>
    <row r="1558" spans="1:17" hidden="1" x14ac:dyDescent="0.25">
      <c r="A1558" t="s">
        <v>1634</v>
      </c>
      <c r="B1558" t="s">
        <v>23</v>
      </c>
      <c r="C1558" t="s">
        <v>17</v>
      </c>
      <c r="D1558" t="str">
        <f t="shared" si="144"/>
        <v>GA</v>
      </c>
      <c r="E1558" t="str">
        <f t="shared" si="145"/>
        <v>Southeast</v>
      </c>
      <c r="F1558" t="s">
        <v>59</v>
      </c>
      <c r="G1558" s="1">
        <v>45215</v>
      </c>
      <c r="H1558" s="1">
        <v>45216</v>
      </c>
      <c r="I1558" s="1">
        <f t="shared" si="149"/>
        <v>45216</v>
      </c>
      <c r="J1558" s="2">
        <v>58.5</v>
      </c>
      <c r="K1558" s="2">
        <v>83.51</v>
      </c>
      <c r="L1558" t="s">
        <v>15</v>
      </c>
      <c r="M1558" s="2">
        <v>122</v>
      </c>
      <c r="N1558" s="2">
        <v>1</v>
      </c>
      <c r="O1558" s="2">
        <f t="shared" si="146"/>
        <v>122</v>
      </c>
      <c r="P1558" s="2">
        <f t="shared" si="147"/>
        <v>1.4609028858819302</v>
      </c>
      <c r="Q1558" s="3">
        <f t="shared" si="148"/>
        <v>0.68450819672131147</v>
      </c>
    </row>
    <row r="1559" spans="1:17" x14ac:dyDescent="0.25">
      <c r="A1559" t="s">
        <v>1635</v>
      </c>
      <c r="B1559" t="s">
        <v>12</v>
      </c>
      <c r="C1559" t="s">
        <v>81</v>
      </c>
      <c r="D1559" t="str">
        <f t="shared" si="144"/>
        <v>CO</v>
      </c>
      <c r="E1559" t="str">
        <f t="shared" si="145"/>
        <v>West</v>
      </c>
      <c r="F1559" t="s">
        <v>37</v>
      </c>
      <c r="G1559" s="1">
        <v>45203</v>
      </c>
      <c r="H1559" s="1">
        <v>45205</v>
      </c>
      <c r="I1559" s="1">
        <f t="shared" si="149"/>
        <v>45205</v>
      </c>
      <c r="J1559" s="2">
        <v>18.3</v>
      </c>
      <c r="K1559" s="2">
        <v>119.1</v>
      </c>
      <c r="L1559" t="s">
        <v>60</v>
      </c>
      <c r="M1559" s="2">
        <v>860</v>
      </c>
      <c r="N1559" s="2">
        <v>2</v>
      </c>
      <c r="O1559" s="2">
        <f t="shared" si="146"/>
        <v>430</v>
      </c>
      <c r="P1559" s="2">
        <f t="shared" si="147"/>
        <v>3.6104114189756511</v>
      </c>
      <c r="Q1559" s="3">
        <f t="shared" si="148"/>
        <v>0.13848837209302325</v>
      </c>
    </row>
    <row r="1560" spans="1:17" hidden="1" x14ac:dyDescent="0.25">
      <c r="A1560" t="s">
        <v>1636</v>
      </c>
      <c r="B1560" t="s">
        <v>39</v>
      </c>
      <c r="C1560" t="s">
        <v>40</v>
      </c>
      <c r="D1560" t="str">
        <f t="shared" si="144"/>
        <v>MI</v>
      </c>
      <c r="E1560" t="str">
        <f t="shared" si="145"/>
        <v>Midwest</v>
      </c>
      <c r="F1560" t="s">
        <v>37</v>
      </c>
      <c r="G1560" s="1">
        <v>45157</v>
      </c>
      <c r="H1560" s="1">
        <v>45162</v>
      </c>
      <c r="I1560" s="1">
        <f t="shared" si="149"/>
        <v>45162</v>
      </c>
      <c r="J1560" s="2">
        <v>38.1</v>
      </c>
      <c r="K1560" s="2">
        <v>172.76</v>
      </c>
      <c r="L1560" t="s">
        <v>15</v>
      </c>
      <c r="M1560" s="2">
        <v>1115</v>
      </c>
      <c r="N1560" s="2">
        <v>5</v>
      </c>
      <c r="O1560" s="2">
        <f t="shared" si="146"/>
        <v>223</v>
      </c>
      <c r="P1560" s="2">
        <f t="shared" si="147"/>
        <v>1.2908080574206993</v>
      </c>
      <c r="Q1560" s="3">
        <f t="shared" si="148"/>
        <v>0.15494170403587443</v>
      </c>
    </row>
    <row r="1561" spans="1:17" x14ac:dyDescent="0.25">
      <c r="A1561" t="s">
        <v>1637</v>
      </c>
      <c r="B1561" t="s">
        <v>12</v>
      </c>
      <c r="C1561" t="s">
        <v>13</v>
      </c>
      <c r="D1561" t="str">
        <f t="shared" si="144"/>
        <v>CA</v>
      </c>
      <c r="E1561" t="str">
        <f t="shared" si="145"/>
        <v>West</v>
      </c>
      <c r="F1561" t="s">
        <v>18</v>
      </c>
      <c r="G1561" s="1">
        <v>45052</v>
      </c>
      <c r="I1561" s="1">
        <f t="shared" si="149"/>
        <v>45055</v>
      </c>
      <c r="J1561" s="2">
        <v>42.5</v>
      </c>
      <c r="K1561" s="2">
        <v>287</v>
      </c>
      <c r="L1561" t="s">
        <v>15</v>
      </c>
      <c r="M1561" s="2">
        <v>1527</v>
      </c>
      <c r="N1561" s="2">
        <v>3</v>
      </c>
      <c r="O1561" s="2">
        <f t="shared" si="146"/>
        <v>509</v>
      </c>
      <c r="P1561" s="2">
        <f t="shared" si="147"/>
        <v>1.7735191637630663</v>
      </c>
      <c r="Q1561" s="3">
        <f t="shared" si="148"/>
        <v>0.1879502292075966</v>
      </c>
    </row>
    <row r="1562" spans="1:17" hidden="1" x14ac:dyDescent="0.25">
      <c r="A1562" t="s">
        <v>1638</v>
      </c>
      <c r="B1562" t="s">
        <v>49</v>
      </c>
      <c r="C1562" t="s">
        <v>17</v>
      </c>
      <c r="D1562" t="str">
        <f t="shared" si="144"/>
        <v>GA</v>
      </c>
      <c r="E1562" t="str">
        <f t="shared" si="145"/>
        <v>Southeast</v>
      </c>
      <c r="F1562" t="s">
        <v>37</v>
      </c>
      <c r="G1562" s="1">
        <v>45215</v>
      </c>
      <c r="H1562" s="1">
        <v>45218</v>
      </c>
      <c r="I1562" s="1">
        <f t="shared" si="149"/>
        <v>45218</v>
      </c>
      <c r="J1562" s="2">
        <v>15.2</v>
      </c>
      <c r="K1562" s="2">
        <v>160.36000000000001</v>
      </c>
      <c r="L1562" t="s">
        <v>15</v>
      </c>
      <c r="M1562" s="2">
        <v>1098</v>
      </c>
      <c r="N1562" s="2">
        <v>3</v>
      </c>
      <c r="O1562" s="2">
        <f t="shared" si="146"/>
        <v>366</v>
      </c>
      <c r="P1562" s="2">
        <f t="shared" si="147"/>
        <v>2.2823646794711898</v>
      </c>
      <c r="Q1562" s="3">
        <f t="shared" si="148"/>
        <v>0.14604735883424408</v>
      </c>
    </row>
    <row r="1563" spans="1:17" x14ac:dyDescent="0.25">
      <c r="A1563" t="s">
        <v>1639</v>
      </c>
      <c r="B1563" t="s">
        <v>12</v>
      </c>
      <c r="C1563" t="s">
        <v>70</v>
      </c>
      <c r="D1563" t="str">
        <f t="shared" si="144"/>
        <v>CA</v>
      </c>
      <c r="E1563" t="str">
        <f t="shared" si="145"/>
        <v>West</v>
      </c>
      <c r="F1563" t="s">
        <v>25</v>
      </c>
      <c r="G1563" s="1">
        <v>45143</v>
      </c>
      <c r="H1563" s="1">
        <v>45149</v>
      </c>
      <c r="I1563" s="1">
        <f t="shared" si="149"/>
        <v>45149</v>
      </c>
      <c r="J1563" s="2">
        <v>23.4</v>
      </c>
      <c r="K1563" s="2">
        <v>311.04000000000002</v>
      </c>
      <c r="L1563" t="s">
        <v>15</v>
      </c>
      <c r="M1563" s="2">
        <v>2447</v>
      </c>
      <c r="N1563" s="2">
        <v>6</v>
      </c>
      <c r="O1563" s="2">
        <f t="shared" si="146"/>
        <v>407.83333333333331</v>
      </c>
      <c r="P1563" s="2">
        <f t="shared" si="147"/>
        <v>1.3111925582990396</v>
      </c>
      <c r="Q1563" s="3">
        <f t="shared" si="148"/>
        <v>0.12711074785451573</v>
      </c>
    </row>
    <row r="1564" spans="1:17" x14ac:dyDescent="0.25">
      <c r="A1564" t="s">
        <v>1640</v>
      </c>
      <c r="B1564" t="s">
        <v>23</v>
      </c>
      <c r="C1564" t="s">
        <v>70</v>
      </c>
      <c r="D1564" t="str">
        <f t="shared" si="144"/>
        <v>CA</v>
      </c>
      <c r="E1564" t="str">
        <f t="shared" si="145"/>
        <v>West</v>
      </c>
      <c r="F1564" t="s">
        <v>14</v>
      </c>
      <c r="G1564" s="1">
        <v>44938</v>
      </c>
      <c r="H1564" s="1">
        <v>44943</v>
      </c>
      <c r="I1564" s="1">
        <f t="shared" si="149"/>
        <v>44943</v>
      </c>
      <c r="J1564" s="2">
        <v>31.7</v>
      </c>
      <c r="K1564" s="2">
        <v>195.68</v>
      </c>
      <c r="L1564" t="s">
        <v>15</v>
      </c>
      <c r="M1564" s="2">
        <v>1114</v>
      </c>
      <c r="N1564" s="2">
        <v>5</v>
      </c>
      <c r="O1564" s="2">
        <f t="shared" si="146"/>
        <v>222.8</v>
      </c>
      <c r="P1564" s="2">
        <f t="shared" si="147"/>
        <v>1.1385936222403925</v>
      </c>
      <c r="Q1564" s="3">
        <f t="shared" si="148"/>
        <v>0.17565529622980253</v>
      </c>
    </row>
    <row r="1565" spans="1:17" hidden="1" x14ac:dyDescent="0.25">
      <c r="A1565" t="s">
        <v>1641</v>
      </c>
      <c r="B1565" t="s">
        <v>51</v>
      </c>
      <c r="C1565" t="s">
        <v>28</v>
      </c>
      <c r="D1565" t="str">
        <f t="shared" si="144"/>
        <v>TX</v>
      </c>
      <c r="E1565" t="str">
        <f t="shared" si="145"/>
        <v>Southwest</v>
      </c>
      <c r="F1565" t="s">
        <v>59</v>
      </c>
      <c r="G1565" s="1">
        <v>44938</v>
      </c>
      <c r="H1565" s="1">
        <v>44941</v>
      </c>
      <c r="I1565" s="1">
        <f t="shared" si="149"/>
        <v>44941</v>
      </c>
      <c r="J1565" s="2">
        <v>16.3</v>
      </c>
      <c r="K1565" s="2">
        <v>105.67</v>
      </c>
      <c r="L1565" t="s">
        <v>15</v>
      </c>
      <c r="M1565" s="2">
        <v>759</v>
      </c>
      <c r="N1565" s="2">
        <v>3</v>
      </c>
      <c r="O1565" s="2">
        <f t="shared" si="146"/>
        <v>253</v>
      </c>
      <c r="P1565" s="2">
        <f t="shared" si="147"/>
        <v>2.3942462382890128</v>
      </c>
      <c r="Q1565" s="3">
        <f t="shared" si="148"/>
        <v>0.13922266139657444</v>
      </c>
    </row>
    <row r="1566" spans="1:17" hidden="1" x14ac:dyDescent="0.25">
      <c r="A1566" t="s">
        <v>1642</v>
      </c>
      <c r="B1566" t="s">
        <v>49</v>
      </c>
      <c r="C1566" t="s">
        <v>28</v>
      </c>
      <c r="D1566" t="str">
        <f t="shared" si="144"/>
        <v>TX</v>
      </c>
      <c r="E1566" t="str">
        <f t="shared" si="145"/>
        <v>Southwest</v>
      </c>
      <c r="F1566" t="s">
        <v>59</v>
      </c>
      <c r="G1566" s="1">
        <v>44999</v>
      </c>
      <c r="H1566" s="1">
        <v>45004</v>
      </c>
      <c r="I1566" s="1">
        <f t="shared" si="149"/>
        <v>45004</v>
      </c>
      <c r="J1566" s="2">
        <v>34</v>
      </c>
      <c r="K1566" s="2">
        <v>267.20999999999998</v>
      </c>
      <c r="L1566" t="s">
        <v>15</v>
      </c>
      <c r="M1566" s="2">
        <v>2176</v>
      </c>
      <c r="N1566" s="2">
        <v>5</v>
      </c>
      <c r="O1566" s="2">
        <f t="shared" si="146"/>
        <v>435.2</v>
      </c>
      <c r="P1566" s="2">
        <f t="shared" si="147"/>
        <v>1.628681561318813</v>
      </c>
      <c r="Q1566" s="3">
        <f t="shared" si="148"/>
        <v>0.12279871323529411</v>
      </c>
    </row>
    <row r="1567" spans="1:17" hidden="1" x14ac:dyDescent="0.25">
      <c r="A1567" t="s">
        <v>1643</v>
      </c>
      <c r="B1567" t="s">
        <v>12</v>
      </c>
      <c r="C1567" t="s">
        <v>28</v>
      </c>
      <c r="D1567" t="str">
        <f t="shared" si="144"/>
        <v>TX</v>
      </c>
      <c r="E1567" t="str">
        <f t="shared" si="145"/>
        <v>Southwest</v>
      </c>
      <c r="F1567" t="s">
        <v>37</v>
      </c>
      <c r="G1567" s="1">
        <v>45279</v>
      </c>
      <c r="H1567" s="1">
        <v>45282</v>
      </c>
      <c r="I1567" s="1">
        <f t="shared" si="149"/>
        <v>45282</v>
      </c>
      <c r="J1567" s="2">
        <v>10</v>
      </c>
      <c r="K1567" s="2">
        <v>60.18</v>
      </c>
      <c r="L1567" t="s">
        <v>15</v>
      </c>
      <c r="M1567" s="2">
        <v>287</v>
      </c>
      <c r="N1567" s="2">
        <v>3</v>
      </c>
      <c r="O1567" s="2">
        <f t="shared" si="146"/>
        <v>95.666666666666671</v>
      </c>
      <c r="P1567" s="2">
        <f t="shared" si="147"/>
        <v>1.5896754181898749</v>
      </c>
      <c r="Q1567" s="3">
        <f t="shared" si="148"/>
        <v>0.20968641114982578</v>
      </c>
    </row>
    <row r="1568" spans="1:17" hidden="1" x14ac:dyDescent="0.25">
      <c r="A1568" t="s">
        <v>1644</v>
      </c>
      <c r="B1568" t="s">
        <v>20</v>
      </c>
      <c r="C1568" t="s">
        <v>31</v>
      </c>
      <c r="D1568" t="str">
        <f t="shared" si="144"/>
        <v>NY</v>
      </c>
      <c r="E1568" t="str">
        <f t="shared" si="145"/>
        <v>Northeast</v>
      </c>
      <c r="F1568" t="s">
        <v>14</v>
      </c>
      <c r="G1568" s="1">
        <v>45237</v>
      </c>
      <c r="H1568" s="1">
        <v>45241</v>
      </c>
      <c r="I1568" s="1">
        <f t="shared" si="149"/>
        <v>45241</v>
      </c>
      <c r="J1568" s="2">
        <v>17.399999999999999</v>
      </c>
      <c r="K1568" s="2">
        <v>250.16</v>
      </c>
      <c r="L1568" t="s">
        <v>15</v>
      </c>
      <c r="M1568" s="2">
        <v>1356</v>
      </c>
      <c r="N1568" s="2">
        <v>4</v>
      </c>
      <c r="O1568" s="2">
        <f t="shared" si="146"/>
        <v>339</v>
      </c>
      <c r="P1568" s="2">
        <f t="shared" si="147"/>
        <v>1.3551327150623602</v>
      </c>
      <c r="Q1568" s="3">
        <f t="shared" si="148"/>
        <v>0.18448377581120945</v>
      </c>
    </row>
    <row r="1569" spans="1:17" hidden="1" x14ac:dyDescent="0.25">
      <c r="A1569" t="s">
        <v>1645</v>
      </c>
      <c r="B1569" t="s">
        <v>56</v>
      </c>
      <c r="C1569" t="s">
        <v>17</v>
      </c>
      <c r="D1569" t="str">
        <f t="shared" si="144"/>
        <v>GA</v>
      </c>
      <c r="E1569" t="str">
        <f t="shared" si="145"/>
        <v>Southeast</v>
      </c>
      <c r="F1569" t="s">
        <v>25</v>
      </c>
      <c r="G1569" s="1">
        <v>45223</v>
      </c>
      <c r="H1569" s="1">
        <v>45225</v>
      </c>
      <c r="I1569" s="1">
        <f t="shared" si="149"/>
        <v>45225</v>
      </c>
      <c r="J1569" s="2">
        <v>20</v>
      </c>
      <c r="K1569" s="2">
        <v>113.54</v>
      </c>
      <c r="L1569" t="s">
        <v>15</v>
      </c>
      <c r="M1569" s="2">
        <v>737</v>
      </c>
      <c r="N1569" s="2">
        <v>2</v>
      </c>
      <c r="O1569" s="2">
        <f t="shared" si="146"/>
        <v>368.5</v>
      </c>
      <c r="P1569" s="2">
        <f t="shared" si="147"/>
        <v>3.2455522282895894</v>
      </c>
      <c r="Q1569" s="3">
        <f t="shared" si="148"/>
        <v>0.15405698778833107</v>
      </c>
    </row>
    <row r="1570" spans="1:17" hidden="1" x14ac:dyDescent="0.25">
      <c r="A1570" t="s">
        <v>1646</v>
      </c>
      <c r="B1570" t="s">
        <v>27</v>
      </c>
      <c r="C1570" t="s">
        <v>52</v>
      </c>
      <c r="D1570" t="str">
        <f t="shared" si="144"/>
        <v>AZ</v>
      </c>
      <c r="E1570" t="str">
        <f t="shared" si="145"/>
        <v>Southwest</v>
      </c>
      <c r="F1570" t="s">
        <v>37</v>
      </c>
      <c r="G1570" s="1">
        <v>45119</v>
      </c>
      <c r="H1570" s="1">
        <v>45122</v>
      </c>
      <c r="I1570" s="1">
        <f t="shared" si="149"/>
        <v>45122</v>
      </c>
      <c r="J1570" s="2">
        <v>11.5</v>
      </c>
      <c r="K1570" s="2">
        <v>148.69</v>
      </c>
      <c r="L1570" t="s">
        <v>15</v>
      </c>
      <c r="M1570" s="2">
        <v>1189</v>
      </c>
      <c r="N1570" s="2">
        <v>3</v>
      </c>
      <c r="O1570" s="2">
        <f t="shared" si="146"/>
        <v>396.33333333333331</v>
      </c>
      <c r="P1570" s="2">
        <f t="shared" si="147"/>
        <v>2.665500930347255</v>
      </c>
      <c r="Q1570" s="3">
        <f t="shared" si="148"/>
        <v>0.12505466778805718</v>
      </c>
    </row>
    <row r="1571" spans="1:17" x14ac:dyDescent="0.25">
      <c r="A1571" t="s">
        <v>1647</v>
      </c>
      <c r="B1571" t="s">
        <v>35</v>
      </c>
      <c r="C1571" t="s">
        <v>81</v>
      </c>
      <c r="D1571" t="str">
        <f t="shared" si="144"/>
        <v>CO</v>
      </c>
      <c r="E1571" t="str">
        <f t="shared" si="145"/>
        <v>West</v>
      </c>
      <c r="F1571" t="s">
        <v>18</v>
      </c>
      <c r="G1571" s="1">
        <v>45271</v>
      </c>
      <c r="H1571" s="1">
        <v>45274</v>
      </c>
      <c r="I1571" s="1">
        <f t="shared" si="149"/>
        <v>45274</v>
      </c>
      <c r="J1571" s="2">
        <v>35.1</v>
      </c>
      <c r="K1571" s="2">
        <v>226.64</v>
      </c>
      <c r="L1571" t="s">
        <v>15</v>
      </c>
      <c r="M1571" s="2">
        <v>1000</v>
      </c>
      <c r="N1571" s="2">
        <v>3</v>
      </c>
      <c r="O1571" s="2">
        <f t="shared" si="146"/>
        <v>333.33333333333331</v>
      </c>
      <c r="P1571" s="2">
        <f t="shared" si="147"/>
        <v>1.4707612660312979</v>
      </c>
      <c r="Q1571" s="3">
        <f t="shared" si="148"/>
        <v>0.22663999999999998</v>
      </c>
    </row>
    <row r="1572" spans="1:17" hidden="1" x14ac:dyDescent="0.25">
      <c r="A1572" t="s">
        <v>1648</v>
      </c>
      <c r="B1572" t="s">
        <v>20</v>
      </c>
      <c r="C1572" t="s">
        <v>57</v>
      </c>
      <c r="D1572" t="str">
        <f t="shared" si="144"/>
        <v>MN</v>
      </c>
      <c r="E1572" t="str">
        <f t="shared" si="145"/>
        <v>Midwest</v>
      </c>
      <c r="F1572" t="s">
        <v>42</v>
      </c>
      <c r="G1572" s="1">
        <v>45215</v>
      </c>
      <c r="H1572" s="1">
        <v>45221</v>
      </c>
      <c r="I1572" s="1">
        <f t="shared" si="149"/>
        <v>45221</v>
      </c>
      <c r="J1572" s="2">
        <v>32.299999999999997</v>
      </c>
      <c r="K1572" s="2">
        <v>304.81</v>
      </c>
      <c r="L1572" t="s">
        <v>15</v>
      </c>
      <c r="M1572" s="2">
        <v>2156</v>
      </c>
      <c r="N1572" s="2">
        <v>6</v>
      </c>
      <c r="O1572" s="2">
        <f t="shared" si="146"/>
        <v>359.33333333333331</v>
      </c>
      <c r="P1572" s="2">
        <f t="shared" si="147"/>
        <v>1.1788764585588836</v>
      </c>
      <c r="Q1572" s="3">
        <f t="shared" si="148"/>
        <v>0.14137755102040817</v>
      </c>
    </row>
    <row r="1573" spans="1:17" hidden="1" x14ac:dyDescent="0.25">
      <c r="A1573" t="s">
        <v>1649</v>
      </c>
      <c r="B1573" t="s">
        <v>12</v>
      </c>
      <c r="C1573" t="s">
        <v>54</v>
      </c>
      <c r="D1573" t="str">
        <f t="shared" ref="D1573:D1633" si="150">IF(C1573="Atlanta","GA",
IF(C1573="Boston","MA",
IF(C1573="Chicago","IL",
IF(C1573="Dallas","TX",
IF(C1573="Denver","CO",
IF(C1573="Detroit","MI",
IF(C1573="Houston","TX",
IF(C1573="Los Angeles","CA",
IF(C1573="Miami","FL",
IF(C1573="Minneapolis","MN",
IF(C1573="New York","NY",
IF(C1573="Phoenix","AZ",
IF(C1573="Portland","OR",
IF(C1573="San Francisco","CA",
IF(C1573="Seattle","WA","Unknown")))))))))))))))</f>
        <v>FL</v>
      </c>
      <c r="E1573" t="str">
        <f t="shared" ref="E1573:E1633" si="151">IF(OR(D1573="NY",D1573="NJ",D1573="PA",D1573="MA",D1573="CT",D1573="RI",D1573="VT",D1573="NH",D1573="ME"),"Northeast",
IF(OR(D1573="FL",D1573="GA",D1573="AL",D1573="MS",D1573="SC",D1573="NC",D1573="TN",D1573="KY"),"Southeast",
IF(OR(D1573="IL",D1573="IN",D1573="OH",D1573="MI",D1573="WI",D1573="MN",D1573="IA",D1573="MO",D1573="KS",D1573="NE",D1573="ND",D1573="SD"),"Midwest",
IF(OR(D1573="TX",D1573="OK",D1573="NM",D1573="AZ"),"Southwest",
IF(OR(D1573="CA",D1573="OR",D1573="WA",D1573="NV",D1573="CO",D1573="UT",D1573="ID",D1573="MT",D1573="WY",D1573="AK",D1573="HI"),"West","Other")))))</f>
        <v>Southeast</v>
      </c>
      <c r="F1573" t="s">
        <v>14</v>
      </c>
      <c r="G1573" s="1">
        <v>45123</v>
      </c>
      <c r="H1573" s="1">
        <v>45125</v>
      </c>
      <c r="I1573" s="1">
        <f t="shared" si="149"/>
        <v>45125</v>
      </c>
      <c r="J1573" s="2">
        <v>38.4</v>
      </c>
      <c r="K1573" s="2">
        <v>177.3</v>
      </c>
      <c r="L1573" t="s">
        <v>15</v>
      </c>
      <c r="M1573" s="2">
        <v>916</v>
      </c>
      <c r="N1573" s="2">
        <v>2</v>
      </c>
      <c r="O1573" s="2">
        <f t="shared" ref="O1573:O1633" si="152">M1573/N1573</f>
        <v>458</v>
      </c>
      <c r="P1573" s="2">
        <f t="shared" ref="P1573:P1633" si="153">O1573/K1573</f>
        <v>2.5831923293852226</v>
      </c>
      <c r="Q1573" s="3">
        <f t="shared" ref="Q1573:Q1633" si="154">K1573/M1573</f>
        <v>0.19355895196506551</v>
      </c>
    </row>
    <row r="1574" spans="1:17" x14ac:dyDescent="0.25">
      <c r="A1574" t="s">
        <v>1650</v>
      </c>
      <c r="B1574" t="s">
        <v>27</v>
      </c>
      <c r="C1574" t="s">
        <v>24</v>
      </c>
      <c r="D1574" t="str">
        <f t="shared" si="150"/>
        <v>WA</v>
      </c>
      <c r="E1574" t="str">
        <f t="shared" si="151"/>
        <v>West</v>
      </c>
      <c r="F1574" t="s">
        <v>59</v>
      </c>
      <c r="G1574" s="1">
        <v>45135</v>
      </c>
      <c r="H1574" s="1">
        <v>45147</v>
      </c>
      <c r="I1574" s="1">
        <f t="shared" si="149"/>
        <v>45147</v>
      </c>
      <c r="J1574" s="2">
        <v>71.900000000000006</v>
      </c>
      <c r="K1574" s="2">
        <v>123.54</v>
      </c>
      <c r="L1574" t="s">
        <v>47</v>
      </c>
      <c r="M1574" s="2">
        <v>450</v>
      </c>
      <c r="N1574" s="2">
        <v>2</v>
      </c>
      <c r="O1574" s="2">
        <f t="shared" si="152"/>
        <v>225</v>
      </c>
      <c r="P1574" s="2">
        <f t="shared" si="153"/>
        <v>1.8212724623603691</v>
      </c>
      <c r="Q1574" s="3">
        <f t="shared" si="154"/>
        <v>0.27453333333333335</v>
      </c>
    </row>
    <row r="1575" spans="1:17" hidden="1" x14ac:dyDescent="0.25">
      <c r="A1575" t="s">
        <v>1651</v>
      </c>
      <c r="B1575" t="s">
        <v>35</v>
      </c>
      <c r="C1575" t="s">
        <v>31</v>
      </c>
      <c r="D1575" t="str">
        <f t="shared" si="150"/>
        <v>NY</v>
      </c>
      <c r="E1575" t="str">
        <f t="shared" si="151"/>
        <v>Northeast</v>
      </c>
      <c r="F1575" t="s">
        <v>25</v>
      </c>
      <c r="G1575" s="1">
        <v>45275</v>
      </c>
      <c r="H1575" s="1">
        <v>45279</v>
      </c>
      <c r="I1575" s="1">
        <f t="shared" si="149"/>
        <v>45279</v>
      </c>
      <c r="J1575" s="2">
        <v>10.7</v>
      </c>
      <c r="K1575" s="2">
        <v>219.96</v>
      </c>
      <c r="L1575" t="s">
        <v>15</v>
      </c>
      <c r="M1575" s="2">
        <v>1474</v>
      </c>
      <c r="N1575" s="2">
        <v>4</v>
      </c>
      <c r="O1575" s="2">
        <f t="shared" si="152"/>
        <v>368.5</v>
      </c>
      <c r="P1575" s="2">
        <f t="shared" si="153"/>
        <v>1.6753046008365158</v>
      </c>
      <c r="Q1575" s="3">
        <f t="shared" si="154"/>
        <v>0.14922659430122118</v>
      </c>
    </row>
    <row r="1576" spans="1:17" hidden="1" x14ac:dyDescent="0.25">
      <c r="A1576" t="s">
        <v>1652</v>
      </c>
      <c r="B1576" t="s">
        <v>49</v>
      </c>
      <c r="C1576" t="s">
        <v>54</v>
      </c>
      <c r="D1576" t="str">
        <f t="shared" si="150"/>
        <v>FL</v>
      </c>
      <c r="E1576" t="str">
        <f t="shared" si="151"/>
        <v>Southeast</v>
      </c>
      <c r="F1576" t="s">
        <v>59</v>
      </c>
      <c r="G1576" s="1">
        <v>44940</v>
      </c>
      <c r="H1576" s="1">
        <v>44944</v>
      </c>
      <c r="I1576" s="1">
        <f t="shared" si="149"/>
        <v>44944</v>
      </c>
      <c r="J1576" s="2">
        <v>20.6</v>
      </c>
      <c r="K1576" s="2">
        <v>181.01</v>
      </c>
      <c r="L1576" t="s">
        <v>62</v>
      </c>
      <c r="M1576" s="2">
        <v>1523</v>
      </c>
      <c r="N1576" s="2">
        <v>4</v>
      </c>
      <c r="O1576" s="2">
        <f t="shared" si="152"/>
        <v>380.75</v>
      </c>
      <c r="P1576" s="2">
        <f t="shared" si="153"/>
        <v>2.1034749461355728</v>
      </c>
      <c r="Q1576" s="3">
        <f t="shared" si="154"/>
        <v>0.11885095206828628</v>
      </c>
    </row>
    <row r="1577" spans="1:17" hidden="1" x14ac:dyDescent="0.25">
      <c r="A1577" t="s">
        <v>1654</v>
      </c>
      <c r="B1577" t="s">
        <v>23</v>
      </c>
      <c r="C1577" t="s">
        <v>40</v>
      </c>
      <c r="D1577" t="str">
        <f t="shared" si="150"/>
        <v>MI</v>
      </c>
      <c r="E1577" t="str">
        <f t="shared" si="151"/>
        <v>Midwest</v>
      </c>
      <c r="F1577" t="s">
        <v>18</v>
      </c>
      <c r="G1577" s="1">
        <v>45093</v>
      </c>
      <c r="H1577" s="1">
        <v>45112</v>
      </c>
      <c r="I1577" s="1">
        <f t="shared" si="149"/>
        <v>45112</v>
      </c>
      <c r="J1577" s="2">
        <v>23.1</v>
      </c>
      <c r="K1577" s="2">
        <v>323.18</v>
      </c>
      <c r="L1577" t="s">
        <v>47</v>
      </c>
      <c r="M1577" s="2">
        <v>1989</v>
      </c>
      <c r="N1577" s="2">
        <v>6</v>
      </c>
      <c r="O1577" s="2">
        <f t="shared" si="152"/>
        <v>331.5</v>
      </c>
      <c r="P1577" s="2">
        <f t="shared" si="153"/>
        <v>1.0257441673370877</v>
      </c>
      <c r="Q1577" s="3">
        <f t="shared" si="154"/>
        <v>0.16248366013071897</v>
      </c>
    </row>
    <row r="1578" spans="1:17" hidden="1" x14ac:dyDescent="0.25">
      <c r="A1578" t="s">
        <v>1655</v>
      </c>
      <c r="B1578" t="s">
        <v>49</v>
      </c>
      <c r="C1578" t="s">
        <v>21</v>
      </c>
      <c r="D1578" t="str">
        <f t="shared" si="150"/>
        <v>TX</v>
      </c>
      <c r="E1578" t="str">
        <f t="shared" si="151"/>
        <v>Southwest</v>
      </c>
      <c r="F1578" t="s">
        <v>42</v>
      </c>
      <c r="G1578" s="1">
        <v>44994</v>
      </c>
      <c r="H1578" s="1">
        <v>44999</v>
      </c>
      <c r="I1578" s="1">
        <f t="shared" si="149"/>
        <v>44999</v>
      </c>
      <c r="J1578" s="2">
        <v>8.1999999999999993</v>
      </c>
      <c r="K1578" s="2">
        <v>212.27</v>
      </c>
      <c r="L1578" t="s">
        <v>15</v>
      </c>
      <c r="M1578" s="2">
        <v>1713</v>
      </c>
      <c r="N1578" s="2">
        <v>5</v>
      </c>
      <c r="O1578" s="2">
        <f t="shared" si="152"/>
        <v>342.6</v>
      </c>
      <c r="P1578" s="2">
        <f t="shared" si="153"/>
        <v>1.6139821924906959</v>
      </c>
      <c r="Q1578" s="3">
        <f t="shared" si="154"/>
        <v>0.12391710449503796</v>
      </c>
    </row>
    <row r="1579" spans="1:17" x14ac:dyDescent="0.25">
      <c r="A1579" t="s">
        <v>1656</v>
      </c>
      <c r="B1579" t="s">
        <v>12</v>
      </c>
      <c r="C1579" t="s">
        <v>36</v>
      </c>
      <c r="D1579" t="str">
        <f t="shared" si="150"/>
        <v>OR</v>
      </c>
      <c r="E1579" t="str">
        <f t="shared" si="151"/>
        <v>West</v>
      </c>
      <c r="F1579" t="s">
        <v>42</v>
      </c>
      <c r="G1579" s="1">
        <v>45267</v>
      </c>
      <c r="H1579" s="1">
        <v>45269</v>
      </c>
      <c r="I1579" s="1">
        <f t="shared" si="149"/>
        <v>45269</v>
      </c>
      <c r="J1579" s="2">
        <v>30.1</v>
      </c>
      <c r="K1579" s="2">
        <v>122.82</v>
      </c>
      <c r="L1579" t="s">
        <v>15</v>
      </c>
      <c r="M1579" s="2">
        <v>594</v>
      </c>
      <c r="N1579" s="2">
        <v>2</v>
      </c>
      <c r="O1579" s="2">
        <f t="shared" si="152"/>
        <v>297</v>
      </c>
      <c r="P1579" s="2">
        <f t="shared" si="153"/>
        <v>2.4181729360039084</v>
      </c>
      <c r="Q1579" s="3">
        <f t="shared" si="154"/>
        <v>0.20676767676767677</v>
      </c>
    </row>
    <row r="1580" spans="1:17" hidden="1" x14ac:dyDescent="0.25">
      <c r="A1580" t="s">
        <v>1657</v>
      </c>
      <c r="B1580" t="s">
        <v>51</v>
      </c>
      <c r="C1580" t="s">
        <v>52</v>
      </c>
      <c r="D1580" t="str">
        <f t="shared" si="150"/>
        <v>AZ</v>
      </c>
      <c r="E1580" t="str">
        <f t="shared" si="151"/>
        <v>Southwest</v>
      </c>
      <c r="F1580" t="s">
        <v>32</v>
      </c>
      <c r="G1580" s="1">
        <v>45282</v>
      </c>
      <c r="H1580" s="1">
        <v>45287</v>
      </c>
      <c r="I1580" s="1">
        <f t="shared" si="149"/>
        <v>45287</v>
      </c>
      <c r="J1580" s="2">
        <v>12.6</v>
      </c>
      <c r="K1580" s="2">
        <v>367.26</v>
      </c>
      <c r="L1580" t="s">
        <v>15</v>
      </c>
      <c r="M1580" s="2">
        <v>2151</v>
      </c>
      <c r="N1580" s="2">
        <v>5</v>
      </c>
      <c r="O1580" s="2">
        <f t="shared" si="152"/>
        <v>430.2</v>
      </c>
      <c r="P1580" s="2">
        <f t="shared" si="153"/>
        <v>1.1713772259434734</v>
      </c>
      <c r="Q1580" s="3">
        <f t="shared" si="154"/>
        <v>0.17073919107391911</v>
      </c>
    </row>
    <row r="1581" spans="1:17" hidden="1" x14ac:dyDescent="0.25">
      <c r="A1581" t="s">
        <v>1658</v>
      </c>
      <c r="B1581" t="s">
        <v>35</v>
      </c>
      <c r="C1581" t="s">
        <v>46</v>
      </c>
      <c r="D1581" t="str">
        <f t="shared" si="150"/>
        <v>MA</v>
      </c>
      <c r="E1581" t="str">
        <f t="shared" si="151"/>
        <v>Northeast</v>
      </c>
      <c r="F1581" t="s">
        <v>37</v>
      </c>
      <c r="G1581" s="1">
        <v>44966</v>
      </c>
      <c r="H1581" s="1">
        <v>44970</v>
      </c>
      <c r="I1581" s="1">
        <f t="shared" si="149"/>
        <v>44970</v>
      </c>
      <c r="J1581" s="2">
        <v>33.4</v>
      </c>
      <c r="K1581" s="2">
        <v>160.62</v>
      </c>
      <c r="L1581" t="s">
        <v>15</v>
      </c>
      <c r="M1581" s="2">
        <v>989</v>
      </c>
      <c r="N1581" s="2">
        <v>4</v>
      </c>
      <c r="O1581" s="2">
        <f t="shared" si="152"/>
        <v>247.25</v>
      </c>
      <c r="P1581" s="2">
        <f t="shared" si="153"/>
        <v>1.53934752832773</v>
      </c>
      <c r="Q1581" s="3">
        <f t="shared" si="154"/>
        <v>0.16240647118301316</v>
      </c>
    </row>
    <row r="1582" spans="1:17" x14ac:dyDescent="0.25">
      <c r="A1582" t="s">
        <v>1659</v>
      </c>
      <c r="B1582" t="s">
        <v>30</v>
      </c>
      <c r="C1582" t="s">
        <v>81</v>
      </c>
      <c r="D1582" t="str">
        <f t="shared" si="150"/>
        <v>CO</v>
      </c>
      <c r="E1582" t="str">
        <f t="shared" si="151"/>
        <v>West</v>
      </c>
      <c r="F1582" t="s">
        <v>14</v>
      </c>
      <c r="G1582" s="1">
        <v>45281</v>
      </c>
      <c r="H1582" s="1">
        <v>45282</v>
      </c>
      <c r="I1582" s="1">
        <f t="shared" si="149"/>
        <v>45282</v>
      </c>
      <c r="J1582" s="2">
        <v>17.3</v>
      </c>
      <c r="K1582" s="2">
        <v>70.13</v>
      </c>
      <c r="L1582" t="s">
        <v>15</v>
      </c>
      <c r="M1582" s="2">
        <v>250</v>
      </c>
      <c r="N1582" s="2">
        <v>1</v>
      </c>
      <c r="O1582" s="2">
        <f t="shared" si="152"/>
        <v>250</v>
      </c>
      <c r="P1582" s="2">
        <f t="shared" si="153"/>
        <v>3.5648082133181238</v>
      </c>
      <c r="Q1582" s="3">
        <f t="shared" si="154"/>
        <v>0.28051999999999999</v>
      </c>
    </row>
    <row r="1583" spans="1:17" hidden="1" x14ac:dyDescent="0.25">
      <c r="A1583" t="s">
        <v>1660</v>
      </c>
      <c r="B1583" t="s">
        <v>20</v>
      </c>
      <c r="C1583" t="s">
        <v>46</v>
      </c>
      <c r="D1583" t="str">
        <f t="shared" si="150"/>
        <v>MA</v>
      </c>
      <c r="E1583" t="str">
        <f t="shared" si="151"/>
        <v>Northeast</v>
      </c>
      <c r="F1583" t="s">
        <v>25</v>
      </c>
      <c r="G1583" s="1">
        <v>45070</v>
      </c>
      <c r="H1583" s="1">
        <v>45073</v>
      </c>
      <c r="I1583" s="1">
        <f t="shared" si="149"/>
        <v>45073</v>
      </c>
      <c r="J1583" s="2">
        <v>39.6</v>
      </c>
      <c r="K1583" s="2">
        <v>95.86</v>
      </c>
      <c r="L1583" t="s">
        <v>15</v>
      </c>
      <c r="M1583" s="2">
        <v>378</v>
      </c>
      <c r="N1583" s="2">
        <v>3</v>
      </c>
      <c r="O1583" s="2">
        <f t="shared" si="152"/>
        <v>126</v>
      </c>
      <c r="P1583" s="2">
        <f t="shared" si="153"/>
        <v>1.3144168579177968</v>
      </c>
      <c r="Q1583" s="3">
        <f t="shared" si="154"/>
        <v>0.2535978835978836</v>
      </c>
    </row>
    <row r="1584" spans="1:17" hidden="1" x14ac:dyDescent="0.25">
      <c r="A1584" t="s">
        <v>1661</v>
      </c>
      <c r="B1584" t="s">
        <v>35</v>
      </c>
      <c r="C1584" t="s">
        <v>40</v>
      </c>
      <c r="D1584" t="str">
        <f t="shared" si="150"/>
        <v>MI</v>
      </c>
      <c r="E1584" t="str">
        <f t="shared" si="151"/>
        <v>Midwest</v>
      </c>
      <c r="F1584" t="s">
        <v>37</v>
      </c>
      <c r="G1584" s="1">
        <v>45196</v>
      </c>
      <c r="H1584" s="1">
        <v>45197</v>
      </c>
      <c r="I1584" s="1">
        <f t="shared" si="149"/>
        <v>45197</v>
      </c>
      <c r="J1584" s="2">
        <v>58.9</v>
      </c>
      <c r="K1584" s="2">
        <v>105.74</v>
      </c>
      <c r="L1584" t="s">
        <v>15</v>
      </c>
      <c r="M1584" s="2">
        <v>283</v>
      </c>
      <c r="N1584" s="2">
        <v>1</v>
      </c>
      <c r="O1584" s="2">
        <f t="shared" si="152"/>
        <v>283</v>
      </c>
      <c r="P1584" s="2">
        <f t="shared" si="153"/>
        <v>2.6763760166446002</v>
      </c>
      <c r="Q1584" s="3">
        <f t="shared" si="154"/>
        <v>0.37363957597173142</v>
      </c>
    </row>
    <row r="1585" spans="1:17" hidden="1" x14ac:dyDescent="0.25">
      <c r="A1585" t="s">
        <v>1662</v>
      </c>
      <c r="B1585" t="s">
        <v>23</v>
      </c>
      <c r="C1585" t="s">
        <v>40</v>
      </c>
      <c r="D1585" t="str">
        <f t="shared" si="150"/>
        <v>MI</v>
      </c>
      <c r="E1585" t="str">
        <f t="shared" si="151"/>
        <v>Midwest</v>
      </c>
      <c r="F1585" t="s">
        <v>18</v>
      </c>
      <c r="G1585" s="1">
        <v>45178</v>
      </c>
      <c r="H1585" s="1">
        <v>45181</v>
      </c>
      <c r="I1585" s="1">
        <f t="shared" si="149"/>
        <v>45181</v>
      </c>
      <c r="J1585" s="2">
        <v>66.7</v>
      </c>
      <c r="K1585" s="2">
        <v>268.33999999999997</v>
      </c>
      <c r="L1585" t="s">
        <v>15</v>
      </c>
      <c r="M1585" s="2">
        <v>1387</v>
      </c>
      <c r="N1585" s="2">
        <v>3</v>
      </c>
      <c r="O1585" s="2">
        <f t="shared" si="152"/>
        <v>462.33333333333331</v>
      </c>
      <c r="P1585" s="2">
        <f t="shared" si="153"/>
        <v>1.7229385605326577</v>
      </c>
      <c r="Q1585" s="3">
        <f t="shared" si="154"/>
        <v>0.1934679163662581</v>
      </c>
    </row>
    <row r="1586" spans="1:17" hidden="1" x14ac:dyDescent="0.25">
      <c r="A1586" t="s">
        <v>1663</v>
      </c>
      <c r="B1586" t="s">
        <v>49</v>
      </c>
      <c r="C1586" t="s">
        <v>21</v>
      </c>
      <c r="D1586" t="str">
        <f t="shared" si="150"/>
        <v>TX</v>
      </c>
      <c r="E1586" t="str">
        <f t="shared" si="151"/>
        <v>Southwest</v>
      </c>
      <c r="F1586" t="s">
        <v>32</v>
      </c>
      <c r="G1586" s="1">
        <v>45020</v>
      </c>
      <c r="H1586" s="1">
        <v>45026</v>
      </c>
      <c r="I1586" s="1">
        <f t="shared" si="149"/>
        <v>45026</v>
      </c>
      <c r="J1586" s="2">
        <v>7</v>
      </c>
      <c r="K1586" s="2">
        <v>303.42</v>
      </c>
      <c r="L1586" t="s">
        <v>15</v>
      </c>
      <c r="M1586" s="2">
        <v>2228</v>
      </c>
      <c r="N1586" s="2">
        <v>6</v>
      </c>
      <c r="O1586" s="2">
        <f t="shared" si="152"/>
        <v>371.33333333333331</v>
      </c>
      <c r="P1586" s="2">
        <f t="shared" si="153"/>
        <v>1.2238261595588071</v>
      </c>
      <c r="Q1586" s="3">
        <f t="shared" si="154"/>
        <v>0.13618491921005388</v>
      </c>
    </row>
    <row r="1587" spans="1:17" hidden="1" x14ac:dyDescent="0.25">
      <c r="A1587" t="s">
        <v>1664</v>
      </c>
      <c r="B1587" t="s">
        <v>56</v>
      </c>
      <c r="C1587" t="s">
        <v>17</v>
      </c>
      <c r="D1587" t="str">
        <f t="shared" si="150"/>
        <v>GA</v>
      </c>
      <c r="E1587" t="str">
        <f t="shared" si="151"/>
        <v>Southeast</v>
      </c>
      <c r="F1587" t="s">
        <v>42</v>
      </c>
      <c r="G1587" s="1">
        <v>45065</v>
      </c>
      <c r="H1587" s="1">
        <v>45070</v>
      </c>
      <c r="I1587" s="1">
        <f t="shared" si="149"/>
        <v>45070</v>
      </c>
      <c r="J1587" s="2">
        <v>49.9</v>
      </c>
      <c r="K1587" s="2">
        <v>288.11</v>
      </c>
      <c r="L1587" t="s">
        <v>15</v>
      </c>
      <c r="M1587" s="2">
        <v>2067</v>
      </c>
      <c r="N1587" s="2">
        <v>5</v>
      </c>
      <c r="O1587" s="2">
        <f t="shared" si="152"/>
        <v>413.4</v>
      </c>
      <c r="P1587" s="2">
        <f t="shared" si="153"/>
        <v>1.4348686265662418</v>
      </c>
      <c r="Q1587" s="3">
        <f t="shared" si="154"/>
        <v>0.13938558297048864</v>
      </c>
    </row>
    <row r="1588" spans="1:17" hidden="1" x14ac:dyDescent="0.25">
      <c r="A1588" t="s">
        <v>1666</v>
      </c>
      <c r="B1588" t="s">
        <v>27</v>
      </c>
      <c r="C1588" t="s">
        <v>46</v>
      </c>
      <c r="D1588" t="str">
        <f t="shared" si="150"/>
        <v>MA</v>
      </c>
      <c r="E1588" t="str">
        <f t="shared" si="151"/>
        <v>Northeast</v>
      </c>
      <c r="F1588" t="s">
        <v>59</v>
      </c>
      <c r="G1588" s="1">
        <v>45162</v>
      </c>
      <c r="H1588" s="1">
        <v>45165</v>
      </c>
      <c r="I1588" s="1">
        <f t="shared" si="149"/>
        <v>45165</v>
      </c>
      <c r="J1588" s="2">
        <v>8.8000000000000007</v>
      </c>
      <c r="K1588" s="2">
        <v>132.34</v>
      </c>
      <c r="L1588" t="s">
        <v>15</v>
      </c>
      <c r="M1588" s="2">
        <v>1021</v>
      </c>
      <c r="N1588" s="2">
        <v>3</v>
      </c>
      <c r="O1588" s="2">
        <f t="shared" si="152"/>
        <v>340.33333333333331</v>
      </c>
      <c r="P1588" s="2">
        <f t="shared" si="153"/>
        <v>2.5716588584957933</v>
      </c>
      <c r="Q1588" s="3">
        <f t="shared" si="154"/>
        <v>0.12961802154750246</v>
      </c>
    </row>
    <row r="1589" spans="1:17" hidden="1" x14ac:dyDescent="0.25">
      <c r="A1589" t="s">
        <v>1667</v>
      </c>
      <c r="B1589" t="s">
        <v>12</v>
      </c>
      <c r="C1589" t="s">
        <v>57</v>
      </c>
      <c r="D1589" t="str">
        <f t="shared" si="150"/>
        <v>MN</v>
      </c>
      <c r="E1589" t="str">
        <f t="shared" si="151"/>
        <v>Midwest</v>
      </c>
      <c r="F1589" t="s">
        <v>42</v>
      </c>
      <c r="G1589" s="1">
        <v>45197</v>
      </c>
      <c r="H1589" s="1">
        <v>45200</v>
      </c>
      <c r="I1589" s="1">
        <f t="shared" si="149"/>
        <v>45200</v>
      </c>
      <c r="J1589" s="2">
        <v>14.5</v>
      </c>
      <c r="K1589" s="2">
        <v>183.23</v>
      </c>
      <c r="L1589" t="s">
        <v>15</v>
      </c>
      <c r="M1589" s="2">
        <v>1420</v>
      </c>
      <c r="N1589" s="2">
        <v>3</v>
      </c>
      <c r="O1589" s="2">
        <f t="shared" si="152"/>
        <v>473.33333333333331</v>
      </c>
      <c r="P1589" s="2">
        <f t="shared" si="153"/>
        <v>2.5832742090996743</v>
      </c>
      <c r="Q1589" s="3">
        <f t="shared" si="154"/>
        <v>0.12903521126760562</v>
      </c>
    </row>
    <row r="1590" spans="1:17" hidden="1" x14ac:dyDescent="0.25">
      <c r="A1590" t="s">
        <v>1668</v>
      </c>
      <c r="B1590" t="s">
        <v>23</v>
      </c>
      <c r="C1590" t="s">
        <v>52</v>
      </c>
      <c r="D1590" t="str">
        <f t="shared" si="150"/>
        <v>AZ</v>
      </c>
      <c r="E1590" t="str">
        <f t="shared" si="151"/>
        <v>Southwest</v>
      </c>
      <c r="F1590" t="s">
        <v>42</v>
      </c>
      <c r="G1590" s="1">
        <v>44993</v>
      </c>
      <c r="H1590" s="1">
        <v>44997</v>
      </c>
      <c r="I1590" s="1">
        <f t="shared" si="149"/>
        <v>44997</v>
      </c>
      <c r="J1590" s="2">
        <v>25.8</v>
      </c>
      <c r="K1590" s="2">
        <v>137.06</v>
      </c>
      <c r="L1590" t="s">
        <v>62</v>
      </c>
      <c r="M1590" s="2">
        <v>896</v>
      </c>
      <c r="N1590" s="2">
        <v>4</v>
      </c>
      <c r="O1590" s="2">
        <f t="shared" si="152"/>
        <v>224</v>
      </c>
      <c r="P1590" s="2">
        <f t="shared" si="153"/>
        <v>1.634320735444331</v>
      </c>
      <c r="Q1590" s="3">
        <f t="shared" si="154"/>
        <v>0.15296875000000001</v>
      </c>
    </row>
    <row r="1591" spans="1:17" x14ac:dyDescent="0.25">
      <c r="A1591" t="s">
        <v>1669</v>
      </c>
      <c r="B1591" t="s">
        <v>27</v>
      </c>
      <c r="C1591" t="s">
        <v>70</v>
      </c>
      <c r="D1591" t="str">
        <f t="shared" si="150"/>
        <v>CA</v>
      </c>
      <c r="E1591" t="str">
        <f t="shared" si="151"/>
        <v>West</v>
      </c>
      <c r="F1591" t="s">
        <v>25</v>
      </c>
      <c r="G1591" s="1">
        <v>45041</v>
      </c>
      <c r="H1591" s="1">
        <v>45043</v>
      </c>
      <c r="I1591" s="1">
        <f t="shared" si="149"/>
        <v>45043</v>
      </c>
      <c r="J1591" s="2">
        <v>10.6</v>
      </c>
      <c r="K1591" s="2">
        <v>110.85</v>
      </c>
      <c r="L1591" t="s">
        <v>15</v>
      </c>
      <c r="M1591" s="2">
        <v>752</v>
      </c>
      <c r="N1591" s="2">
        <v>2</v>
      </c>
      <c r="O1591" s="2">
        <f t="shared" si="152"/>
        <v>376</v>
      </c>
      <c r="P1591" s="2">
        <f t="shared" si="153"/>
        <v>3.3919711321605774</v>
      </c>
      <c r="Q1591" s="3">
        <f t="shared" si="154"/>
        <v>0.14740691489361701</v>
      </c>
    </row>
    <row r="1592" spans="1:17" hidden="1" x14ac:dyDescent="0.25">
      <c r="A1592" t="s">
        <v>1670</v>
      </c>
      <c r="B1592" t="s">
        <v>30</v>
      </c>
      <c r="C1592" t="s">
        <v>17</v>
      </c>
      <c r="D1592" t="str">
        <f t="shared" si="150"/>
        <v>GA</v>
      </c>
      <c r="E1592" t="str">
        <f t="shared" si="151"/>
        <v>Southeast</v>
      </c>
      <c r="F1592" t="s">
        <v>59</v>
      </c>
      <c r="G1592" s="1">
        <v>45255</v>
      </c>
      <c r="H1592" s="1">
        <v>45257</v>
      </c>
      <c r="I1592" s="1">
        <f t="shared" si="149"/>
        <v>45257</v>
      </c>
      <c r="J1592" s="2">
        <v>22.1</v>
      </c>
      <c r="K1592" s="2">
        <v>93</v>
      </c>
      <c r="L1592" t="s">
        <v>15</v>
      </c>
      <c r="M1592" s="2">
        <v>398</v>
      </c>
      <c r="N1592" s="2">
        <v>2</v>
      </c>
      <c r="O1592" s="2">
        <f t="shared" si="152"/>
        <v>199</v>
      </c>
      <c r="P1592" s="2">
        <f t="shared" si="153"/>
        <v>2.139784946236559</v>
      </c>
      <c r="Q1592" s="3">
        <f t="shared" si="154"/>
        <v>0.23366834170854273</v>
      </c>
    </row>
    <row r="1593" spans="1:17" hidden="1" x14ac:dyDescent="0.25">
      <c r="A1593" t="s">
        <v>1671</v>
      </c>
      <c r="B1593" t="s">
        <v>56</v>
      </c>
      <c r="C1593" t="s">
        <v>54</v>
      </c>
      <c r="D1593" t="str">
        <f t="shared" si="150"/>
        <v>FL</v>
      </c>
      <c r="E1593" t="str">
        <f t="shared" si="151"/>
        <v>Southeast</v>
      </c>
      <c r="F1593" t="s">
        <v>37</v>
      </c>
      <c r="G1593" s="1">
        <v>45033</v>
      </c>
      <c r="H1593" s="1">
        <v>45038</v>
      </c>
      <c r="I1593" s="1">
        <f t="shared" si="149"/>
        <v>45038</v>
      </c>
      <c r="J1593" s="2">
        <v>15.3</v>
      </c>
      <c r="K1593" s="2">
        <v>157.36000000000001</v>
      </c>
      <c r="L1593" t="s">
        <v>15</v>
      </c>
      <c r="M1593" s="2">
        <v>1237</v>
      </c>
      <c r="N1593" s="2">
        <v>5</v>
      </c>
      <c r="O1593" s="2">
        <f t="shared" si="152"/>
        <v>247.4</v>
      </c>
      <c r="P1593" s="2">
        <f t="shared" si="153"/>
        <v>1.5721911540416877</v>
      </c>
      <c r="Q1593" s="3">
        <f t="shared" si="154"/>
        <v>0.12721099434114794</v>
      </c>
    </row>
    <row r="1594" spans="1:17" hidden="1" x14ac:dyDescent="0.25">
      <c r="A1594" t="s">
        <v>1672</v>
      </c>
      <c r="B1594" t="s">
        <v>56</v>
      </c>
      <c r="C1594" t="s">
        <v>54</v>
      </c>
      <c r="D1594" t="str">
        <f t="shared" si="150"/>
        <v>FL</v>
      </c>
      <c r="E1594" t="str">
        <f t="shared" si="151"/>
        <v>Southeast</v>
      </c>
      <c r="F1594" t="s">
        <v>25</v>
      </c>
      <c r="G1594" s="1">
        <v>44956</v>
      </c>
      <c r="H1594" s="1">
        <v>44960</v>
      </c>
      <c r="I1594" s="1">
        <f t="shared" si="149"/>
        <v>44960</v>
      </c>
      <c r="J1594" s="2">
        <v>16.2</v>
      </c>
      <c r="K1594" s="2">
        <v>230.74</v>
      </c>
      <c r="L1594" t="s">
        <v>15</v>
      </c>
      <c r="M1594" s="2">
        <v>1651</v>
      </c>
      <c r="N1594" s="2">
        <v>4</v>
      </c>
      <c r="O1594" s="2">
        <f t="shared" si="152"/>
        <v>412.75</v>
      </c>
      <c r="P1594" s="2">
        <f t="shared" si="153"/>
        <v>1.7888099159226836</v>
      </c>
      <c r="Q1594" s="3">
        <f t="shared" si="154"/>
        <v>0.13975772259236827</v>
      </c>
    </row>
    <row r="1595" spans="1:17" hidden="1" x14ac:dyDescent="0.25">
      <c r="A1595" t="s">
        <v>1673</v>
      </c>
      <c r="B1595" t="s">
        <v>20</v>
      </c>
      <c r="C1595" t="s">
        <v>54</v>
      </c>
      <c r="D1595" t="str">
        <f t="shared" si="150"/>
        <v>FL</v>
      </c>
      <c r="E1595" t="str">
        <f t="shared" si="151"/>
        <v>Southeast</v>
      </c>
      <c r="F1595" t="s">
        <v>37</v>
      </c>
      <c r="G1595" s="1">
        <v>45291</v>
      </c>
      <c r="H1595" s="1">
        <v>45295</v>
      </c>
      <c r="I1595" s="1">
        <f t="shared" si="149"/>
        <v>45295</v>
      </c>
      <c r="J1595" s="2">
        <v>37</v>
      </c>
      <c r="K1595" s="2">
        <v>306.42</v>
      </c>
      <c r="L1595" t="s">
        <v>15</v>
      </c>
      <c r="M1595" s="2">
        <v>1658</v>
      </c>
      <c r="N1595" s="2">
        <v>4</v>
      </c>
      <c r="O1595" s="2">
        <f t="shared" si="152"/>
        <v>414.5</v>
      </c>
      <c r="P1595" s="2">
        <f t="shared" si="153"/>
        <v>1.35271849096012</v>
      </c>
      <c r="Q1595" s="3">
        <f t="shared" si="154"/>
        <v>0.18481302774427022</v>
      </c>
    </row>
    <row r="1596" spans="1:17" x14ac:dyDescent="0.25">
      <c r="A1596" t="s">
        <v>1674</v>
      </c>
      <c r="B1596" t="s">
        <v>12</v>
      </c>
      <c r="C1596" t="s">
        <v>81</v>
      </c>
      <c r="D1596" t="str">
        <f t="shared" si="150"/>
        <v>CO</v>
      </c>
      <c r="E1596" t="str">
        <f t="shared" si="151"/>
        <v>West</v>
      </c>
      <c r="F1596" t="s">
        <v>59</v>
      </c>
      <c r="G1596" s="1">
        <v>45271</v>
      </c>
      <c r="H1596" s="1">
        <v>45277</v>
      </c>
      <c r="I1596" s="1">
        <f t="shared" si="149"/>
        <v>45277</v>
      </c>
      <c r="J1596" s="2">
        <v>42.7</v>
      </c>
      <c r="K1596" s="2">
        <v>319.58</v>
      </c>
      <c r="L1596" t="s">
        <v>15</v>
      </c>
      <c r="M1596" s="2">
        <v>1829</v>
      </c>
      <c r="N1596" s="2">
        <v>6</v>
      </c>
      <c r="O1596" s="2">
        <f t="shared" si="152"/>
        <v>304.83333333333331</v>
      </c>
      <c r="P1596" s="2">
        <f t="shared" si="153"/>
        <v>0.95385610280159372</v>
      </c>
      <c r="Q1596" s="3">
        <f t="shared" si="154"/>
        <v>0.17472936030617822</v>
      </c>
    </row>
    <row r="1597" spans="1:17" hidden="1" x14ac:dyDescent="0.25">
      <c r="A1597" t="s">
        <v>1675</v>
      </c>
      <c r="B1597" t="s">
        <v>51</v>
      </c>
      <c r="C1597" t="s">
        <v>21</v>
      </c>
      <c r="D1597" t="str">
        <f t="shared" si="150"/>
        <v>TX</v>
      </c>
      <c r="E1597" t="str">
        <f t="shared" si="151"/>
        <v>Southwest</v>
      </c>
      <c r="F1597" t="s">
        <v>18</v>
      </c>
      <c r="G1597" s="1">
        <v>44960</v>
      </c>
      <c r="H1597" s="1">
        <v>44965</v>
      </c>
      <c r="I1597" s="1">
        <f t="shared" si="149"/>
        <v>44965</v>
      </c>
      <c r="J1597" s="2">
        <v>7.4</v>
      </c>
      <c r="K1597" s="2">
        <v>252.34</v>
      </c>
      <c r="L1597" t="s">
        <v>15</v>
      </c>
      <c r="M1597" s="2">
        <v>1879</v>
      </c>
      <c r="N1597" s="2">
        <v>5</v>
      </c>
      <c r="O1597" s="2">
        <f t="shared" si="152"/>
        <v>375.8</v>
      </c>
      <c r="P1597" s="2">
        <f t="shared" si="153"/>
        <v>1.4892605215185861</v>
      </c>
      <c r="Q1597" s="3">
        <f t="shared" si="154"/>
        <v>0.13429483767961681</v>
      </c>
    </row>
    <row r="1598" spans="1:17" hidden="1" x14ac:dyDescent="0.25">
      <c r="A1598" t="s">
        <v>1676</v>
      </c>
      <c r="B1598" t="s">
        <v>39</v>
      </c>
      <c r="C1598" t="s">
        <v>40</v>
      </c>
      <c r="D1598" t="str">
        <f t="shared" si="150"/>
        <v>MI</v>
      </c>
      <c r="E1598" t="str">
        <f t="shared" si="151"/>
        <v>Midwest</v>
      </c>
      <c r="F1598" t="s">
        <v>37</v>
      </c>
      <c r="G1598" s="1">
        <v>45155</v>
      </c>
      <c r="H1598" s="1">
        <v>45160</v>
      </c>
      <c r="I1598" s="1">
        <f t="shared" si="149"/>
        <v>45160</v>
      </c>
      <c r="J1598" s="2">
        <v>23.4</v>
      </c>
      <c r="K1598" s="2">
        <v>89.92</v>
      </c>
      <c r="L1598" t="s">
        <v>47</v>
      </c>
      <c r="M1598" s="2">
        <v>454</v>
      </c>
      <c r="N1598" s="2">
        <v>1</v>
      </c>
      <c r="O1598" s="2">
        <f t="shared" si="152"/>
        <v>454</v>
      </c>
      <c r="P1598" s="2">
        <f t="shared" si="153"/>
        <v>5.0489323843416365</v>
      </c>
      <c r="Q1598" s="3">
        <f t="shared" si="154"/>
        <v>0.19806167400881058</v>
      </c>
    </row>
    <row r="1599" spans="1:17" hidden="1" x14ac:dyDescent="0.25">
      <c r="A1599" t="s">
        <v>1677</v>
      </c>
      <c r="B1599" t="s">
        <v>51</v>
      </c>
      <c r="C1599" t="s">
        <v>57</v>
      </c>
      <c r="D1599" t="str">
        <f t="shared" si="150"/>
        <v>MN</v>
      </c>
      <c r="E1599" t="str">
        <f t="shared" si="151"/>
        <v>Midwest</v>
      </c>
      <c r="F1599" t="s">
        <v>37</v>
      </c>
      <c r="G1599" s="1">
        <v>45052</v>
      </c>
      <c r="H1599" s="1">
        <v>45053</v>
      </c>
      <c r="I1599" s="1">
        <f t="shared" si="149"/>
        <v>45053</v>
      </c>
      <c r="J1599" s="2">
        <v>34.9</v>
      </c>
      <c r="K1599" s="2">
        <v>61.85</v>
      </c>
      <c r="L1599" t="s">
        <v>15</v>
      </c>
      <c r="M1599" s="2">
        <v>197</v>
      </c>
      <c r="N1599" s="2">
        <v>1</v>
      </c>
      <c r="O1599" s="2">
        <f t="shared" si="152"/>
        <v>197</v>
      </c>
      <c r="P1599" s="2">
        <f t="shared" si="153"/>
        <v>3.1851253031527889</v>
      </c>
      <c r="Q1599" s="3">
        <f t="shared" si="154"/>
        <v>0.31395939086294417</v>
      </c>
    </row>
    <row r="1600" spans="1:17" hidden="1" x14ac:dyDescent="0.25">
      <c r="A1600" t="s">
        <v>1678</v>
      </c>
      <c r="B1600" t="s">
        <v>56</v>
      </c>
      <c r="C1600" t="s">
        <v>44</v>
      </c>
      <c r="D1600" t="str">
        <f t="shared" si="150"/>
        <v>IL</v>
      </c>
      <c r="E1600" t="str">
        <f t="shared" si="151"/>
        <v>Midwest</v>
      </c>
      <c r="F1600" t="s">
        <v>25</v>
      </c>
      <c r="G1600" s="1">
        <v>45070</v>
      </c>
      <c r="H1600" s="1">
        <v>45075</v>
      </c>
      <c r="I1600" s="1">
        <f t="shared" si="149"/>
        <v>45075</v>
      </c>
      <c r="J1600" s="2">
        <v>8.1</v>
      </c>
      <c r="K1600" s="2">
        <v>174.87</v>
      </c>
      <c r="L1600" t="s">
        <v>15</v>
      </c>
      <c r="M1600" s="2">
        <v>1325</v>
      </c>
      <c r="N1600" s="2">
        <v>5</v>
      </c>
      <c r="O1600" s="2">
        <f t="shared" si="152"/>
        <v>265</v>
      </c>
      <c r="P1600" s="2">
        <f t="shared" si="153"/>
        <v>1.5154114485046033</v>
      </c>
      <c r="Q1600" s="3">
        <f t="shared" si="154"/>
        <v>0.13197735849056605</v>
      </c>
    </row>
    <row r="1601" spans="1:17" x14ac:dyDescent="0.25">
      <c r="A1601" t="s">
        <v>1679</v>
      </c>
      <c r="B1601" t="s">
        <v>20</v>
      </c>
      <c r="C1601" t="s">
        <v>36</v>
      </c>
      <c r="D1601" t="str">
        <f t="shared" si="150"/>
        <v>OR</v>
      </c>
      <c r="E1601" t="str">
        <f t="shared" si="151"/>
        <v>West</v>
      </c>
      <c r="F1601" t="s">
        <v>32</v>
      </c>
      <c r="G1601" s="1">
        <v>45238</v>
      </c>
      <c r="H1601" s="1">
        <v>45244</v>
      </c>
      <c r="I1601" s="1">
        <f t="shared" si="149"/>
        <v>45244</v>
      </c>
      <c r="J1601" s="2">
        <v>6.2</v>
      </c>
      <c r="K1601" s="2">
        <v>268.27</v>
      </c>
      <c r="L1601" t="s">
        <v>15</v>
      </c>
      <c r="M1601" s="2">
        <v>1538</v>
      </c>
      <c r="N1601" s="2">
        <v>6</v>
      </c>
      <c r="O1601" s="2">
        <f t="shared" si="152"/>
        <v>256.33333333333331</v>
      </c>
      <c r="P1601" s="2">
        <f t="shared" si="153"/>
        <v>0.95550502603098864</v>
      </c>
      <c r="Q1601" s="3">
        <f t="shared" si="154"/>
        <v>0.17442782834850454</v>
      </c>
    </row>
    <row r="1602" spans="1:17" hidden="1" x14ac:dyDescent="0.25">
      <c r="A1602" t="s">
        <v>1680</v>
      </c>
      <c r="B1602" t="s">
        <v>27</v>
      </c>
      <c r="C1602" t="s">
        <v>44</v>
      </c>
      <c r="D1602" t="str">
        <f t="shared" si="150"/>
        <v>IL</v>
      </c>
      <c r="E1602" t="str">
        <f t="shared" si="151"/>
        <v>Midwest</v>
      </c>
      <c r="F1602" t="s">
        <v>25</v>
      </c>
      <c r="G1602" s="1">
        <v>44931</v>
      </c>
      <c r="H1602" s="1">
        <v>44936</v>
      </c>
      <c r="I1602" s="1">
        <f t="shared" ref="I1602:I1665" si="155">IF(H1602="", G1602 + N1602, H1602)</f>
        <v>44936</v>
      </c>
      <c r="J1602" s="2">
        <v>14</v>
      </c>
      <c r="K1602" s="2">
        <v>151.05000000000001</v>
      </c>
      <c r="L1602" t="s">
        <v>15</v>
      </c>
      <c r="M1602" s="2">
        <v>1077</v>
      </c>
      <c r="N1602" s="2">
        <v>5</v>
      </c>
      <c r="O1602" s="2">
        <f t="shared" si="152"/>
        <v>215.4</v>
      </c>
      <c r="P1602" s="2">
        <f t="shared" si="153"/>
        <v>1.426017874875869</v>
      </c>
      <c r="Q1602" s="3">
        <f t="shared" si="154"/>
        <v>0.14025069637883009</v>
      </c>
    </row>
    <row r="1603" spans="1:17" hidden="1" x14ac:dyDescent="0.25">
      <c r="A1603" t="s">
        <v>1681</v>
      </c>
      <c r="B1603" t="s">
        <v>39</v>
      </c>
      <c r="C1603" t="s">
        <v>54</v>
      </c>
      <c r="D1603" t="str">
        <f t="shared" si="150"/>
        <v>FL</v>
      </c>
      <c r="E1603" t="str">
        <f t="shared" si="151"/>
        <v>Southeast</v>
      </c>
      <c r="F1603" t="s">
        <v>18</v>
      </c>
      <c r="G1603" s="1">
        <v>45236</v>
      </c>
      <c r="H1603" s="1">
        <v>45240</v>
      </c>
      <c r="I1603" s="1">
        <f t="shared" si="155"/>
        <v>45240</v>
      </c>
      <c r="J1603" s="2">
        <v>10</v>
      </c>
      <c r="K1603" s="2">
        <v>118.15</v>
      </c>
      <c r="L1603" t="s">
        <v>47</v>
      </c>
      <c r="M1603" s="2">
        <v>638</v>
      </c>
      <c r="N1603" s="2">
        <v>2</v>
      </c>
      <c r="O1603" s="2">
        <f t="shared" si="152"/>
        <v>319</v>
      </c>
      <c r="P1603" s="2">
        <f t="shared" si="153"/>
        <v>2.6999576809140922</v>
      </c>
      <c r="Q1603" s="3">
        <f t="shared" si="154"/>
        <v>0.18518808777429469</v>
      </c>
    </row>
    <row r="1604" spans="1:17" hidden="1" x14ac:dyDescent="0.25">
      <c r="A1604" t="s">
        <v>1682</v>
      </c>
      <c r="B1604" t="s">
        <v>27</v>
      </c>
      <c r="C1604" t="s">
        <v>46</v>
      </c>
      <c r="D1604" t="str">
        <f t="shared" si="150"/>
        <v>MA</v>
      </c>
      <c r="E1604" t="str">
        <f t="shared" si="151"/>
        <v>Northeast</v>
      </c>
      <c r="F1604" t="s">
        <v>59</v>
      </c>
      <c r="G1604" s="1">
        <v>45249</v>
      </c>
      <c r="H1604" s="1">
        <v>45258</v>
      </c>
      <c r="I1604" s="1">
        <f t="shared" si="155"/>
        <v>45258</v>
      </c>
      <c r="J1604" s="2">
        <v>43.6</v>
      </c>
      <c r="K1604" s="2">
        <v>304.3</v>
      </c>
      <c r="L1604" t="s">
        <v>15</v>
      </c>
      <c r="M1604" s="2">
        <v>1947</v>
      </c>
      <c r="N1604" s="2">
        <v>9</v>
      </c>
      <c r="O1604" s="2">
        <f t="shared" si="152"/>
        <v>216.33333333333334</v>
      </c>
      <c r="P1604" s="2">
        <f t="shared" si="153"/>
        <v>0.71092124000438162</v>
      </c>
      <c r="Q1604" s="3">
        <f t="shared" si="154"/>
        <v>0.15629173086800205</v>
      </c>
    </row>
    <row r="1605" spans="1:17" hidden="1" x14ac:dyDescent="0.25">
      <c r="A1605" t="s">
        <v>1683</v>
      </c>
      <c r="B1605" t="s">
        <v>56</v>
      </c>
      <c r="C1605" t="s">
        <v>17</v>
      </c>
      <c r="D1605" t="str">
        <f t="shared" si="150"/>
        <v>GA</v>
      </c>
      <c r="E1605" t="str">
        <f t="shared" si="151"/>
        <v>Southeast</v>
      </c>
      <c r="F1605" t="s">
        <v>37</v>
      </c>
      <c r="G1605" s="1">
        <v>45099</v>
      </c>
      <c r="H1605" s="1">
        <v>45104</v>
      </c>
      <c r="I1605" s="1">
        <f t="shared" si="155"/>
        <v>45104</v>
      </c>
      <c r="J1605" s="2">
        <v>16.100000000000001</v>
      </c>
      <c r="K1605" s="2">
        <v>143</v>
      </c>
      <c r="L1605" t="s">
        <v>15</v>
      </c>
      <c r="M1605" s="2">
        <v>1074</v>
      </c>
      <c r="N1605" s="2">
        <v>5</v>
      </c>
      <c r="O1605" s="2">
        <f t="shared" si="152"/>
        <v>214.8</v>
      </c>
      <c r="P1605" s="2">
        <f t="shared" si="153"/>
        <v>1.5020979020979022</v>
      </c>
      <c r="Q1605" s="3">
        <f t="shared" si="154"/>
        <v>0.13314711359404097</v>
      </c>
    </row>
    <row r="1606" spans="1:17" hidden="1" x14ac:dyDescent="0.25">
      <c r="A1606" t="s">
        <v>1684</v>
      </c>
      <c r="B1606" t="s">
        <v>30</v>
      </c>
      <c r="C1606" t="s">
        <v>44</v>
      </c>
      <c r="D1606" t="str">
        <f t="shared" si="150"/>
        <v>IL</v>
      </c>
      <c r="E1606" t="str">
        <f t="shared" si="151"/>
        <v>Midwest</v>
      </c>
      <c r="F1606" t="s">
        <v>42</v>
      </c>
      <c r="G1606" s="1">
        <v>45089</v>
      </c>
      <c r="H1606" s="1">
        <v>45092</v>
      </c>
      <c r="I1606" s="1">
        <f t="shared" si="155"/>
        <v>45092</v>
      </c>
      <c r="J1606" s="2">
        <v>21.3</v>
      </c>
      <c r="K1606" s="2">
        <v>91.45</v>
      </c>
      <c r="L1606" t="s">
        <v>15</v>
      </c>
      <c r="M1606" s="2">
        <v>587</v>
      </c>
      <c r="N1606" s="2">
        <v>3</v>
      </c>
      <c r="O1606" s="2">
        <f t="shared" si="152"/>
        <v>195.66666666666666</v>
      </c>
      <c r="P1606" s="2">
        <f t="shared" si="153"/>
        <v>2.1396026972844906</v>
      </c>
      <c r="Q1606" s="3">
        <f t="shared" si="154"/>
        <v>0.15579216354344122</v>
      </c>
    </row>
    <row r="1607" spans="1:17" x14ac:dyDescent="0.25">
      <c r="A1607" t="s">
        <v>1685</v>
      </c>
      <c r="B1607" t="s">
        <v>20</v>
      </c>
      <c r="C1607" t="s">
        <v>24</v>
      </c>
      <c r="D1607" t="str">
        <f t="shared" si="150"/>
        <v>WA</v>
      </c>
      <c r="E1607" t="str">
        <f t="shared" si="151"/>
        <v>West</v>
      </c>
      <c r="F1607" t="s">
        <v>59</v>
      </c>
      <c r="G1607" s="1">
        <v>45007</v>
      </c>
      <c r="H1607" s="1">
        <v>45011</v>
      </c>
      <c r="I1607" s="1">
        <f t="shared" si="155"/>
        <v>45011</v>
      </c>
      <c r="J1607" s="2">
        <v>66.3</v>
      </c>
      <c r="K1607" s="2">
        <v>204.27</v>
      </c>
      <c r="L1607" t="s">
        <v>15</v>
      </c>
      <c r="M1607" s="2">
        <v>1135</v>
      </c>
      <c r="N1607" s="2">
        <v>4</v>
      </c>
      <c r="O1607" s="2">
        <f t="shared" si="152"/>
        <v>283.75</v>
      </c>
      <c r="P1607" s="2">
        <f t="shared" si="153"/>
        <v>1.3890928672834972</v>
      </c>
      <c r="Q1607" s="3">
        <f t="shared" si="154"/>
        <v>0.17997356828193833</v>
      </c>
    </row>
    <row r="1608" spans="1:17" hidden="1" x14ac:dyDescent="0.25">
      <c r="A1608" t="s">
        <v>1686</v>
      </c>
      <c r="B1608" t="s">
        <v>12</v>
      </c>
      <c r="C1608" t="s">
        <v>17</v>
      </c>
      <c r="D1608" t="str">
        <f t="shared" si="150"/>
        <v>GA</v>
      </c>
      <c r="E1608" t="str">
        <f t="shared" si="151"/>
        <v>Southeast</v>
      </c>
      <c r="F1608" t="s">
        <v>25</v>
      </c>
      <c r="G1608" s="1">
        <v>44978</v>
      </c>
      <c r="H1608" s="1">
        <v>44981</v>
      </c>
      <c r="I1608" s="1">
        <f t="shared" si="155"/>
        <v>44981</v>
      </c>
      <c r="J1608" s="2">
        <v>5.9</v>
      </c>
      <c r="K1608" s="2">
        <v>103.51</v>
      </c>
      <c r="L1608" t="s">
        <v>15</v>
      </c>
      <c r="M1608" s="2">
        <v>746</v>
      </c>
      <c r="N1608" s="2">
        <v>3</v>
      </c>
      <c r="O1608" s="2">
        <f t="shared" si="152"/>
        <v>248.66666666666666</v>
      </c>
      <c r="P1608" s="2">
        <f t="shared" si="153"/>
        <v>2.4023443789649952</v>
      </c>
      <c r="Q1608" s="3">
        <f t="shared" si="154"/>
        <v>0.13875335120643431</v>
      </c>
    </row>
    <row r="1609" spans="1:17" hidden="1" x14ac:dyDescent="0.25">
      <c r="A1609" t="s">
        <v>1687</v>
      </c>
      <c r="B1609" t="s">
        <v>23</v>
      </c>
      <c r="C1609" t="s">
        <v>46</v>
      </c>
      <c r="D1609" t="str">
        <f t="shared" si="150"/>
        <v>MA</v>
      </c>
      <c r="E1609" t="str">
        <f t="shared" si="151"/>
        <v>Northeast</v>
      </c>
      <c r="F1609" t="s">
        <v>59</v>
      </c>
      <c r="G1609" s="1">
        <v>45202</v>
      </c>
      <c r="H1609" s="1">
        <v>45206</v>
      </c>
      <c r="I1609" s="1">
        <f t="shared" si="155"/>
        <v>45206</v>
      </c>
      <c r="J1609" s="2">
        <v>28.9</v>
      </c>
      <c r="K1609" s="2">
        <v>227.91</v>
      </c>
      <c r="L1609" t="s">
        <v>60</v>
      </c>
      <c r="M1609" s="2">
        <v>1675</v>
      </c>
      <c r="N1609" s="2">
        <v>4</v>
      </c>
      <c r="O1609" s="2">
        <f t="shared" si="152"/>
        <v>418.75</v>
      </c>
      <c r="P1609" s="2">
        <f t="shared" si="153"/>
        <v>1.8373480759949103</v>
      </c>
      <c r="Q1609" s="3">
        <f t="shared" si="154"/>
        <v>0.13606567164179104</v>
      </c>
    </row>
    <row r="1610" spans="1:17" hidden="1" x14ac:dyDescent="0.25">
      <c r="A1610" t="s">
        <v>1688</v>
      </c>
      <c r="B1610" t="s">
        <v>20</v>
      </c>
      <c r="C1610" t="s">
        <v>46</v>
      </c>
      <c r="D1610" t="str">
        <f t="shared" si="150"/>
        <v>MA</v>
      </c>
      <c r="E1610" t="str">
        <f t="shared" si="151"/>
        <v>Northeast</v>
      </c>
      <c r="F1610" t="s">
        <v>59</v>
      </c>
      <c r="G1610" s="1">
        <v>45230</v>
      </c>
      <c r="H1610" s="1">
        <v>45237</v>
      </c>
      <c r="I1610" s="1">
        <f t="shared" si="155"/>
        <v>45237</v>
      </c>
      <c r="J1610" s="2">
        <v>32.4</v>
      </c>
      <c r="K1610" s="2">
        <v>226.41</v>
      </c>
      <c r="L1610" t="s">
        <v>15</v>
      </c>
      <c r="M1610" s="2">
        <v>1636</v>
      </c>
      <c r="N1610" s="2">
        <v>7</v>
      </c>
      <c r="O1610" s="2">
        <f t="shared" si="152"/>
        <v>233.71428571428572</v>
      </c>
      <c r="P1610" s="2">
        <f t="shared" si="153"/>
        <v>1.0322613211178204</v>
      </c>
      <c r="Q1610" s="3">
        <f t="shared" si="154"/>
        <v>0.1383924205378973</v>
      </c>
    </row>
    <row r="1611" spans="1:17" x14ac:dyDescent="0.25">
      <c r="A1611" t="s">
        <v>1689</v>
      </c>
      <c r="B1611" t="s">
        <v>39</v>
      </c>
      <c r="C1611" t="s">
        <v>13</v>
      </c>
      <c r="D1611" t="str">
        <f t="shared" si="150"/>
        <v>CA</v>
      </c>
      <c r="E1611" t="str">
        <f t="shared" si="151"/>
        <v>West</v>
      </c>
      <c r="F1611" t="s">
        <v>59</v>
      </c>
      <c r="G1611" s="1">
        <v>44945</v>
      </c>
      <c r="H1611" s="1">
        <v>44952</v>
      </c>
      <c r="I1611" s="1">
        <f t="shared" si="155"/>
        <v>44952</v>
      </c>
      <c r="J1611" s="2">
        <v>53</v>
      </c>
      <c r="K1611" s="2">
        <v>322.97000000000003</v>
      </c>
      <c r="L1611" t="s">
        <v>15</v>
      </c>
      <c r="M1611" s="2">
        <v>2490</v>
      </c>
      <c r="N1611" s="2">
        <v>7</v>
      </c>
      <c r="O1611" s="2">
        <f t="shared" si="152"/>
        <v>355.71428571428572</v>
      </c>
      <c r="P1611" s="2">
        <f t="shared" si="153"/>
        <v>1.1013849141229393</v>
      </c>
      <c r="Q1611" s="3">
        <f t="shared" si="154"/>
        <v>0.12970682730923697</v>
      </c>
    </row>
    <row r="1612" spans="1:17" x14ac:dyDescent="0.25">
      <c r="A1612" t="s">
        <v>1690</v>
      </c>
      <c r="B1612" t="s">
        <v>12</v>
      </c>
      <c r="C1612" t="s">
        <v>36</v>
      </c>
      <c r="D1612" t="str">
        <f t="shared" si="150"/>
        <v>OR</v>
      </c>
      <c r="E1612" t="str">
        <f t="shared" si="151"/>
        <v>West</v>
      </c>
      <c r="F1612" t="s">
        <v>59</v>
      </c>
      <c r="G1612" s="1">
        <v>45046</v>
      </c>
      <c r="H1612" s="1">
        <v>45059</v>
      </c>
      <c r="I1612" s="1">
        <f t="shared" si="155"/>
        <v>45059</v>
      </c>
      <c r="J1612" s="2">
        <v>37</v>
      </c>
      <c r="K1612" s="2">
        <v>211.45</v>
      </c>
      <c r="L1612" t="s">
        <v>47</v>
      </c>
      <c r="M1612" s="2">
        <v>1433</v>
      </c>
      <c r="N1612" s="2">
        <v>4</v>
      </c>
      <c r="O1612" s="2">
        <f t="shared" si="152"/>
        <v>358.25</v>
      </c>
      <c r="P1612" s="2">
        <f t="shared" si="153"/>
        <v>1.6942539607472216</v>
      </c>
      <c r="Q1612" s="3">
        <f t="shared" si="154"/>
        <v>0.14755757152826238</v>
      </c>
    </row>
    <row r="1613" spans="1:17" hidden="1" x14ac:dyDescent="0.25">
      <c r="A1613" t="s">
        <v>1691</v>
      </c>
      <c r="B1613" t="s">
        <v>30</v>
      </c>
      <c r="C1613" t="s">
        <v>40</v>
      </c>
      <c r="D1613" t="str">
        <f t="shared" si="150"/>
        <v>MI</v>
      </c>
      <c r="E1613" t="str">
        <f t="shared" si="151"/>
        <v>Midwest</v>
      </c>
      <c r="F1613" t="s">
        <v>25</v>
      </c>
      <c r="G1613" s="1">
        <v>45061</v>
      </c>
      <c r="H1613" s="1">
        <v>45063</v>
      </c>
      <c r="I1613" s="1">
        <f t="shared" si="155"/>
        <v>45063</v>
      </c>
      <c r="J1613" s="2">
        <v>33.799999999999997</v>
      </c>
      <c r="K1613" s="2">
        <v>134.61000000000001</v>
      </c>
      <c r="L1613" t="s">
        <v>60</v>
      </c>
      <c r="M1613" s="2">
        <v>775</v>
      </c>
      <c r="N1613" s="2">
        <v>2</v>
      </c>
      <c r="O1613" s="2">
        <f t="shared" si="152"/>
        <v>387.5</v>
      </c>
      <c r="P1613" s="2">
        <f t="shared" si="153"/>
        <v>2.8786865760344695</v>
      </c>
      <c r="Q1613" s="3">
        <f t="shared" si="154"/>
        <v>0.17369032258064518</v>
      </c>
    </row>
    <row r="1614" spans="1:17" x14ac:dyDescent="0.25">
      <c r="A1614" t="s">
        <v>1692</v>
      </c>
      <c r="B1614" t="s">
        <v>39</v>
      </c>
      <c r="C1614" t="s">
        <v>13</v>
      </c>
      <c r="D1614" t="str">
        <f t="shared" si="150"/>
        <v>CA</v>
      </c>
      <c r="E1614" t="str">
        <f t="shared" si="151"/>
        <v>West</v>
      </c>
      <c r="F1614" t="s">
        <v>25</v>
      </c>
      <c r="G1614" s="1">
        <v>45160</v>
      </c>
      <c r="H1614" s="1">
        <v>45166</v>
      </c>
      <c r="I1614" s="1">
        <f t="shared" si="155"/>
        <v>45166</v>
      </c>
      <c r="J1614" s="2">
        <v>12.3</v>
      </c>
      <c r="K1614" s="2">
        <v>190.39</v>
      </c>
      <c r="L1614" t="s">
        <v>15</v>
      </c>
      <c r="M1614" s="2">
        <v>1393</v>
      </c>
      <c r="N1614" s="2">
        <v>6</v>
      </c>
      <c r="O1614" s="2">
        <f t="shared" si="152"/>
        <v>232.16666666666666</v>
      </c>
      <c r="P1614" s="2">
        <f t="shared" si="153"/>
        <v>1.2194267906227569</v>
      </c>
      <c r="Q1614" s="3">
        <f t="shared" si="154"/>
        <v>0.13667623833452977</v>
      </c>
    </row>
    <row r="1615" spans="1:17" x14ac:dyDescent="0.25">
      <c r="A1615" t="s">
        <v>1693</v>
      </c>
      <c r="B1615" t="s">
        <v>20</v>
      </c>
      <c r="C1615" t="s">
        <v>70</v>
      </c>
      <c r="D1615" t="str">
        <f t="shared" si="150"/>
        <v>CA</v>
      </c>
      <c r="E1615" t="str">
        <f t="shared" si="151"/>
        <v>West</v>
      </c>
      <c r="F1615" t="s">
        <v>18</v>
      </c>
      <c r="G1615" s="1">
        <v>44959</v>
      </c>
      <c r="H1615" s="1">
        <v>44965</v>
      </c>
      <c r="I1615" s="1">
        <f t="shared" si="155"/>
        <v>44965</v>
      </c>
      <c r="J1615" s="2">
        <v>15.5</v>
      </c>
      <c r="K1615" s="2">
        <v>351.5</v>
      </c>
      <c r="L1615" t="s">
        <v>15</v>
      </c>
      <c r="M1615" s="2">
        <v>2499</v>
      </c>
      <c r="N1615" s="2">
        <v>6</v>
      </c>
      <c r="O1615" s="2">
        <f t="shared" si="152"/>
        <v>416.5</v>
      </c>
      <c r="P1615" s="2">
        <f t="shared" si="153"/>
        <v>1.1849217638691323</v>
      </c>
      <c r="Q1615" s="3">
        <f t="shared" si="154"/>
        <v>0.14065626250500199</v>
      </c>
    </row>
    <row r="1616" spans="1:17" hidden="1" x14ac:dyDescent="0.25">
      <c r="A1616" t="s">
        <v>1694</v>
      </c>
      <c r="B1616" t="s">
        <v>30</v>
      </c>
      <c r="C1616" t="s">
        <v>52</v>
      </c>
      <c r="D1616" t="str">
        <f t="shared" si="150"/>
        <v>AZ</v>
      </c>
      <c r="E1616" t="str">
        <f t="shared" si="151"/>
        <v>Southwest</v>
      </c>
      <c r="F1616" t="s">
        <v>25</v>
      </c>
      <c r="G1616" s="1">
        <v>45071</v>
      </c>
      <c r="H1616" s="1">
        <v>45074</v>
      </c>
      <c r="I1616" s="1">
        <f t="shared" si="155"/>
        <v>45074</v>
      </c>
      <c r="J1616" s="2">
        <v>29.2</v>
      </c>
      <c r="K1616" s="2">
        <v>126.94</v>
      </c>
      <c r="L1616" t="s">
        <v>15</v>
      </c>
      <c r="M1616" s="2">
        <v>680</v>
      </c>
      <c r="N1616" s="2">
        <v>3</v>
      </c>
      <c r="O1616" s="2">
        <f t="shared" si="152"/>
        <v>226.66666666666666</v>
      </c>
      <c r="P1616" s="2">
        <f t="shared" si="153"/>
        <v>1.7856205031248358</v>
      </c>
      <c r="Q1616" s="3">
        <f t="shared" si="154"/>
        <v>0.18667647058823528</v>
      </c>
    </row>
    <row r="1617" spans="1:17" hidden="1" x14ac:dyDescent="0.25">
      <c r="A1617" t="s">
        <v>1695</v>
      </c>
      <c r="B1617" t="s">
        <v>35</v>
      </c>
      <c r="C1617" t="s">
        <v>21</v>
      </c>
      <c r="D1617" t="str">
        <f t="shared" si="150"/>
        <v>TX</v>
      </c>
      <c r="E1617" t="str">
        <f t="shared" si="151"/>
        <v>Southwest</v>
      </c>
      <c r="F1617" t="s">
        <v>18</v>
      </c>
      <c r="G1617" s="1">
        <v>44985</v>
      </c>
      <c r="H1617" s="1">
        <v>44992</v>
      </c>
      <c r="I1617" s="1">
        <f t="shared" si="155"/>
        <v>44992</v>
      </c>
      <c r="J1617" s="2">
        <v>39.9</v>
      </c>
      <c r="K1617" s="2">
        <v>36.450000000000003</v>
      </c>
      <c r="L1617" t="s">
        <v>47</v>
      </c>
      <c r="M1617" s="2">
        <v>2190</v>
      </c>
      <c r="N1617" s="2">
        <v>6</v>
      </c>
      <c r="O1617" s="2">
        <f t="shared" si="152"/>
        <v>365</v>
      </c>
      <c r="P1617" s="2">
        <f t="shared" si="153"/>
        <v>10.013717421124827</v>
      </c>
      <c r="Q1617" s="3">
        <f t="shared" si="154"/>
        <v>1.6643835616438358E-2</v>
      </c>
    </row>
    <row r="1618" spans="1:17" x14ac:dyDescent="0.25">
      <c r="A1618" t="s">
        <v>1696</v>
      </c>
      <c r="B1618" t="s">
        <v>20</v>
      </c>
      <c r="C1618" t="s">
        <v>70</v>
      </c>
      <c r="D1618" t="str">
        <f t="shared" si="150"/>
        <v>CA</v>
      </c>
      <c r="E1618" t="str">
        <f t="shared" si="151"/>
        <v>West</v>
      </c>
      <c r="F1618" t="s">
        <v>18</v>
      </c>
      <c r="G1618" s="1">
        <v>45134</v>
      </c>
      <c r="H1618" s="1">
        <v>45140</v>
      </c>
      <c r="I1618" s="1">
        <f t="shared" si="155"/>
        <v>45140</v>
      </c>
      <c r="J1618" s="2">
        <v>24.6</v>
      </c>
      <c r="K1618" s="2">
        <v>295.52</v>
      </c>
      <c r="L1618" t="s">
        <v>15</v>
      </c>
      <c r="M1618" s="2">
        <v>1899</v>
      </c>
      <c r="N1618" s="2">
        <v>6</v>
      </c>
      <c r="O1618" s="2">
        <f t="shared" si="152"/>
        <v>316.5</v>
      </c>
      <c r="P1618" s="2">
        <f t="shared" si="153"/>
        <v>1.0709935029778019</v>
      </c>
      <c r="Q1618" s="3">
        <f t="shared" si="154"/>
        <v>0.15561874670879408</v>
      </c>
    </row>
    <row r="1619" spans="1:17" hidden="1" x14ac:dyDescent="0.25">
      <c r="A1619" t="s">
        <v>1697</v>
      </c>
      <c r="B1619" t="s">
        <v>30</v>
      </c>
      <c r="C1619" t="s">
        <v>52</v>
      </c>
      <c r="D1619" t="str">
        <f t="shared" si="150"/>
        <v>AZ</v>
      </c>
      <c r="E1619" t="str">
        <f t="shared" si="151"/>
        <v>Southwest</v>
      </c>
      <c r="F1619" t="s">
        <v>32</v>
      </c>
      <c r="G1619" s="1">
        <v>44979</v>
      </c>
      <c r="H1619" s="1">
        <v>44984</v>
      </c>
      <c r="I1619" s="1">
        <f t="shared" si="155"/>
        <v>44984</v>
      </c>
      <c r="J1619" s="2">
        <v>27.4</v>
      </c>
      <c r="K1619" s="2">
        <v>336.51</v>
      </c>
      <c r="L1619" t="s">
        <v>15</v>
      </c>
      <c r="M1619" s="2">
        <v>2166</v>
      </c>
      <c r="N1619" s="2">
        <v>5</v>
      </c>
      <c r="O1619" s="2">
        <f t="shared" si="152"/>
        <v>433.2</v>
      </c>
      <c r="P1619" s="2">
        <f t="shared" si="153"/>
        <v>1.2873317286261925</v>
      </c>
      <c r="Q1619" s="3">
        <f t="shared" si="154"/>
        <v>0.1553601108033241</v>
      </c>
    </row>
    <row r="1620" spans="1:17" hidden="1" x14ac:dyDescent="0.25">
      <c r="A1620" t="s">
        <v>1698</v>
      </c>
      <c r="B1620" t="s">
        <v>35</v>
      </c>
      <c r="C1620" t="s">
        <v>28</v>
      </c>
      <c r="D1620" t="str">
        <f t="shared" si="150"/>
        <v>TX</v>
      </c>
      <c r="E1620" t="str">
        <f t="shared" si="151"/>
        <v>Southwest</v>
      </c>
      <c r="F1620" t="s">
        <v>25</v>
      </c>
      <c r="G1620" s="1">
        <v>45165</v>
      </c>
      <c r="H1620" s="1">
        <v>45168</v>
      </c>
      <c r="I1620" s="1">
        <f t="shared" si="155"/>
        <v>45168</v>
      </c>
      <c r="J1620" s="2">
        <v>9.9</v>
      </c>
      <c r="K1620" s="2">
        <v>67.66</v>
      </c>
      <c r="L1620" t="s">
        <v>15</v>
      </c>
      <c r="M1620" s="2">
        <v>520</v>
      </c>
      <c r="N1620" s="2">
        <v>3</v>
      </c>
      <c r="O1620" s="2">
        <f t="shared" si="152"/>
        <v>173.33333333333334</v>
      </c>
      <c r="P1620" s="2">
        <f t="shared" si="153"/>
        <v>2.5618287516011433</v>
      </c>
      <c r="Q1620" s="3">
        <f t="shared" si="154"/>
        <v>0.1301153846153846</v>
      </c>
    </row>
    <row r="1621" spans="1:17" hidden="1" x14ac:dyDescent="0.25">
      <c r="A1621" t="s">
        <v>1699</v>
      </c>
      <c r="B1621" t="s">
        <v>56</v>
      </c>
      <c r="C1621" t="s">
        <v>31</v>
      </c>
      <c r="D1621" t="str">
        <f t="shared" si="150"/>
        <v>NY</v>
      </c>
      <c r="E1621" t="str">
        <f t="shared" si="151"/>
        <v>Northeast</v>
      </c>
      <c r="F1621" t="s">
        <v>37</v>
      </c>
      <c r="G1621" s="1">
        <v>44956</v>
      </c>
      <c r="H1621" s="1">
        <v>44958</v>
      </c>
      <c r="I1621" s="1">
        <f t="shared" si="155"/>
        <v>44958</v>
      </c>
      <c r="J1621" s="2">
        <v>16.2</v>
      </c>
      <c r="K1621" s="2">
        <v>106.95</v>
      </c>
      <c r="L1621" t="s">
        <v>15</v>
      </c>
      <c r="M1621" s="2">
        <v>715</v>
      </c>
      <c r="N1621" s="2">
        <v>2</v>
      </c>
      <c r="O1621" s="2">
        <f t="shared" si="152"/>
        <v>357.5</v>
      </c>
      <c r="P1621" s="2">
        <f t="shared" si="153"/>
        <v>3.3426834969611967</v>
      </c>
      <c r="Q1621" s="3">
        <f t="shared" si="154"/>
        <v>0.14958041958041959</v>
      </c>
    </row>
    <row r="1622" spans="1:17" hidden="1" x14ac:dyDescent="0.25">
      <c r="A1622" t="s">
        <v>1700</v>
      </c>
      <c r="B1622" t="s">
        <v>30</v>
      </c>
      <c r="C1622" t="s">
        <v>28</v>
      </c>
      <c r="D1622" t="str">
        <f t="shared" si="150"/>
        <v>TX</v>
      </c>
      <c r="E1622" t="str">
        <f t="shared" si="151"/>
        <v>Southwest</v>
      </c>
      <c r="F1622" t="s">
        <v>42</v>
      </c>
      <c r="G1622" s="1">
        <v>45219</v>
      </c>
      <c r="H1622" s="1">
        <v>45224</v>
      </c>
      <c r="I1622" s="1">
        <f t="shared" si="155"/>
        <v>45224</v>
      </c>
      <c r="J1622" s="2">
        <v>27.9</v>
      </c>
      <c r="K1622" s="2">
        <v>261.5</v>
      </c>
      <c r="L1622" t="s">
        <v>62</v>
      </c>
      <c r="M1622" s="2">
        <v>1773</v>
      </c>
      <c r="N1622" s="2">
        <v>5</v>
      </c>
      <c r="O1622" s="2">
        <f t="shared" si="152"/>
        <v>354.6</v>
      </c>
      <c r="P1622" s="2">
        <f t="shared" si="153"/>
        <v>1.3560229445506693</v>
      </c>
      <c r="Q1622" s="3">
        <f t="shared" si="154"/>
        <v>0.14749012972363226</v>
      </c>
    </row>
    <row r="1623" spans="1:17" hidden="1" x14ac:dyDescent="0.25">
      <c r="A1623" t="s">
        <v>1701</v>
      </c>
      <c r="B1623" t="s">
        <v>49</v>
      </c>
      <c r="C1623" t="s">
        <v>40</v>
      </c>
      <c r="D1623" t="str">
        <f t="shared" si="150"/>
        <v>MI</v>
      </c>
      <c r="E1623" t="str">
        <f t="shared" si="151"/>
        <v>Midwest</v>
      </c>
      <c r="F1623" t="s">
        <v>18</v>
      </c>
      <c r="G1623" s="1">
        <v>45061</v>
      </c>
      <c r="H1623" s="1">
        <v>45063</v>
      </c>
      <c r="I1623" s="1">
        <f t="shared" si="155"/>
        <v>45063</v>
      </c>
      <c r="J1623" s="2">
        <v>16.2</v>
      </c>
      <c r="K1623" s="2">
        <v>75.069999999999993</v>
      </c>
      <c r="L1623" t="s">
        <v>15</v>
      </c>
      <c r="M1623" s="2">
        <v>369</v>
      </c>
      <c r="N1623" s="2">
        <v>2</v>
      </c>
      <c r="O1623" s="2">
        <f t="shared" si="152"/>
        <v>184.5</v>
      </c>
      <c r="P1623" s="2">
        <f t="shared" si="153"/>
        <v>2.4577061409351275</v>
      </c>
      <c r="Q1623" s="3">
        <f t="shared" si="154"/>
        <v>0.20344173441734414</v>
      </c>
    </row>
    <row r="1624" spans="1:17" x14ac:dyDescent="0.25">
      <c r="A1624" t="s">
        <v>1702</v>
      </c>
      <c r="B1624" t="s">
        <v>51</v>
      </c>
      <c r="C1624" t="s">
        <v>70</v>
      </c>
      <c r="D1624" t="str">
        <f t="shared" si="150"/>
        <v>CA</v>
      </c>
      <c r="E1624" t="str">
        <f t="shared" si="151"/>
        <v>West</v>
      </c>
      <c r="F1624" t="s">
        <v>32</v>
      </c>
      <c r="G1624" s="1">
        <v>45156</v>
      </c>
      <c r="H1624" s="1">
        <v>45158</v>
      </c>
      <c r="I1624" s="1">
        <f t="shared" si="155"/>
        <v>45158</v>
      </c>
      <c r="J1624" s="2">
        <v>5.3</v>
      </c>
      <c r="K1624" s="2">
        <v>107.55</v>
      </c>
      <c r="L1624" t="s">
        <v>15</v>
      </c>
      <c r="M1624" s="2">
        <v>846</v>
      </c>
      <c r="N1624" s="2">
        <v>2</v>
      </c>
      <c r="O1624" s="2">
        <f t="shared" si="152"/>
        <v>423</v>
      </c>
      <c r="P1624" s="2">
        <f t="shared" si="153"/>
        <v>3.9330543933054396</v>
      </c>
      <c r="Q1624" s="3">
        <f t="shared" si="154"/>
        <v>0.12712765957446809</v>
      </c>
    </row>
    <row r="1625" spans="1:17" hidden="1" x14ac:dyDescent="0.25">
      <c r="A1625" t="s">
        <v>1703</v>
      </c>
      <c r="B1625" t="s">
        <v>20</v>
      </c>
      <c r="C1625" t="s">
        <v>46</v>
      </c>
      <c r="D1625" t="str">
        <f t="shared" si="150"/>
        <v>MA</v>
      </c>
      <c r="E1625" t="str">
        <f t="shared" si="151"/>
        <v>Northeast</v>
      </c>
      <c r="F1625" t="s">
        <v>37</v>
      </c>
      <c r="G1625" s="1">
        <v>45167</v>
      </c>
      <c r="H1625" s="1">
        <v>45170</v>
      </c>
      <c r="I1625" s="1">
        <f t="shared" si="155"/>
        <v>45170</v>
      </c>
      <c r="J1625" s="2">
        <v>23.7</v>
      </c>
      <c r="K1625" s="2">
        <v>137.37</v>
      </c>
      <c r="L1625" t="s">
        <v>15</v>
      </c>
      <c r="M1625" s="2">
        <v>905</v>
      </c>
      <c r="N1625" s="2">
        <v>3</v>
      </c>
      <c r="O1625" s="2">
        <f t="shared" si="152"/>
        <v>301.66666666666669</v>
      </c>
      <c r="P1625" s="2">
        <f t="shared" si="153"/>
        <v>2.1960156268957318</v>
      </c>
      <c r="Q1625" s="3">
        <f t="shared" si="154"/>
        <v>0.1517900552486188</v>
      </c>
    </row>
    <row r="1626" spans="1:17" x14ac:dyDescent="0.25">
      <c r="A1626" t="s">
        <v>1704</v>
      </c>
      <c r="B1626" t="s">
        <v>23</v>
      </c>
      <c r="C1626" t="s">
        <v>70</v>
      </c>
      <c r="D1626" t="str">
        <f t="shared" si="150"/>
        <v>CA</v>
      </c>
      <c r="E1626" t="str">
        <f t="shared" si="151"/>
        <v>West</v>
      </c>
      <c r="F1626" t="s">
        <v>18</v>
      </c>
      <c r="G1626" s="1">
        <v>45262</v>
      </c>
      <c r="H1626" s="1">
        <v>45264</v>
      </c>
      <c r="I1626" s="1">
        <f t="shared" si="155"/>
        <v>45264</v>
      </c>
      <c r="J1626" s="2">
        <v>5.6</v>
      </c>
      <c r="K1626" s="2">
        <v>36.1</v>
      </c>
      <c r="L1626" t="s">
        <v>15</v>
      </c>
      <c r="M1626" s="2">
        <v>171</v>
      </c>
      <c r="N1626" s="2">
        <v>2</v>
      </c>
      <c r="O1626" s="2">
        <f t="shared" si="152"/>
        <v>85.5</v>
      </c>
      <c r="P1626" s="2">
        <f t="shared" si="153"/>
        <v>2.3684210526315788</v>
      </c>
      <c r="Q1626" s="3">
        <f t="shared" si="154"/>
        <v>0.21111111111111111</v>
      </c>
    </row>
    <row r="1627" spans="1:17" hidden="1" x14ac:dyDescent="0.25">
      <c r="A1627" t="s">
        <v>1705</v>
      </c>
      <c r="B1627" t="s">
        <v>12</v>
      </c>
      <c r="C1627" t="s">
        <v>57</v>
      </c>
      <c r="D1627" t="str">
        <f t="shared" si="150"/>
        <v>MN</v>
      </c>
      <c r="E1627" t="str">
        <f t="shared" si="151"/>
        <v>Midwest</v>
      </c>
      <c r="F1627" t="s">
        <v>18</v>
      </c>
      <c r="G1627" s="1">
        <v>44975</v>
      </c>
      <c r="H1627" s="1">
        <v>44981</v>
      </c>
      <c r="I1627" s="1">
        <f t="shared" si="155"/>
        <v>44981</v>
      </c>
      <c r="J1627" s="2">
        <v>8.9</v>
      </c>
      <c r="K1627" s="2">
        <v>296.47000000000003</v>
      </c>
      <c r="L1627" t="s">
        <v>15</v>
      </c>
      <c r="M1627" s="2">
        <v>2222</v>
      </c>
      <c r="N1627" s="2">
        <v>6</v>
      </c>
      <c r="O1627" s="2">
        <f t="shared" si="152"/>
        <v>370.33333333333331</v>
      </c>
      <c r="P1627" s="2">
        <f t="shared" si="153"/>
        <v>1.2491426900979299</v>
      </c>
      <c r="Q1627" s="3">
        <f t="shared" si="154"/>
        <v>0.13342484248424843</v>
      </c>
    </row>
    <row r="1628" spans="1:17" hidden="1" x14ac:dyDescent="0.25">
      <c r="A1628" t="s">
        <v>1706</v>
      </c>
      <c r="B1628" t="s">
        <v>49</v>
      </c>
      <c r="C1628" t="s">
        <v>54</v>
      </c>
      <c r="D1628" t="str">
        <f t="shared" si="150"/>
        <v>FL</v>
      </c>
      <c r="E1628" t="str">
        <f t="shared" si="151"/>
        <v>Southeast</v>
      </c>
      <c r="F1628" t="s">
        <v>32</v>
      </c>
      <c r="G1628" s="1">
        <v>44965</v>
      </c>
      <c r="H1628" s="1">
        <v>44971</v>
      </c>
      <c r="I1628" s="1">
        <f t="shared" si="155"/>
        <v>44971</v>
      </c>
      <c r="J1628" s="2">
        <v>27.2</v>
      </c>
      <c r="K1628" s="2">
        <v>375.67</v>
      </c>
      <c r="L1628" t="s">
        <v>15</v>
      </c>
      <c r="M1628" s="2">
        <v>2462</v>
      </c>
      <c r="N1628" s="2">
        <v>6</v>
      </c>
      <c r="O1628" s="2">
        <f t="shared" si="152"/>
        <v>410.33333333333331</v>
      </c>
      <c r="P1628" s="2">
        <f t="shared" si="153"/>
        <v>1.0922706985741031</v>
      </c>
      <c r="Q1628" s="3">
        <f t="shared" si="154"/>
        <v>0.15258732737611699</v>
      </c>
    </row>
    <row r="1629" spans="1:17" hidden="1" x14ac:dyDescent="0.25">
      <c r="A1629" t="s">
        <v>1707</v>
      </c>
      <c r="B1629" t="s">
        <v>30</v>
      </c>
      <c r="C1629" t="s">
        <v>57</v>
      </c>
      <c r="D1629" t="str">
        <f t="shared" si="150"/>
        <v>MN</v>
      </c>
      <c r="E1629" t="str">
        <f t="shared" si="151"/>
        <v>Midwest</v>
      </c>
      <c r="F1629" t="s">
        <v>25</v>
      </c>
      <c r="G1629" s="1">
        <v>45113</v>
      </c>
      <c r="H1629" s="1">
        <v>45118</v>
      </c>
      <c r="I1629" s="1">
        <f t="shared" si="155"/>
        <v>45118</v>
      </c>
      <c r="J1629" s="2">
        <v>9.6999999999999993</v>
      </c>
      <c r="K1629" s="2">
        <v>191.62</v>
      </c>
      <c r="L1629" t="s">
        <v>15</v>
      </c>
      <c r="M1629" s="2">
        <v>1529</v>
      </c>
      <c r="N1629" s="2">
        <v>5</v>
      </c>
      <c r="O1629" s="2">
        <f t="shared" si="152"/>
        <v>305.8</v>
      </c>
      <c r="P1629" s="2">
        <f t="shared" si="153"/>
        <v>1.5958668197474168</v>
      </c>
      <c r="Q1629" s="3">
        <f t="shared" si="154"/>
        <v>0.12532374100719423</v>
      </c>
    </row>
    <row r="1630" spans="1:17" hidden="1" x14ac:dyDescent="0.25">
      <c r="A1630" t="s">
        <v>1708</v>
      </c>
      <c r="B1630" t="s">
        <v>23</v>
      </c>
      <c r="C1630" t="s">
        <v>54</v>
      </c>
      <c r="D1630" t="str">
        <f t="shared" si="150"/>
        <v>FL</v>
      </c>
      <c r="E1630" t="str">
        <f t="shared" si="151"/>
        <v>Southeast</v>
      </c>
      <c r="F1630" t="s">
        <v>14</v>
      </c>
      <c r="G1630" s="1">
        <v>45046</v>
      </c>
      <c r="H1630" s="1">
        <v>45051</v>
      </c>
      <c r="I1630" s="1">
        <f t="shared" si="155"/>
        <v>45051</v>
      </c>
      <c r="J1630" s="2">
        <v>3</v>
      </c>
      <c r="K1630" s="2">
        <v>237.95</v>
      </c>
      <c r="L1630" t="s">
        <v>15</v>
      </c>
      <c r="M1630" s="2">
        <v>1912</v>
      </c>
      <c r="N1630" s="2">
        <v>5</v>
      </c>
      <c r="O1630" s="2">
        <f t="shared" si="152"/>
        <v>382.4</v>
      </c>
      <c r="P1630" s="2">
        <f t="shared" si="153"/>
        <v>1.6070603067871401</v>
      </c>
      <c r="Q1630" s="3">
        <f t="shared" si="154"/>
        <v>0.12445083682008368</v>
      </c>
    </row>
    <row r="1631" spans="1:17" hidden="1" x14ac:dyDescent="0.25">
      <c r="A1631" t="s">
        <v>1709</v>
      </c>
      <c r="B1631" t="s">
        <v>20</v>
      </c>
      <c r="C1631" t="s">
        <v>31</v>
      </c>
      <c r="D1631" t="str">
        <f t="shared" si="150"/>
        <v>NY</v>
      </c>
      <c r="E1631" t="str">
        <f t="shared" si="151"/>
        <v>Northeast</v>
      </c>
      <c r="F1631" t="s">
        <v>42</v>
      </c>
      <c r="G1631" s="1">
        <v>45277</v>
      </c>
      <c r="H1631" s="1">
        <v>45280</v>
      </c>
      <c r="I1631" s="1">
        <f t="shared" si="155"/>
        <v>45280</v>
      </c>
      <c r="J1631" s="2">
        <v>60.3</v>
      </c>
      <c r="K1631" s="2">
        <v>272.77999999999997</v>
      </c>
      <c r="L1631" t="s">
        <v>15</v>
      </c>
      <c r="M1631" s="2">
        <v>1194</v>
      </c>
      <c r="N1631" s="2">
        <v>3</v>
      </c>
      <c r="O1631" s="2">
        <f t="shared" si="152"/>
        <v>398</v>
      </c>
      <c r="P1631" s="2">
        <f t="shared" si="153"/>
        <v>1.459051250091649</v>
      </c>
      <c r="Q1631" s="3">
        <f t="shared" si="154"/>
        <v>0.22845896147403683</v>
      </c>
    </row>
    <row r="1632" spans="1:17" x14ac:dyDescent="0.25">
      <c r="A1632" t="s">
        <v>1711</v>
      </c>
      <c r="B1632" t="s">
        <v>27</v>
      </c>
      <c r="C1632" t="s">
        <v>36</v>
      </c>
      <c r="D1632" t="str">
        <f t="shared" si="150"/>
        <v>OR</v>
      </c>
      <c r="E1632" t="str">
        <f t="shared" si="151"/>
        <v>West</v>
      </c>
      <c r="F1632" t="s">
        <v>42</v>
      </c>
      <c r="G1632" s="1">
        <v>45088</v>
      </c>
      <c r="H1632" s="1">
        <v>45094</v>
      </c>
      <c r="I1632" s="1">
        <f t="shared" si="155"/>
        <v>45094</v>
      </c>
      <c r="J1632" s="2">
        <v>34.299999999999997</v>
      </c>
      <c r="K1632" s="2">
        <v>296.22000000000003</v>
      </c>
      <c r="L1632" t="s">
        <v>15</v>
      </c>
      <c r="M1632" s="2">
        <v>1916</v>
      </c>
      <c r="N1632" s="2">
        <v>6</v>
      </c>
      <c r="O1632" s="2">
        <f t="shared" si="152"/>
        <v>319.33333333333331</v>
      </c>
      <c r="P1632" s="2">
        <f t="shared" si="153"/>
        <v>1.0780275921049669</v>
      </c>
      <c r="Q1632" s="3">
        <f t="shared" si="154"/>
        <v>0.1546033402922756</v>
      </c>
    </row>
    <row r="1633" spans="1:17" x14ac:dyDescent="0.25">
      <c r="A1633" t="s">
        <v>1712</v>
      </c>
      <c r="B1633" t="s">
        <v>12</v>
      </c>
      <c r="C1633" t="s">
        <v>81</v>
      </c>
      <c r="D1633" t="str">
        <f t="shared" si="150"/>
        <v>CO</v>
      </c>
      <c r="E1633" t="str">
        <f t="shared" si="151"/>
        <v>West</v>
      </c>
      <c r="F1633" t="s">
        <v>14</v>
      </c>
      <c r="G1633" s="1">
        <v>45024</v>
      </c>
      <c r="H1633" s="1">
        <v>45029</v>
      </c>
      <c r="I1633" s="1">
        <f t="shared" si="155"/>
        <v>45029</v>
      </c>
      <c r="J1633" s="2">
        <v>34.200000000000003</v>
      </c>
      <c r="K1633" s="2">
        <v>113.11</v>
      </c>
      <c r="L1633" t="s">
        <v>15</v>
      </c>
      <c r="M1633" s="2">
        <v>504</v>
      </c>
      <c r="N1633" s="2">
        <v>5</v>
      </c>
      <c r="O1633" s="2">
        <f t="shared" si="152"/>
        <v>100.8</v>
      </c>
      <c r="P1633" s="2">
        <f t="shared" si="153"/>
        <v>0.89116788966492788</v>
      </c>
      <c r="Q1633" s="3">
        <f t="shared" si="154"/>
        <v>0.22442460317460317</v>
      </c>
    </row>
    <row r="1634" spans="1:17" hidden="1" x14ac:dyDescent="0.25">
      <c r="A1634" t="s">
        <v>1713</v>
      </c>
      <c r="B1634" t="s">
        <v>49</v>
      </c>
      <c r="C1634" t="s">
        <v>44</v>
      </c>
      <c r="D1634" t="str">
        <f t="shared" ref="D1634:D1697" si="156">IF(C1634="Atlanta","GA",
IF(C1634="Boston","MA",
IF(C1634="Chicago","IL",
IF(C1634="Dallas","TX",
IF(C1634="Denver","CO",
IF(C1634="Detroit","MI",
IF(C1634="Houston","TX",
IF(C1634="Los Angeles","CA",
IF(C1634="Miami","FL",
IF(C1634="Minneapolis","MN",
IF(C1634="New York","NY",
IF(C1634="Phoenix","AZ",
IF(C1634="Portland","OR",
IF(C1634="San Francisco","CA",
IF(C1634="Seattle","WA","Unknown")))))))))))))))</f>
        <v>IL</v>
      </c>
      <c r="E1634" t="str">
        <f t="shared" ref="E1634:E1697" si="157">IF(OR(D1634="NY",D1634="NJ",D1634="PA",D1634="MA",D1634="CT",D1634="RI",D1634="VT",D1634="NH",D1634="ME"),"Northeast",
IF(OR(D1634="FL",D1634="GA",D1634="AL",D1634="MS",D1634="SC",D1634="NC",D1634="TN",D1634="KY"),"Southeast",
IF(OR(D1634="IL",D1634="IN",D1634="OH",D1634="MI",D1634="WI",D1634="MN",D1634="IA",D1634="MO",D1634="KS",D1634="NE",D1634="ND",D1634="SD"),"Midwest",
IF(OR(D1634="TX",D1634="OK",D1634="NM",D1634="AZ"),"Southwest",
IF(OR(D1634="CA",D1634="OR",D1634="WA",D1634="NV",D1634="CO",D1634="UT",D1634="ID",D1634="MT",D1634="WY",D1634="AK",D1634="HI"),"West","Other")))))</f>
        <v>Midwest</v>
      </c>
      <c r="F1634" t="s">
        <v>37</v>
      </c>
      <c r="G1634" s="1">
        <v>45139</v>
      </c>
      <c r="H1634" s="1">
        <v>45147</v>
      </c>
      <c r="I1634" s="1">
        <f t="shared" si="155"/>
        <v>45147</v>
      </c>
      <c r="J1634" s="2">
        <v>70.5</v>
      </c>
      <c r="K1634" s="2">
        <v>367.67</v>
      </c>
      <c r="L1634" t="s">
        <v>15</v>
      </c>
      <c r="M1634" s="2">
        <v>2442</v>
      </c>
      <c r="N1634" s="2">
        <v>8</v>
      </c>
      <c r="O1634" s="2">
        <f t="shared" ref="O1634:O1697" si="158">M1634/N1634</f>
        <v>305.25</v>
      </c>
      <c r="P1634" s="2">
        <f t="shared" ref="P1634:P1697" si="159">O1634/K1634</f>
        <v>0.83022819376070933</v>
      </c>
      <c r="Q1634" s="3">
        <f t="shared" ref="Q1634:Q1697" si="160">K1634/M1634</f>
        <v>0.15056101556101556</v>
      </c>
    </row>
    <row r="1635" spans="1:17" x14ac:dyDescent="0.25">
      <c r="A1635" t="s">
        <v>1714</v>
      </c>
      <c r="B1635" t="s">
        <v>20</v>
      </c>
      <c r="C1635" t="s">
        <v>24</v>
      </c>
      <c r="D1635" t="str">
        <f t="shared" si="156"/>
        <v>WA</v>
      </c>
      <c r="E1635" t="str">
        <f t="shared" si="157"/>
        <v>West</v>
      </c>
      <c r="F1635" t="s">
        <v>42</v>
      </c>
      <c r="G1635" s="1">
        <v>45012</v>
      </c>
      <c r="H1635" s="1">
        <v>45017</v>
      </c>
      <c r="I1635" s="1">
        <f t="shared" si="155"/>
        <v>45017</v>
      </c>
      <c r="J1635" s="2">
        <v>13.1</v>
      </c>
      <c r="K1635" s="2">
        <v>162.21</v>
      </c>
      <c r="L1635" t="s">
        <v>15</v>
      </c>
      <c r="M1635" s="2">
        <v>1135</v>
      </c>
      <c r="N1635" s="2">
        <v>5</v>
      </c>
      <c r="O1635" s="2">
        <f t="shared" si="158"/>
        <v>227</v>
      </c>
      <c r="P1635" s="2">
        <f t="shared" si="159"/>
        <v>1.3994205042845693</v>
      </c>
      <c r="Q1635" s="3">
        <f t="shared" si="160"/>
        <v>0.14291629955947138</v>
      </c>
    </row>
    <row r="1636" spans="1:17" hidden="1" x14ac:dyDescent="0.25">
      <c r="A1636" t="s">
        <v>1715</v>
      </c>
      <c r="B1636" t="s">
        <v>35</v>
      </c>
      <c r="C1636" t="s">
        <v>52</v>
      </c>
      <c r="D1636" t="str">
        <f t="shared" si="156"/>
        <v>AZ</v>
      </c>
      <c r="E1636" t="str">
        <f t="shared" si="157"/>
        <v>Southwest</v>
      </c>
      <c r="F1636" t="s">
        <v>42</v>
      </c>
      <c r="G1636" s="1">
        <v>45229</v>
      </c>
      <c r="H1636" s="1">
        <v>45234</v>
      </c>
      <c r="I1636" s="1">
        <f t="shared" si="155"/>
        <v>45234</v>
      </c>
      <c r="J1636" s="2">
        <v>26.5</v>
      </c>
      <c r="K1636" s="2">
        <v>254.13</v>
      </c>
      <c r="L1636" t="s">
        <v>15</v>
      </c>
      <c r="M1636" s="2">
        <v>1815</v>
      </c>
      <c r="N1636" s="2">
        <v>5</v>
      </c>
      <c r="O1636" s="2">
        <f t="shared" si="158"/>
        <v>363</v>
      </c>
      <c r="P1636" s="2">
        <f t="shared" si="159"/>
        <v>1.4284027859756818</v>
      </c>
      <c r="Q1636" s="3">
        <f t="shared" si="160"/>
        <v>0.14001652892561983</v>
      </c>
    </row>
    <row r="1637" spans="1:17" x14ac:dyDescent="0.25">
      <c r="A1637" t="s">
        <v>1716</v>
      </c>
      <c r="B1637" t="s">
        <v>56</v>
      </c>
      <c r="C1637" t="s">
        <v>81</v>
      </c>
      <c r="D1637" t="str">
        <f t="shared" si="156"/>
        <v>CO</v>
      </c>
      <c r="E1637" t="str">
        <f t="shared" si="157"/>
        <v>West</v>
      </c>
      <c r="F1637" t="s">
        <v>32</v>
      </c>
      <c r="G1637" s="1">
        <v>45287</v>
      </c>
      <c r="H1637" s="1">
        <v>45290</v>
      </c>
      <c r="I1637" s="1">
        <f t="shared" si="155"/>
        <v>45290</v>
      </c>
      <c r="J1637" s="2">
        <v>13.6</v>
      </c>
      <c r="K1637" s="2">
        <v>166.26</v>
      </c>
      <c r="L1637" t="s">
        <v>62</v>
      </c>
      <c r="M1637" s="2">
        <v>834</v>
      </c>
      <c r="N1637" s="2">
        <v>3</v>
      </c>
      <c r="O1637" s="2">
        <f t="shared" si="158"/>
        <v>278</v>
      </c>
      <c r="P1637" s="2">
        <f t="shared" si="159"/>
        <v>1.6720798748947432</v>
      </c>
      <c r="Q1637" s="3">
        <f t="shared" si="160"/>
        <v>0.19935251798561149</v>
      </c>
    </row>
    <row r="1638" spans="1:17" x14ac:dyDescent="0.25">
      <c r="A1638" t="s">
        <v>1717</v>
      </c>
      <c r="B1638" t="s">
        <v>30</v>
      </c>
      <c r="C1638" t="s">
        <v>24</v>
      </c>
      <c r="D1638" t="str">
        <f t="shared" si="156"/>
        <v>WA</v>
      </c>
      <c r="E1638" t="str">
        <f t="shared" si="157"/>
        <v>West</v>
      </c>
      <c r="F1638" t="s">
        <v>18</v>
      </c>
      <c r="G1638" s="1">
        <v>45257</v>
      </c>
      <c r="H1638" s="1">
        <v>45260</v>
      </c>
      <c r="I1638" s="1">
        <f t="shared" si="155"/>
        <v>45260</v>
      </c>
      <c r="J1638" s="2">
        <v>18.600000000000001</v>
      </c>
      <c r="K1638" s="2">
        <v>202.15</v>
      </c>
      <c r="L1638" t="s">
        <v>15</v>
      </c>
      <c r="M1638" s="2">
        <v>997</v>
      </c>
      <c r="N1638" s="2">
        <v>3</v>
      </c>
      <c r="O1638" s="2">
        <f t="shared" si="158"/>
        <v>332.33333333333331</v>
      </c>
      <c r="P1638" s="2">
        <f t="shared" si="159"/>
        <v>1.6439937340258883</v>
      </c>
      <c r="Q1638" s="3">
        <f t="shared" si="160"/>
        <v>0.20275827482447342</v>
      </c>
    </row>
    <row r="1639" spans="1:17" hidden="1" x14ac:dyDescent="0.25">
      <c r="A1639" t="s">
        <v>1718</v>
      </c>
      <c r="B1639" t="s">
        <v>20</v>
      </c>
      <c r="C1639" t="s">
        <v>52</v>
      </c>
      <c r="D1639" t="str">
        <f t="shared" si="156"/>
        <v>AZ</v>
      </c>
      <c r="E1639" t="str">
        <f t="shared" si="157"/>
        <v>Southwest</v>
      </c>
      <c r="F1639" t="s">
        <v>37</v>
      </c>
      <c r="G1639" s="1">
        <v>44984</v>
      </c>
      <c r="H1639" s="1">
        <v>44986</v>
      </c>
      <c r="I1639" s="1">
        <f t="shared" si="155"/>
        <v>44986</v>
      </c>
      <c r="J1639" s="2">
        <v>32.6</v>
      </c>
      <c r="K1639" s="2">
        <v>89.42</v>
      </c>
      <c r="L1639" t="s">
        <v>15</v>
      </c>
      <c r="M1639" s="2">
        <v>373</v>
      </c>
      <c r="N1639" s="2">
        <v>2</v>
      </c>
      <c r="O1639" s="2">
        <f t="shared" si="158"/>
        <v>186.5</v>
      </c>
      <c r="P1639" s="2">
        <f t="shared" si="159"/>
        <v>2.0856631626034443</v>
      </c>
      <c r="Q1639" s="3">
        <f t="shared" si="160"/>
        <v>0.23973190348525469</v>
      </c>
    </row>
    <row r="1640" spans="1:17" hidden="1" x14ac:dyDescent="0.25">
      <c r="A1640" t="s">
        <v>1719</v>
      </c>
      <c r="B1640" t="s">
        <v>12</v>
      </c>
      <c r="C1640" t="s">
        <v>44</v>
      </c>
      <c r="D1640" t="str">
        <f t="shared" si="156"/>
        <v>IL</v>
      </c>
      <c r="E1640" t="str">
        <f t="shared" si="157"/>
        <v>Midwest</v>
      </c>
      <c r="F1640" t="s">
        <v>32</v>
      </c>
      <c r="G1640" s="1">
        <v>45266</v>
      </c>
      <c r="H1640" s="1">
        <v>45273</v>
      </c>
      <c r="I1640" s="1">
        <f t="shared" si="155"/>
        <v>45273</v>
      </c>
      <c r="J1640" s="2">
        <v>9</v>
      </c>
      <c r="K1640" s="2">
        <v>352.78</v>
      </c>
      <c r="L1640" t="s">
        <v>15</v>
      </c>
      <c r="M1640" s="2">
        <v>1993</v>
      </c>
      <c r="N1640" s="2">
        <v>7</v>
      </c>
      <c r="O1640" s="2">
        <f t="shared" si="158"/>
        <v>284.71428571428572</v>
      </c>
      <c r="P1640" s="2">
        <f t="shared" si="159"/>
        <v>0.80705903314894767</v>
      </c>
      <c r="Q1640" s="3">
        <f t="shared" si="160"/>
        <v>0.17700953336678374</v>
      </c>
    </row>
    <row r="1641" spans="1:17" x14ac:dyDescent="0.25">
      <c r="A1641" t="s">
        <v>1720</v>
      </c>
      <c r="B1641" t="s">
        <v>51</v>
      </c>
      <c r="C1641" t="s">
        <v>13</v>
      </c>
      <c r="D1641" t="str">
        <f t="shared" si="156"/>
        <v>CA</v>
      </c>
      <c r="E1641" t="str">
        <f t="shared" si="157"/>
        <v>West</v>
      </c>
      <c r="F1641" t="s">
        <v>42</v>
      </c>
      <c r="G1641" s="1">
        <v>45051</v>
      </c>
      <c r="H1641" s="1">
        <v>45058</v>
      </c>
      <c r="I1641" s="1">
        <f t="shared" si="155"/>
        <v>45058</v>
      </c>
      <c r="J1641" s="2">
        <v>19.399999999999999</v>
      </c>
      <c r="K1641" s="2">
        <v>322.16000000000003</v>
      </c>
      <c r="L1641" t="s">
        <v>15</v>
      </c>
      <c r="M1641" s="2">
        <v>2423</v>
      </c>
      <c r="N1641" s="2">
        <v>7</v>
      </c>
      <c r="O1641" s="2">
        <f t="shared" si="158"/>
        <v>346.14285714285717</v>
      </c>
      <c r="P1641" s="2">
        <f t="shared" si="159"/>
        <v>1.0744439320302246</v>
      </c>
      <c r="Q1641" s="3">
        <f t="shared" si="160"/>
        <v>0.13295914156004954</v>
      </c>
    </row>
    <row r="1642" spans="1:17" hidden="1" x14ac:dyDescent="0.25">
      <c r="A1642" t="s">
        <v>1721</v>
      </c>
      <c r="B1642" t="s">
        <v>23</v>
      </c>
      <c r="C1642" t="s">
        <v>28</v>
      </c>
      <c r="D1642" t="str">
        <f t="shared" si="156"/>
        <v>TX</v>
      </c>
      <c r="E1642" t="str">
        <f t="shared" si="157"/>
        <v>Southwest</v>
      </c>
      <c r="F1642" t="s">
        <v>42</v>
      </c>
      <c r="G1642" s="1">
        <v>45069</v>
      </c>
      <c r="H1642" s="1">
        <v>45073</v>
      </c>
      <c r="I1642" s="1">
        <f t="shared" si="155"/>
        <v>45073</v>
      </c>
      <c r="J1642" s="2">
        <v>4.7</v>
      </c>
      <c r="K1642" s="2">
        <v>228.78</v>
      </c>
      <c r="L1642" t="s">
        <v>15</v>
      </c>
      <c r="M1642" s="2">
        <v>1732</v>
      </c>
      <c r="N1642" s="2">
        <v>4</v>
      </c>
      <c r="O1642" s="2">
        <f t="shared" si="158"/>
        <v>433</v>
      </c>
      <c r="P1642" s="2">
        <f t="shared" si="159"/>
        <v>1.8926479587376519</v>
      </c>
      <c r="Q1642" s="3">
        <f t="shared" si="160"/>
        <v>0.13209006928406467</v>
      </c>
    </row>
    <row r="1643" spans="1:17" x14ac:dyDescent="0.25">
      <c r="A1643" t="s">
        <v>1722</v>
      </c>
      <c r="B1643" t="s">
        <v>12</v>
      </c>
      <c r="C1643" t="s">
        <v>36</v>
      </c>
      <c r="D1643" t="str">
        <f t="shared" si="156"/>
        <v>OR</v>
      </c>
      <c r="E1643" t="str">
        <f t="shared" si="157"/>
        <v>West</v>
      </c>
      <c r="F1643" t="s">
        <v>59</v>
      </c>
      <c r="G1643" s="1">
        <v>45106</v>
      </c>
      <c r="H1643" s="1">
        <v>45108</v>
      </c>
      <c r="I1643" s="1">
        <f t="shared" si="155"/>
        <v>45108</v>
      </c>
      <c r="J1643" s="2">
        <v>15.9</v>
      </c>
      <c r="K1643" s="2">
        <v>119.24</v>
      </c>
      <c r="L1643" t="s">
        <v>15</v>
      </c>
      <c r="M1643" s="2">
        <v>928</v>
      </c>
      <c r="N1643" s="2">
        <v>2</v>
      </c>
      <c r="O1643" s="2">
        <f t="shared" si="158"/>
        <v>464</v>
      </c>
      <c r="P1643" s="2">
        <f t="shared" si="159"/>
        <v>3.8913116403891315</v>
      </c>
      <c r="Q1643" s="3">
        <f t="shared" si="160"/>
        <v>0.12849137931034482</v>
      </c>
    </row>
    <row r="1644" spans="1:17" hidden="1" x14ac:dyDescent="0.25">
      <c r="A1644" t="s">
        <v>1723</v>
      </c>
      <c r="B1644" t="s">
        <v>49</v>
      </c>
      <c r="C1644" t="s">
        <v>40</v>
      </c>
      <c r="D1644" t="str">
        <f t="shared" si="156"/>
        <v>MI</v>
      </c>
      <c r="E1644" t="str">
        <f t="shared" si="157"/>
        <v>Midwest</v>
      </c>
      <c r="F1644" t="s">
        <v>32</v>
      </c>
      <c r="G1644" s="1">
        <v>45022</v>
      </c>
      <c r="H1644" s="1">
        <v>45026</v>
      </c>
      <c r="I1644" s="1">
        <f t="shared" si="155"/>
        <v>45026</v>
      </c>
      <c r="J1644" s="2">
        <v>16</v>
      </c>
      <c r="K1644" s="2">
        <v>220.43</v>
      </c>
      <c r="L1644" t="s">
        <v>15</v>
      </c>
      <c r="M1644" s="2">
        <v>1521</v>
      </c>
      <c r="N1644" s="2">
        <v>4</v>
      </c>
      <c r="O1644" s="2">
        <f t="shared" si="158"/>
        <v>380.25</v>
      </c>
      <c r="P1644" s="2">
        <f t="shared" si="159"/>
        <v>1.7250374268475253</v>
      </c>
      <c r="Q1644" s="3">
        <f t="shared" si="160"/>
        <v>0.14492439184746878</v>
      </c>
    </row>
    <row r="1645" spans="1:17" hidden="1" x14ac:dyDescent="0.25">
      <c r="A1645" t="s">
        <v>1724</v>
      </c>
      <c r="B1645" t="s">
        <v>30</v>
      </c>
      <c r="C1645" t="s">
        <v>40</v>
      </c>
      <c r="D1645" t="str">
        <f t="shared" si="156"/>
        <v>MI</v>
      </c>
      <c r="E1645" t="str">
        <f t="shared" si="157"/>
        <v>Midwest</v>
      </c>
      <c r="F1645" t="s">
        <v>37</v>
      </c>
      <c r="G1645" s="1">
        <v>45143</v>
      </c>
      <c r="H1645" s="1">
        <v>45150</v>
      </c>
      <c r="I1645" s="1">
        <f t="shared" si="155"/>
        <v>45150</v>
      </c>
      <c r="J1645" s="2">
        <v>11.4</v>
      </c>
      <c r="K1645" s="2">
        <v>263.33999999999997</v>
      </c>
      <c r="L1645" t="s">
        <v>15</v>
      </c>
      <c r="M1645" s="2">
        <v>2178</v>
      </c>
      <c r="N1645" s="2">
        <v>7</v>
      </c>
      <c r="O1645" s="2">
        <f t="shared" si="158"/>
        <v>311.14285714285717</v>
      </c>
      <c r="P1645" s="2">
        <f t="shared" si="159"/>
        <v>1.1815252416756179</v>
      </c>
      <c r="Q1645" s="3">
        <f t="shared" si="160"/>
        <v>0.1209090909090909</v>
      </c>
    </row>
    <row r="1646" spans="1:17" hidden="1" x14ac:dyDescent="0.25">
      <c r="A1646" t="s">
        <v>1725</v>
      </c>
      <c r="B1646" t="s">
        <v>39</v>
      </c>
      <c r="C1646" t="s">
        <v>17</v>
      </c>
      <c r="D1646" t="str">
        <f t="shared" si="156"/>
        <v>GA</v>
      </c>
      <c r="E1646" t="str">
        <f t="shared" si="157"/>
        <v>Southeast</v>
      </c>
      <c r="F1646" t="s">
        <v>25</v>
      </c>
      <c r="G1646" s="1">
        <v>45080</v>
      </c>
      <c r="H1646" s="1">
        <v>45094</v>
      </c>
      <c r="I1646" s="1">
        <f t="shared" si="155"/>
        <v>45094</v>
      </c>
      <c r="J1646" s="2">
        <v>43.6</v>
      </c>
      <c r="K1646" s="2">
        <v>155.15</v>
      </c>
      <c r="L1646" t="s">
        <v>47</v>
      </c>
      <c r="M1646" s="2">
        <v>800</v>
      </c>
      <c r="N1646" s="2">
        <v>4</v>
      </c>
      <c r="O1646" s="2">
        <f t="shared" si="158"/>
        <v>200</v>
      </c>
      <c r="P1646" s="2">
        <f t="shared" si="159"/>
        <v>1.2890750886239124</v>
      </c>
      <c r="Q1646" s="3">
        <f t="shared" si="160"/>
        <v>0.19393750000000001</v>
      </c>
    </row>
    <row r="1647" spans="1:17" hidden="1" x14ac:dyDescent="0.25">
      <c r="A1647" t="s">
        <v>1726</v>
      </c>
      <c r="B1647" t="s">
        <v>56</v>
      </c>
      <c r="C1647" t="s">
        <v>46</v>
      </c>
      <c r="D1647" t="str">
        <f t="shared" si="156"/>
        <v>MA</v>
      </c>
      <c r="E1647" t="str">
        <f t="shared" si="157"/>
        <v>Northeast</v>
      </c>
      <c r="F1647" t="s">
        <v>42</v>
      </c>
      <c r="G1647" s="1">
        <v>45161</v>
      </c>
      <c r="H1647" s="1">
        <v>45166</v>
      </c>
      <c r="I1647" s="1">
        <f t="shared" si="155"/>
        <v>45166</v>
      </c>
      <c r="J1647" s="2">
        <v>45.5</v>
      </c>
      <c r="K1647" s="2">
        <v>293.95</v>
      </c>
      <c r="L1647" t="s">
        <v>15</v>
      </c>
      <c r="M1647" s="2">
        <v>2201</v>
      </c>
      <c r="N1647" s="2">
        <v>5</v>
      </c>
      <c r="O1647" s="2">
        <f t="shared" si="158"/>
        <v>440.2</v>
      </c>
      <c r="P1647" s="2">
        <f t="shared" si="159"/>
        <v>1.4975335941486647</v>
      </c>
      <c r="Q1647" s="3">
        <f t="shared" si="160"/>
        <v>0.13355293048614267</v>
      </c>
    </row>
    <row r="1648" spans="1:17" hidden="1" x14ac:dyDescent="0.25">
      <c r="A1648" t="s">
        <v>1727</v>
      </c>
      <c r="B1648" t="s">
        <v>27</v>
      </c>
      <c r="C1648" t="s">
        <v>52</v>
      </c>
      <c r="D1648" t="str">
        <f t="shared" si="156"/>
        <v>AZ</v>
      </c>
      <c r="E1648" t="str">
        <f t="shared" si="157"/>
        <v>Southwest</v>
      </c>
      <c r="F1648" t="s">
        <v>59</v>
      </c>
      <c r="G1648" s="1">
        <v>45063</v>
      </c>
      <c r="H1648" s="1">
        <v>45064</v>
      </c>
      <c r="I1648" s="1">
        <f t="shared" si="155"/>
        <v>45064</v>
      </c>
      <c r="J1648" s="2">
        <v>18.3</v>
      </c>
      <c r="K1648" s="2">
        <v>31.27</v>
      </c>
      <c r="L1648" t="s">
        <v>15</v>
      </c>
      <c r="M1648" s="2">
        <v>117</v>
      </c>
      <c r="N1648" s="2">
        <v>1</v>
      </c>
      <c r="O1648" s="2">
        <f t="shared" si="158"/>
        <v>117</v>
      </c>
      <c r="P1648" s="2">
        <f t="shared" si="159"/>
        <v>3.7416053725615606</v>
      </c>
      <c r="Q1648" s="3">
        <f t="shared" si="160"/>
        <v>0.26726495726495725</v>
      </c>
    </row>
    <row r="1649" spans="1:17" hidden="1" x14ac:dyDescent="0.25">
      <c r="A1649" t="s">
        <v>1728</v>
      </c>
      <c r="B1649" t="s">
        <v>30</v>
      </c>
      <c r="C1649" t="s">
        <v>46</v>
      </c>
      <c r="D1649" t="str">
        <f t="shared" si="156"/>
        <v>MA</v>
      </c>
      <c r="E1649" t="str">
        <f t="shared" si="157"/>
        <v>Northeast</v>
      </c>
      <c r="F1649" t="s">
        <v>18</v>
      </c>
      <c r="G1649" s="1">
        <v>45092</v>
      </c>
      <c r="H1649" s="1">
        <v>45097</v>
      </c>
      <c r="I1649" s="1">
        <f t="shared" si="155"/>
        <v>45097</v>
      </c>
      <c r="J1649" s="2">
        <v>29.2</v>
      </c>
      <c r="K1649" s="2">
        <v>280.92</v>
      </c>
      <c r="L1649" t="s">
        <v>15</v>
      </c>
      <c r="M1649" s="2">
        <v>1739</v>
      </c>
      <c r="N1649" s="2">
        <v>5</v>
      </c>
      <c r="O1649" s="2">
        <f t="shared" si="158"/>
        <v>347.8</v>
      </c>
      <c r="P1649" s="2">
        <f t="shared" si="159"/>
        <v>1.2380748967677631</v>
      </c>
      <c r="Q1649" s="3">
        <f t="shared" si="160"/>
        <v>0.16154111558366879</v>
      </c>
    </row>
    <row r="1650" spans="1:17" hidden="1" x14ac:dyDescent="0.25">
      <c r="A1650" t="s">
        <v>1729</v>
      </c>
      <c r="B1650" t="s">
        <v>12</v>
      </c>
      <c r="C1650" t="s">
        <v>17</v>
      </c>
      <c r="D1650" t="str">
        <f t="shared" si="156"/>
        <v>GA</v>
      </c>
      <c r="E1650" t="str">
        <f t="shared" si="157"/>
        <v>Southeast</v>
      </c>
      <c r="F1650" t="s">
        <v>32</v>
      </c>
      <c r="G1650" s="1">
        <v>45021</v>
      </c>
      <c r="H1650" s="1">
        <v>45037</v>
      </c>
      <c r="I1650" s="1">
        <f t="shared" si="155"/>
        <v>45037</v>
      </c>
      <c r="J1650" s="2">
        <v>81.900000000000006</v>
      </c>
      <c r="K1650" s="2">
        <v>247.05</v>
      </c>
      <c r="L1650" t="s">
        <v>47</v>
      </c>
      <c r="M1650" s="2">
        <v>1123</v>
      </c>
      <c r="N1650" s="2">
        <v>3</v>
      </c>
      <c r="O1650" s="2">
        <f t="shared" si="158"/>
        <v>374.33333333333331</v>
      </c>
      <c r="P1650" s="2">
        <f t="shared" si="159"/>
        <v>1.5152128449031907</v>
      </c>
      <c r="Q1650" s="3">
        <f t="shared" si="160"/>
        <v>0.21999109528049868</v>
      </c>
    </row>
    <row r="1651" spans="1:17" hidden="1" x14ac:dyDescent="0.25">
      <c r="A1651" t="s">
        <v>1730</v>
      </c>
      <c r="B1651" t="s">
        <v>27</v>
      </c>
      <c r="C1651" t="s">
        <v>44</v>
      </c>
      <c r="D1651" t="str">
        <f t="shared" si="156"/>
        <v>IL</v>
      </c>
      <c r="E1651" t="str">
        <f t="shared" si="157"/>
        <v>Midwest</v>
      </c>
      <c r="F1651" t="s">
        <v>42</v>
      </c>
      <c r="G1651" s="1">
        <v>45032</v>
      </c>
      <c r="H1651" s="1">
        <v>45033</v>
      </c>
      <c r="I1651" s="1">
        <f t="shared" si="155"/>
        <v>45033</v>
      </c>
      <c r="J1651" s="2">
        <v>43.5</v>
      </c>
      <c r="K1651" s="2">
        <v>111.47</v>
      </c>
      <c r="L1651" t="s">
        <v>15</v>
      </c>
      <c r="M1651" s="2">
        <v>421</v>
      </c>
      <c r="N1651" s="2">
        <v>1</v>
      </c>
      <c r="O1651" s="2">
        <f t="shared" si="158"/>
        <v>421</v>
      </c>
      <c r="P1651" s="2">
        <f t="shared" si="159"/>
        <v>3.7768009329864536</v>
      </c>
      <c r="Q1651" s="3">
        <f t="shared" si="160"/>
        <v>0.26477434679334916</v>
      </c>
    </row>
    <row r="1652" spans="1:17" x14ac:dyDescent="0.25">
      <c r="A1652" t="s">
        <v>1731</v>
      </c>
      <c r="B1652" t="s">
        <v>27</v>
      </c>
      <c r="C1652" t="s">
        <v>24</v>
      </c>
      <c r="D1652" t="str">
        <f t="shared" si="156"/>
        <v>WA</v>
      </c>
      <c r="E1652" t="str">
        <f t="shared" si="157"/>
        <v>West</v>
      </c>
      <c r="F1652" t="s">
        <v>14</v>
      </c>
      <c r="G1652" s="1">
        <v>44970</v>
      </c>
      <c r="H1652" s="1">
        <v>44976</v>
      </c>
      <c r="I1652" s="1">
        <f t="shared" si="155"/>
        <v>44976</v>
      </c>
      <c r="J1652" s="2">
        <v>12.5</v>
      </c>
      <c r="K1652" s="2">
        <v>119.12</v>
      </c>
      <c r="L1652" t="s">
        <v>15</v>
      </c>
      <c r="M1652" s="2">
        <v>916</v>
      </c>
      <c r="N1652" s="2">
        <v>6</v>
      </c>
      <c r="O1652" s="2">
        <f t="shared" si="158"/>
        <v>152.66666666666666</v>
      </c>
      <c r="P1652" s="2">
        <f t="shared" si="159"/>
        <v>1.281620774569062</v>
      </c>
      <c r="Q1652" s="3">
        <f t="shared" si="160"/>
        <v>0.13004366812227075</v>
      </c>
    </row>
    <row r="1653" spans="1:17" x14ac:dyDescent="0.25">
      <c r="A1653" t="s">
        <v>1732</v>
      </c>
      <c r="B1653" t="s">
        <v>51</v>
      </c>
      <c r="C1653" t="s">
        <v>13</v>
      </c>
      <c r="D1653" t="str">
        <f t="shared" si="156"/>
        <v>CA</v>
      </c>
      <c r="E1653" t="str">
        <f t="shared" si="157"/>
        <v>West</v>
      </c>
      <c r="F1653" t="s">
        <v>59</v>
      </c>
      <c r="G1653" s="1">
        <v>45066</v>
      </c>
      <c r="H1653" s="1">
        <v>45072</v>
      </c>
      <c r="I1653" s="1">
        <f t="shared" si="155"/>
        <v>45072</v>
      </c>
      <c r="J1653" s="2">
        <v>21.5</v>
      </c>
      <c r="K1653" s="2">
        <v>271.82</v>
      </c>
      <c r="L1653" t="s">
        <v>15</v>
      </c>
      <c r="M1653" s="2">
        <v>2202</v>
      </c>
      <c r="N1653" s="2">
        <v>6</v>
      </c>
      <c r="O1653" s="2">
        <f t="shared" si="158"/>
        <v>367</v>
      </c>
      <c r="P1653" s="2">
        <f t="shared" si="159"/>
        <v>1.3501581929217865</v>
      </c>
      <c r="Q1653" s="3">
        <f t="shared" si="160"/>
        <v>0.1234423251589464</v>
      </c>
    </row>
    <row r="1654" spans="1:17" hidden="1" x14ac:dyDescent="0.25">
      <c r="A1654" t="s">
        <v>1733</v>
      </c>
      <c r="B1654" t="s">
        <v>51</v>
      </c>
      <c r="C1654" t="s">
        <v>46</v>
      </c>
      <c r="D1654" t="str">
        <f t="shared" si="156"/>
        <v>MA</v>
      </c>
      <c r="E1654" t="str">
        <f t="shared" si="157"/>
        <v>Northeast</v>
      </c>
      <c r="F1654" t="s">
        <v>25</v>
      </c>
      <c r="G1654" s="1">
        <v>45169</v>
      </c>
      <c r="H1654" s="1">
        <v>45171</v>
      </c>
      <c r="I1654" s="1">
        <f t="shared" si="155"/>
        <v>45171</v>
      </c>
      <c r="J1654" s="2">
        <v>19</v>
      </c>
      <c r="K1654" s="2">
        <v>46.94</v>
      </c>
      <c r="L1654" t="s">
        <v>15</v>
      </c>
      <c r="M1654" s="2">
        <v>215</v>
      </c>
      <c r="N1654" s="2">
        <v>2</v>
      </c>
      <c r="O1654" s="2">
        <f t="shared" si="158"/>
        <v>107.5</v>
      </c>
      <c r="P1654" s="2">
        <f t="shared" si="159"/>
        <v>2.290157648061355</v>
      </c>
      <c r="Q1654" s="3">
        <f t="shared" si="160"/>
        <v>0.21832558139534883</v>
      </c>
    </row>
    <row r="1655" spans="1:17" x14ac:dyDescent="0.25">
      <c r="A1655" t="s">
        <v>1734</v>
      </c>
      <c r="B1655" t="s">
        <v>49</v>
      </c>
      <c r="C1655" t="s">
        <v>24</v>
      </c>
      <c r="D1655" t="str">
        <f t="shared" si="156"/>
        <v>WA</v>
      </c>
      <c r="E1655" t="str">
        <f t="shared" si="157"/>
        <v>West</v>
      </c>
      <c r="F1655" t="s">
        <v>25</v>
      </c>
      <c r="G1655" s="1">
        <v>45254</v>
      </c>
      <c r="H1655" s="1">
        <v>45257</v>
      </c>
      <c r="I1655" s="1">
        <f t="shared" si="155"/>
        <v>45257</v>
      </c>
      <c r="J1655" s="2">
        <v>53.8</v>
      </c>
      <c r="K1655" s="2">
        <v>121.01</v>
      </c>
      <c r="L1655" t="s">
        <v>15</v>
      </c>
      <c r="M1655" s="2">
        <v>371</v>
      </c>
      <c r="N1655" s="2">
        <v>3</v>
      </c>
      <c r="O1655" s="2">
        <f t="shared" si="158"/>
        <v>123.66666666666667</v>
      </c>
      <c r="P1655" s="2">
        <f t="shared" si="159"/>
        <v>1.0219541084758836</v>
      </c>
      <c r="Q1655" s="3">
        <f t="shared" si="160"/>
        <v>0.32617250673854448</v>
      </c>
    </row>
    <row r="1656" spans="1:17" x14ac:dyDescent="0.25">
      <c r="A1656" t="s">
        <v>1735</v>
      </c>
      <c r="B1656" t="s">
        <v>27</v>
      </c>
      <c r="C1656" t="s">
        <v>24</v>
      </c>
      <c r="D1656" t="str">
        <f t="shared" si="156"/>
        <v>WA</v>
      </c>
      <c r="E1656" t="str">
        <f t="shared" si="157"/>
        <v>West</v>
      </c>
      <c r="F1656" t="s">
        <v>37</v>
      </c>
      <c r="G1656" s="1">
        <v>45001</v>
      </c>
      <c r="H1656" s="1">
        <v>45015</v>
      </c>
      <c r="I1656" s="1">
        <f t="shared" si="155"/>
        <v>45015</v>
      </c>
      <c r="J1656" s="2">
        <v>21.6</v>
      </c>
      <c r="K1656" s="2">
        <v>73.319999999999993</v>
      </c>
      <c r="L1656" t="s">
        <v>47</v>
      </c>
      <c r="M1656" s="2">
        <v>378</v>
      </c>
      <c r="N1656" s="2">
        <v>3</v>
      </c>
      <c r="O1656" s="2">
        <f t="shared" si="158"/>
        <v>126</v>
      </c>
      <c r="P1656" s="2">
        <f t="shared" si="159"/>
        <v>1.7184942716857612</v>
      </c>
      <c r="Q1656" s="3">
        <f t="shared" si="160"/>
        <v>0.19396825396825396</v>
      </c>
    </row>
    <row r="1657" spans="1:17" hidden="1" x14ac:dyDescent="0.25">
      <c r="A1657" t="s">
        <v>1736</v>
      </c>
      <c r="B1657" t="s">
        <v>49</v>
      </c>
      <c r="C1657" t="s">
        <v>44</v>
      </c>
      <c r="D1657" t="str">
        <f t="shared" si="156"/>
        <v>IL</v>
      </c>
      <c r="E1657" t="str">
        <f t="shared" si="157"/>
        <v>Midwest</v>
      </c>
      <c r="F1657" t="s">
        <v>32</v>
      </c>
      <c r="G1657" s="1">
        <v>45192</v>
      </c>
      <c r="H1657" s="1">
        <v>45200</v>
      </c>
      <c r="I1657" s="1">
        <f t="shared" si="155"/>
        <v>45200</v>
      </c>
      <c r="J1657" s="2">
        <v>14.8</v>
      </c>
      <c r="K1657" s="2">
        <v>215.86</v>
      </c>
      <c r="L1657" t="s">
        <v>15</v>
      </c>
      <c r="M1657" s="2">
        <v>1456</v>
      </c>
      <c r="N1657" s="2">
        <v>8</v>
      </c>
      <c r="O1657" s="2">
        <f t="shared" si="158"/>
        <v>182</v>
      </c>
      <c r="P1657" s="2">
        <f t="shared" si="159"/>
        <v>0.84313907162049473</v>
      </c>
      <c r="Q1657" s="3">
        <f t="shared" si="160"/>
        <v>0.14825549450549452</v>
      </c>
    </row>
    <row r="1658" spans="1:17" hidden="1" x14ac:dyDescent="0.25">
      <c r="A1658" t="s">
        <v>1737</v>
      </c>
      <c r="B1658" t="s">
        <v>20</v>
      </c>
      <c r="C1658" t="s">
        <v>44</v>
      </c>
      <c r="D1658" t="str">
        <f t="shared" si="156"/>
        <v>IL</v>
      </c>
      <c r="E1658" t="str">
        <f t="shared" si="157"/>
        <v>Midwest</v>
      </c>
      <c r="F1658" t="s">
        <v>32</v>
      </c>
      <c r="G1658" s="1">
        <v>45207</v>
      </c>
      <c r="H1658" s="1">
        <v>45217</v>
      </c>
      <c r="I1658" s="1">
        <f t="shared" si="155"/>
        <v>45217</v>
      </c>
      <c r="J1658" s="2">
        <v>10.7</v>
      </c>
      <c r="K1658" s="2">
        <v>170.69</v>
      </c>
      <c r="L1658" t="s">
        <v>47</v>
      </c>
      <c r="M1658" s="2">
        <v>1114</v>
      </c>
      <c r="N1658" s="2">
        <v>3</v>
      </c>
      <c r="O1658" s="2">
        <f t="shared" si="158"/>
        <v>371.33333333333331</v>
      </c>
      <c r="P1658" s="2">
        <f t="shared" si="159"/>
        <v>2.1754838205714062</v>
      </c>
      <c r="Q1658" s="3">
        <f t="shared" si="160"/>
        <v>0.15322262118491919</v>
      </c>
    </row>
    <row r="1659" spans="1:17" x14ac:dyDescent="0.25">
      <c r="A1659" t="s">
        <v>1738</v>
      </c>
      <c r="B1659" t="s">
        <v>56</v>
      </c>
      <c r="C1659" t="s">
        <v>36</v>
      </c>
      <c r="D1659" t="str">
        <f t="shared" si="156"/>
        <v>OR</v>
      </c>
      <c r="E1659" t="str">
        <f t="shared" si="157"/>
        <v>West</v>
      </c>
      <c r="F1659" t="s">
        <v>14</v>
      </c>
      <c r="G1659" s="1">
        <v>45093</v>
      </c>
      <c r="H1659" s="1">
        <v>45097</v>
      </c>
      <c r="I1659" s="1">
        <f t="shared" si="155"/>
        <v>45097</v>
      </c>
      <c r="J1659" s="2">
        <v>42</v>
      </c>
      <c r="K1659" s="2">
        <v>218.32</v>
      </c>
      <c r="L1659" t="s">
        <v>15</v>
      </c>
      <c r="M1659" s="2">
        <v>1417</v>
      </c>
      <c r="N1659" s="2">
        <v>4</v>
      </c>
      <c r="O1659" s="2">
        <f t="shared" si="158"/>
        <v>354.25</v>
      </c>
      <c r="P1659" s="2">
        <f t="shared" si="159"/>
        <v>1.6226181751557347</v>
      </c>
      <c r="Q1659" s="3">
        <f t="shared" si="160"/>
        <v>0.15407198306280875</v>
      </c>
    </row>
    <row r="1660" spans="1:17" hidden="1" x14ac:dyDescent="0.25">
      <c r="A1660" t="s">
        <v>1739</v>
      </c>
      <c r="B1660" t="s">
        <v>49</v>
      </c>
      <c r="C1660" t="s">
        <v>21</v>
      </c>
      <c r="D1660" t="str">
        <f t="shared" si="156"/>
        <v>TX</v>
      </c>
      <c r="E1660" t="str">
        <f t="shared" si="157"/>
        <v>Southwest</v>
      </c>
      <c r="F1660" t="s">
        <v>18</v>
      </c>
      <c r="G1660" s="1">
        <v>45051</v>
      </c>
      <c r="H1660" s="1">
        <v>45056</v>
      </c>
      <c r="I1660" s="1">
        <f t="shared" si="155"/>
        <v>45056</v>
      </c>
      <c r="J1660" s="2">
        <v>19</v>
      </c>
      <c r="K1660" s="2">
        <v>224.15</v>
      </c>
      <c r="L1660" t="s">
        <v>15</v>
      </c>
      <c r="M1660" s="2">
        <v>1402</v>
      </c>
      <c r="N1660" s="2">
        <v>5</v>
      </c>
      <c r="O1660" s="2">
        <f t="shared" si="158"/>
        <v>280.39999999999998</v>
      </c>
      <c r="P1660" s="2">
        <f t="shared" si="159"/>
        <v>1.2509480258755297</v>
      </c>
      <c r="Q1660" s="3">
        <f t="shared" si="160"/>
        <v>0.15987874465049928</v>
      </c>
    </row>
    <row r="1661" spans="1:17" hidden="1" x14ac:dyDescent="0.25">
      <c r="A1661" t="s">
        <v>1740</v>
      </c>
      <c r="B1661" t="s">
        <v>20</v>
      </c>
      <c r="C1661" t="s">
        <v>17</v>
      </c>
      <c r="D1661" t="str">
        <f t="shared" si="156"/>
        <v>GA</v>
      </c>
      <c r="E1661" t="str">
        <f t="shared" si="157"/>
        <v>Southeast</v>
      </c>
      <c r="F1661" t="s">
        <v>18</v>
      </c>
      <c r="G1661" s="1">
        <v>45010</v>
      </c>
      <c r="H1661" s="1">
        <v>45011</v>
      </c>
      <c r="I1661" s="1">
        <f t="shared" si="155"/>
        <v>45011</v>
      </c>
      <c r="J1661" s="2">
        <v>18.399999999999999</v>
      </c>
      <c r="K1661" s="2">
        <v>46.71</v>
      </c>
      <c r="L1661" t="s">
        <v>15</v>
      </c>
      <c r="M1661" s="2">
        <v>178</v>
      </c>
      <c r="N1661" s="2">
        <v>1</v>
      </c>
      <c r="O1661" s="2">
        <f t="shared" si="158"/>
        <v>178</v>
      </c>
      <c r="P1661" s="2">
        <f t="shared" si="159"/>
        <v>3.8107471633483194</v>
      </c>
      <c r="Q1661" s="3">
        <f t="shared" si="160"/>
        <v>0.26241573033707866</v>
      </c>
    </row>
    <row r="1662" spans="1:17" hidden="1" x14ac:dyDescent="0.25">
      <c r="A1662" t="s">
        <v>1741</v>
      </c>
      <c r="B1662" t="s">
        <v>56</v>
      </c>
      <c r="C1662" t="s">
        <v>21</v>
      </c>
      <c r="D1662" t="str">
        <f t="shared" si="156"/>
        <v>TX</v>
      </c>
      <c r="E1662" t="str">
        <f t="shared" si="157"/>
        <v>Southwest</v>
      </c>
      <c r="F1662" t="s">
        <v>14</v>
      </c>
      <c r="G1662" s="1">
        <v>44955</v>
      </c>
      <c r="H1662" s="1">
        <v>44960</v>
      </c>
      <c r="I1662" s="1">
        <f t="shared" si="155"/>
        <v>44960</v>
      </c>
      <c r="J1662" s="2">
        <v>16</v>
      </c>
      <c r="K1662" s="2">
        <v>205.32</v>
      </c>
      <c r="L1662" t="s">
        <v>15</v>
      </c>
      <c r="M1662" s="2">
        <v>1575</v>
      </c>
      <c r="N1662" s="2">
        <v>5</v>
      </c>
      <c r="O1662" s="2">
        <f t="shared" si="158"/>
        <v>315</v>
      </c>
      <c r="P1662" s="2">
        <f t="shared" si="159"/>
        <v>1.5341905318527178</v>
      </c>
      <c r="Q1662" s="3">
        <f t="shared" si="160"/>
        <v>0.13036190476190476</v>
      </c>
    </row>
    <row r="1663" spans="1:17" hidden="1" x14ac:dyDescent="0.25">
      <c r="A1663" t="s">
        <v>1742</v>
      </c>
      <c r="B1663" t="s">
        <v>51</v>
      </c>
      <c r="C1663" t="s">
        <v>17</v>
      </c>
      <c r="D1663" t="str">
        <f t="shared" si="156"/>
        <v>GA</v>
      </c>
      <c r="E1663" t="str">
        <f t="shared" si="157"/>
        <v>Southeast</v>
      </c>
      <c r="F1663" t="s">
        <v>59</v>
      </c>
      <c r="G1663" s="1">
        <v>45192</v>
      </c>
      <c r="H1663" s="1">
        <v>45199</v>
      </c>
      <c r="I1663" s="1">
        <f t="shared" si="155"/>
        <v>45199</v>
      </c>
      <c r="J1663" s="2">
        <v>13.9</v>
      </c>
      <c r="K1663" s="2">
        <v>107.12</v>
      </c>
      <c r="L1663" t="s">
        <v>15</v>
      </c>
      <c r="M1663" s="2">
        <v>870</v>
      </c>
      <c r="N1663" s="2">
        <v>7</v>
      </c>
      <c r="O1663" s="2">
        <f t="shared" si="158"/>
        <v>124.28571428571429</v>
      </c>
      <c r="P1663" s="2">
        <f t="shared" si="159"/>
        <v>1.1602475194708204</v>
      </c>
      <c r="Q1663" s="3">
        <f t="shared" si="160"/>
        <v>0.1231264367816092</v>
      </c>
    </row>
    <row r="1664" spans="1:17" x14ac:dyDescent="0.25">
      <c r="A1664" t="s">
        <v>1743</v>
      </c>
      <c r="B1664" t="s">
        <v>30</v>
      </c>
      <c r="C1664" t="s">
        <v>36</v>
      </c>
      <c r="D1664" t="str">
        <f t="shared" si="156"/>
        <v>OR</v>
      </c>
      <c r="E1664" t="str">
        <f t="shared" si="157"/>
        <v>West</v>
      </c>
      <c r="F1664" t="s">
        <v>37</v>
      </c>
      <c r="G1664" s="1">
        <v>45022</v>
      </c>
      <c r="H1664" s="1">
        <v>45029</v>
      </c>
      <c r="I1664" s="1">
        <f t="shared" si="155"/>
        <v>45029</v>
      </c>
      <c r="J1664" s="2">
        <v>6.3</v>
      </c>
      <c r="K1664" s="2">
        <v>258.52</v>
      </c>
      <c r="L1664" t="s">
        <v>15</v>
      </c>
      <c r="M1664" s="2">
        <v>1995</v>
      </c>
      <c r="N1664" s="2">
        <v>7</v>
      </c>
      <c r="O1664" s="2">
        <f t="shared" si="158"/>
        <v>285</v>
      </c>
      <c r="P1664" s="2">
        <f t="shared" si="159"/>
        <v>1.1024292124400434</v>
      </c>
      <c r="Q1664" s="3">
        <f t="shared" si="160"/>
        <v>0.12958395989974936</v>
      </c>
    </row>
    <row r="1665" spans="1:17" x14ac:dyDescent="0.25">
      <c r="A1665" t="s">
        <v>1744</v>
      </c>
      <c r="B1665" t="s">
        <v>56</v>
      </c>
      <c r="C1665" t="s">
        <v>36</v>
      </c>
      <c r="D1665" t="str">
        <f t="shared" si="156"/>
        <v>OR</v>
      </c>
      <c r="E1665" t="str">
        <f t="shared" si="157"/>
        <v>West</v>
      </c>
      <c r="F1665" t="s">
        <v>59</v>
      </c>
      <c r="G1665" s="1">
        <v>44953</v>
      </c>
      <c r="H1665" s="1">
        <v>44955</v>
      </c>
      <c r="I1665" s="1">
        <f t="shared" si="155"/>
        <v>44955</v>
      </c>
      <c r="J1665" s="2">
        <v>20</v>
      </c>
      <c r="K1665" s="2">
        <v>92.89</v>
      </c>
      <c r="L1665" t="s">
        <v>15</v>
      </c>
      <c r="M1665" s="2">
        <v>606</v>
      </c>
      <c r="N1665" s="2">
        <v>2</v>
      </c>
      <c r="O1665" s="2">
        <f t="shared" si="158"/>
        <v>303</v>
      </c>
      <c r="P1665" s="2">
        <f t="shared" si="159"/>
        <v>3.2619227042738723</v>
      </c>
      <c r="Q1665" s="3">
        <f t="shared" si="160"/>
        <v>0.15328382838283827</v>
      </c>
    </row>
    <row r="1666" spans="1:17" hidden="1" x14ac:dyDescent="0.25">
      <c r="A1666" t="s">
        <v>1745</v>
      </c>
      <c r="B1666" t="s">
        <v>51</v>
      </c>
      <c r="C1666" t="s">
        <v>57</v>
      </c>
      <c r="D1666" t="str">
        <f t="shared" si="156"/>
        <v>MN</v>
      </c>
      <c r="E1666" t="str">
        <f t="shared" si="157"/>
        <v>Midwest</v>
      </c>
      <c r="F1666" t="s">
        <v>25</v>
      </c>
      <c r="G1666" s="1">
        <v>45061</v>
      </c>
      <c r="H1666" s="1">
        <v>45064</v>
      </c>
      <c r="I1666" s="1">
        <f t="shared" ref="I1666:I1729" si="161">IF(H1666="", G1666 + N1666, H1666)</f>
        <v>45064</v>
      </c>
      <c r="J1666" s="2">
        <v>30.8</v>
      </c>
      <c r="K1666" s="2">
        <v>84.89</v>
      </c>
      <c r="L1666" t="s">
        <v>15</v>
      </c>
      <c r="M1666" s="2">
        <v>433</v>
      </c>
      <c r="N1666" s="2">
        <v>3</v>
      </c>
      <c r="O1666" s="2">
        <f t="shared" si="158"/>
        <v>144.33333333333334</v>
      </c>
      <c r="P1666" s="2">
        <f t="shared" si="159"/>
        <v>1.7002395256606591</v>
      </c>
      <c r="Q1666" s="3">
        <f t="shared" si="160"/>
        <v>0.19605080831408775</v>
      </c>
    </row>
    <row r="1667" spans="1:17" x14ac:dyDescent="0.25">
      <c r="A1667" t="s">
        <v>1746</v>
      </c>
      <c r="B1667" t="s">
        <v>49</v>
      </c>
      <c r="C1667" t="s">
        <v>36</v>
      </c>
      <c r="D1667" t="str">
        <f t="shared" si="156"/>
        <v>OR</v>
      </c>
      <c r="E1667" t="str">
        <f t="shared" si="157"/>
        <v>West</v>
      </c>
      <c r="F1667" t="s">
        <v>18</v>
      </c>
      <c r="G1667" s="1">
        <v>45239</v>
      </c>
      <c r="H1667" s="1">
        <v>45243</v>
      </c>
      <c r="I1667" s="1">
        <f t="shared" si="161"/>
        <v>45243</v>
      </c>
      <c r="J1667" s="2">
        <v>38.799999999999997</v>
      </c>
      <c r="K1667" s="2">
        <v>192.95</v>
      </c>
      <c r="L1667" t="s">
        <v>15</v>
      </c>
      <c r="M1667" s="2">
        <v>755</v>
      </c>
      <c r="N1667" s="2">
        <v>4</v>
      </c>
      <c r="O1667" s="2">
        <f t="shared" si="158"/>
        <v>188.75</v>
      </c>
      <c r="P1667" s="2">
        <f t="shared" si="159"/>
        <v>0.9782327027727391</v>
      </c>
      <c r="Q1667" s="3">
        <f t="shared" si="160"/>
        <v>0.25556291390728475</v>
      </c>
    </row>
    <row r="1668" spans="1:17" x14ac:dyDescent="0.25">
      <c r="A1668" t="s">
        <v>1747</v>
      </c>
      <c r="B1668" t="s">
        <v>35</v>
      </c>
      <c r="C1668" t="s">
        <v>36</v>
      </c>
      <c r="D1668" t="str">
        <f t="shared" si="156"/>
        <v>OR</v>
      </c>
      <c r="E1668" t="str">
        <f t="shared" si="157"/>
        <v>West</v>
      </c>
      <c r="F1668" t="s">
        <v>42</v>
      </c>
      <c r="G1668" s="1">
        <v>44982</v>
      </c>
      <c r="H1668" s="1">
        <v>44987</v>
      </c>
      <c r="I1668" s="1">
        <f t="shared" si="161"/>
        <v>44987</v>
      </c>
      <c r="J1668" s="2">
        <v>69.7</v>
      </c>
      <c r="K1668" s="2">
        <v>267.92</v>
      </c>
      <c r="L1668" t="s">
        <v>15</v>
      </c>
      <c r="M1668" s="2">
        <v>1580</v>
      </c>
      <c r="N1668" s="2">
        <v>5</v>
      </c>
      <c r="O1668" s="2">
        <f t="shared" si="158"/>
        <v>316</v>
      </c>
      <c r="P1668" s="2">
        <f t="shared" si="159"/>
        <v>1.1794565541952822</v>
      </c>
      <c r="Q1668" s="3">
        <f t="shared" si="160"/>
        <v>0.16956962025316458</v>
      </c>
    </row>
    <row r="1669" spans="1:17" x14ac:dyDescent="0.25">
      <c r="A1669" t="s">
        <v>1748</v>
      </c>
      <c r="B1669" t="s">
        <v>30</v>
      </c>
      <c r="C1669" t="s">
        <v>70</v>
      </c>
      <c r="D1669" t="str">
        <f t="shared" si="156"/>
        <v>CA</v>
      </c>
      <c r="E1669" t="str">
        <f t="shared" si="157"/>
        <v>West</v>
      </c>
      <c r="F1669" t="s">
        <v>59</v>
      </c>
      <c r="G1669" s="1">
        <v>45091</v>
      </c>
      <c r="H1669" s="1">
        <v>45096</v>
      </c>
      <c r="I1669" s="1">
        <f t="shared" si="161"/>
        <v>45096</v>
      </c>
      <c r="J1669" s="2">
        <v>45.3</v>
      </c>
      <c r="K1669" s="2">
        <v>234.57</v>
      </c>
      <c r="L1669" t="s">
        <v>15</v>
      </c>
      <c r="M1669" s="2">
        <v>1464</v>
      </c>
      <c r="N1669" s="2">
        <v>5</v>
      </c>
      <c r="O1669" s="2">
        <f t="shared" si="158"/>
        <v>292.8</v>
      </c>
      <c r="P1669" s="2">
        <f t="shared" si="159"/>
        <v>1.2482414631026986</v>
      </c>
      <c r="Q1669" s="3">
        <f t="shared" si="160"/>
        <v>0.16022540983606556</v>
      </c>
    </row>
    <row r="1670" spans="1:17" hidden="1" x14ac:dyDescent="0.25">
      <c r="A1670" t="s">
        <v>1749</v>
      </c>
      <c r="B1670" t="s">
        <v>39</v>
      </c>
      <c r="C1670" t="s">
        <v>57</v>
      </c>
      <c r="D1670" t="str">
        <f t="shared" si="156"/>
        <v>MN</v>
      </c>
      <c r="E1670" t="str">
        <f t="shared" si="157"/>
        <v>Midwest</v>
      </c>
      <c r="F1670" t="s">
        <v>37</v>
      </c>
      <c r="G1670" s="1">
        <v>45209</v>
      </c>
      <c r="H1670" s="1">
        <v>45228</v>
      </c>
      <c r="I1670" s="1">
        <f t="shared" si="161"/>
        <v>45228</v>
      </c>
      <c r="J1670" s="2">
        <v>43.7</v>
      </c>
      <c r="K1670" s="2">
        <v>350.82</v>
      </c>
      <c r="L1670" t="s">
        <v>47</v>
      </c>
      <c r="M1670" s="2">
        <v>2299</v>
      </c>
      <c r="N1670" s="2">
        <v>6</v>
      </c>
      <c r="O1670" s="2">
        <f t="shared" si="158"/>
        <v>383.16666666666669</v>
      </c>
      <c r="P1670" s="2">
        <f t="shared" si="159"/>
        <v>1.0922030290937423</v>
      </c>
      <c r="Q1670" s="3">
        <f t="shared" si="160"/>
        <v>0.1525967812092214</v>
      </c>
    </row>
    <row r="1671" spans="1:17" hidden="1" x14ac:dyDescent="0.25">
      <c r="A1671" t="s">
        <v>1750</v>
      </c>
      <c r="B1671" t="s">
        <v>35</v>
      </c>
      <c r="C1671" t="s">
        <v>54</v>
      </c>
      <c r="D1671" t="str">
        <f t="shared" si="156"/>
        <v>FL</v>
      </c>
      <c r="E1671" t="str">
        <f t="shared" si="157"/>
        <v>Southeast</v>
      </c>
      <c r="F1671" t="s">
        <v>37</v>
      </c>
      <c r="G1671" s="1">
        <v>44986</v>
      </c>
      <c r="H1671" s="1">
        <v>44992</v>
      </c>
      <c r="I1671" s="1">
        <f t="shared" si="161"/>
        <v>44992</v>
      </c>
      <c r="J1671" s="2">
        <v>16.399999999999999</v>
      </c>
      <c r="K1671" s="2">
        <v>178.38</v>
      </c>
      <c r="L1671" t="s">
        <v>15</v>
      </c>
      <c r="M1671" s="2">
        <v>1350</v>
      </c>
      <c r="N1671" s="2">
        <v>6</v>
      </c>
      <c r="O1671" s="2">
        <f t="shared" si="158"/>
        <v>225</v>
      </c>
      <c r="P1671" s="2">
        <f t="shared" si="159"/>
        <v>1.2613521695257317</v>
      </c>
      <c r="Q1671" s="3">
        <f t="shared" si="160"/>
        <v>0.13213333333333332</v>
      </c>
    </row>
    <row r="1672" spans="1:17" x14ac:dyDescent="0.25">
      <c r="A1672" t="s">
        <v>1751</v>
      </c>
      <c r="B1672" t="s">
        <v>39</v>
      </c>
      <c r="C1672" t="s">
        <v>70</v>
      </c>
      <c r="D1672" t="str">
        <f t="shared" si="156"/>
        <v>CA</v>
      </c>
      <c r="E1672" t="str">
        <f t="shared" si="157"/>
        <v>West</v>
      </c>
      <c r="F1672" t="s">
        <v>59</v>
      </c>
      <c r="G1672" s="1">
        <v>45101</v>
      </c>
      <c r="H1672" s="1">
        <v>45102</v>
      </c>
      <c r="I1672" s="1">
        <f t="shared" si="161"/>
        <v>45102</v>
      </c>
      <c r="J1672" s="2">
        <v>7</v>
      </c>
      <c r="K1672" s="2">
        <v>49.21</v>
      </c>
      <c r="L1672" t="s">
        <v>67</v>
      </c>
      <c r="M1672" s="2">
        <v>386</v>
      </c>
      <c r="N1672" s="2">
        <v>1</v>
      </c>
      <c r="O1672" s="2">
        <f t="shared" si="158"/>
        <v>386</v>
      </c>
      <c r="P1672" s="2">
        <f t="shared" si="159"/>
        <v>7.8439341597236334</v>
      </c>
      <c r="Q1672" s="3">
        <f t="shared" si="160"/>
        <v>0.12748704663212435</v>
      </c>
    </row>
    <row r="1673" spans="1:17" x14ac:dyDescent="0.25">
      <c r="A1673" t="s">
        <v>1752</v>
      </c>
      <c r="B1673" t="s">
        <v>23</v>
      </c>
      <c r="C1673" t="s">
        <v>36</v>
      </c>
      <c r="D1673" t="str">
        <f t="shared" si="156"/>
        <v>OR</v>
      </c>
      <c r="E1673" t="str">
        <f t="shared" si="157"/>
        <v>West</v>
      </c>
      <c r="F1673" t="s">
        <v>14</v>
      </c>
      <c r="G1673" s="1">
        <v>45109</v>
      </c>
      <c r="H1673" s="1">
        <v>45117</v>
      </c>
      <c r="I1673" s="1">
        <f t="shared" si="161"/>
        <v>45117</v>
      </c>
      <c r="J1673" s="2">
        <v>13</v>
      </c>
      <c r="K1673" s="2">
        <v>250.6</v>
      </c>
      <c r="L1673" t="s">
        <v>15</v>
      </c>
      <c r="M1673" s="2">
        <v>1899</v>
      </c>
      <c r="N1673" s="2">
        <v>8</v>
      </c>
      <c r="O1673" s="2">
        <f t="shared" si="158"/>
        <v>237.375</v>
      </c>
      <c r="P1673" s="2">
        <f t="shared" si="159"/>
        <v>0.94722665602553868</v>
      </c>
      <c r="Q1673" s="3">
        <f t="shared" si="160"/>
        <v>0.13196419167983148</v>
      </c>
    </row>
    <row r="1674" spans="1:17" x14ac:dyDescent="0.25">
      <c r="A1674" t="s">
        <v>1753</v>
      </c>
      <c r="B1674" t="s">
        <v>20</v>
      </c>
      <c r="C1674" t="s">
        <v>36</v>
      </c>
      <c r="D1674" t="str">
        <f t="shared" si="156"/>
        <v>OR</v>
      </c>
      <c r="E1674" t="str">
        <f t="shared" si="157"/>
        <v>West</v>
      </c>
      <c r="F1674" t="s">
        <v>42</v>
      </c>
      <c r="G1674" s="1">
        <v>45158</v>
      </c>
      <c r="H1674" s="1">
        <v>45162</v>
      </c>
      <c r="I1674" s="1">
        <f t="shared" si="161"/>
        <v>45162</v>
      </c>
      <c r="J1674" s="2">
        <v>40.5</v>
      </c>
      <c r="K1674" s="2">
        <v>155.06</v>
      </c>
      <c r="L1674" t="s">
        <v>15</v>
      </c>
      <c r="M1674" s="2">
        <v>787</v>
      </c>
      <c r="N1674" s="2">
        <v>4</v>
      </c>
      <c r="O1674" s="2">
        <f t="shared" si="158"/>
        <v>196.75</v>
      </c>
      <c r="P1674" s="2">
        <f t="shared" si="159"/>
        <v>1.2688636656778021</v>
      </c>
      <c r="Q1674" s="3">
        <f t="shared" si="160"/>
        <v>0.1970266836086404</v>
      </c>
    </row>
    <row r="1675" spans="1:17" x14ac:dyDescent="0.25">
      <c r="A1675" t="s">
        <v>1754</v>
      </c>
      <c r="B1675" t="s">
        <v>51</v>
      </c>
      <c r="C1675" t="s">
        <v>36</v>
      </c>
      <c r="D1675" t="str">
        <f t="shared" si="156"/>
        <v>OR</v>
      </c>
      <c r="E1675" t="str">
        <f t="shared" si="157"/>
        <v>West</v>
      </c>
      <c r="F1675" t="s">
        <v>42</v>
      </c>
      <c r="G1675" s="1">
        <v>45072</v>
      </c>
      <c r="H1675" s="1">
        <v>45078</v>
      </c>
      <c r="I1675" s="1">
        <f t="shared" si="161"/>
        <v>45078</v>
      </c>
      <c r="J1675" s="2">
        <v>50.6</v>
      </c>
      <c r="K1675" s="2">
        <v>328.01</v>
      </c>
      <c r="L1675" t="s">
        <v>15</v>
      </c>
      <c r="M1675" s="2">
        <v>2388</v>
      </c>
      <c r="N1675" s="2">
        <v>6</v>
      </c>
      <c r="O1675" s="2">
        <f t="shared" si="158"/>
        <v>398</v>
      </c>
      <c r="P1675" s="2">
        <f t="shared" si="159"/>
        <v>1.2133776409255816</v>
      </c>
      <c r="Q1675" s="3">
        <f t="shared" si="160"/>
        <v>0.13735762144053601</v>
      </c>
    </row>
    <row r="1676" spans="1:17" hidden="1" x14ac:dyDescent="0.25">
      <c r="A1676" t="s">
        <v>1755</v>
      </c>
      <c r="B1676" t="s">
        <v>30</v>
      </c>
      <c r="C1676" t="s">
        <v>28</v>
      </c>
      <c r="D1676" t="str">
        <f t="shared" si="156"/>
        <v>TX</v>
      </c>
      <c r="E1676" t="str">
        <f t="shared" si="157"/>
        <v>Southwest</v>
      </c>
      <c r="F1676" t="s">
        <v>37</v>
      </c>
      <c r="G1676" s="1">
        <v>45136</v>
      </c>
      <c r="H1676" s="1">
        <v>45141</v>
      </c>
      <c r="I1676" s="1">
        <f t="shared" si="161"/>
        <v>45141</v>
      </c>
      <c r="J1676" s="2">
        <v>35.4</v>
      </c>
      <c r="K1676" s="2">
        <v>301.47000000000003</v>
      </c>
      <c r="L1676" t="s">
        <v>15</v>
      </c>
      <c r="M1676" s="2">
        <v>2347</v>
      </c>
      <c r="N1676" s="2">
        <v>5</v>
      </c>
      <c r="O1676" s="2">
        <f t="shared" si="158"/>
        <v>469.4</v>
      </c>
      <c r="P1676" s="2">
        <f t="shared" si="159"/>
        <v>1.5570371844627988</v>
      </c>
      <c r="Q1676" s="3">
        <f t="shared" si="160"/>
        <v>0.12844908393694079</v>
      </c>
    </row>
    <row r="1677" spans="1:17" x14ac:dyDescent="0.25">
      <c r="A1677" t="s">
        <v>1756</v>
      </c>
      <c r="B1677" t="s">
        <v>27</v>
      </c>
      <c r="C1677" t="s">
        <v>13</v>
      </c>
      <c r="D1677" t="str">
        <f t="shared" si="156"/>
        <v>CA</v>
      </c>
      <c r="E1677" t="str">
        <f t="shared" si="157"/>
        <v>West</v>
      </c>
      <c r="F1677" t="s">
        <v>32</v>
      </c>
      <c r="G1677" s="1">
        <v>45244</v>
      </c>
      <c r="H1677" s="1">
        <v>45249</v>
      </c>
      <c r="I1677" s="1">
        <f t="shared" si="161"/>
        <v>45249</v>
      </c>
      <c r="J1677" s="2">
        <v>9.6999999999999993</v>
      </c>
      <c r="K1677" s="2">
        <v>228.09</v>
      </c>
      <c r="L1677" t="s">
        <v>15</v>
      </c>
      <c r="M1677" s="2">
        <v>1364</v>
      </c>
      <c r="N1677" s="2">
        <v>5</v>
      </c>
      <c r="O1677" s="2">
        <f t="shared" si="158"/>
        <v>272.8</v>
      </c>
      <c r="P1677" s="2">
        <f t="shared" si="159"/>
        <v>1.1960191152615196</v>
      </c>
      <c r="Q1677" s="3">
        <f t="shared" si="160"/>
        <v>0.16722140762463344</v>
      </c>
    </row>
    <row r="1678" spans="1:17" x14ac:dyDescent="0.25">
      <c r="A1678" t="s">
        <v>1757</v>
      </c>
      <c r="B1678" t="s">
        <v>20</v>
      </c>
      <c r="C1678" t="s">
        <v>24</v>
      </c>
      <c r="D1678" t="str">
        <f t="shared" si="156"/>
        <v>WA</v>
      </c>
      <c r="E1678" t="str">
        <f t="shared" si="157"/>
        <v>West</v>
      </c>
      <c r="F1678" t="s">
        <v>14</v>
      </c>
      <c r="G1678" s="1">
        <v>44984</v>
      </c>
      <c r="H1678" s="1">
        <v>44987</v>
      </c>
      <c r="I1678" s="1">
        <f t="shared" si="161"/>
        <v>44987</v>
      </c>
      <c r="J1678" s="2">
        <v>7.2</v>
      </c>
      <c r="K1678" s="2">
        <v>137.16</v>
      </c>
      <c r="L1678" t="s">
        <v>15</v>
      </c>
      <c r="M1678" s="2">
        <v>1135</v>
      </c>
      <c r="N1678" s="2">
        <v>3</v>
      </c>
      <c r="O1678" s="2">
        <f t="shared" si="158"/>
        <v>378.33333333333331</v>
      </c>
      <c r="P1678" s="2">
        <f t="shared" si="159"/>
        <v>2.7583357635851073</v>
      </c>
      <c r="Q1678" s="3">
        <f t="shared" si="160"/>
        <v>0.12084581497797356</v>
      </c>
    </row>
    <row r="1679" spans="1:17" hidden="1" x14ac:dyDescent="0.25">
      <c r="A1679" t="s">
        <v>1758</v>
      </c>
      <c r="B1679" t="s">
        <v>35</v>
      </c>
      <c r="C1679" t="s">
        <v>46</v>
      </c>
      <c r="D1679" t="str">
        <f t="shared" si="156"/>
        <v>MA</v>
      </c>
      <c r="E1679" t="str">
        <f t="shared" si="157"/>
        <v>Northeast</v>
      </c>
      <c r="F1679" t="s">
        <v>25</v>
      </c>
      <c r="G1679" s="1">
        <v>44996</v>
      </c>
      <c r="H1679" s="1">
        <v>45003</v>
      </c>
      <c r="I1679" s="1">
        <f t="shared" si="161"/>
        <v>45003</v>
      </c>
      <c r="J1679" s="2">
        <v>10.7</v>
      </c>
      <c r="K1679" s="2">
        <v>290.55</v>
      </c>
      <c r="L1679" t="s">
        <v>15</v>
      </c>
      <c r="M1679" s="2">
        <v>2200</v>
      </c>
      <c r="N1679" s="2">
        <v>7</v>
      </c>
      <c r="O1679" s="2">
        <f t="shared" si="158"/>
        <v>314.28571428571428</v>
      </c>
      <c r="P1679" s="2">
        <f t="shared" si="159"/>
        <v>1.081692356860142</v>
      </c>
      <c r="Q1679" s="3">
        <f t="shared" si="160"/>
        <v>0.13206818181818183</v>
      </c>
    </row>
    <row r="1680" spans="1:17" x14ac:dyDescent="0.25">
      <c r="A1680" t="s">
        <v>1759</v>
      </c>
      <c r="B1680" t="s">
        <v>35</v>
      </c>
      <c r="C1680" t="s">
        <v>81</v>
      </c>
      <c r="D1680" t="str">
        <f t="shared" si="156"/>
        <v>CO</v>
      </c>
      <c r="E1680" t="str">
        <f t="shared" si="157"/>
        <v>West</v>
      </c>
      <c r="F1680" t="s">
        <v>32</v>
      </c>
      <c r="G1680" s="1">
        <v>45037</v>
      </c>
      <c r="H1680" s="1">
        <v>45043</v>
      </c>
      <c r="I1680" s="1">
        <f t="shared" si="161"/>
        <v>45043</v>
      </c>
      <c r="J1680" s="2">
        <v>19.5</v>
      </c>
      <c r="K1680" s="2">
        <v>150.02000000000001</v>
      </c>
      <c r="L1680" t="s">
        <v>15</v>
      </c>
      <c r="M1680" s="2">
        <v>1000</v>
      </c>
      <c r="N1680" s="2">
        <v>6</v>
      </c>
      <c r="O1680" s="2">
        <f t="shared" si="158"/>
        <v>166.66666666666666</v>
      </c>
      <c r="P1680" s="2">
        <f t="shared" si="159"/>
        <v>1.1109629827134158</v>
      </c>
      <c r="Q1680" s="3">
        <f t="shared" si="160"/>
        <v>0.15002000000000001</v>
      </c>
    </row>
    <row r="1681" spans="1:17" hidden="1" x14ac:dyDescent="0.25">
      <c r="A1681" t="s">
        <v>1760</v>
      </c>
      <c r="B1681" t="s">
        <v>23</v>
      </c>
      <c r="C1681" t="s">
        <v>44</v>
      </c>
      <c r="D1681" t="str">
        <f t="shared" si="156"/>
        <v>IL</v>
      </c>
      <c r="E1681" t="str">
        <f t="shared" si="157"/>
        <v>Midwest</v>
      </c>
      <c r="F1681" t="s">
        <v>14</v>
      </c>
      <c r="G1681" s="1">
        <v>45051</v>
      </c>
      <c r="H1681" s="1">
        <v>45054</v>
      </c>
      <c r="I1681" s="1">
        <f t="shared" si="161"/>
        <v>45054</v>
      </c>
      <c r="J1681" s="2">
        <v>11.7</v>
      </c>
      <c r="K1681" s="2">
        <v>99.97</v>
      </c>
      <c r="L1681" t="s">
        <v>15</v>
      </c>
      <c r="M1681" s="2">
        <v>701</v>
      </c>
      <c r="N1681" s="2">
        <v>3</v>
      </c>
      <c r="O1681" s="2">
        <f t="shared" si="158"/>
        <v>233.66666666666666</v>
      </c>
      <c r="P1681" s="2">
        <f t="shared" si="159"/>
        <v>2.3373678770297754</v>
      </c>
      <c r="Q1681" s="3">
        <f t="shared" si="160"/>
        <v>0.14261055634807418</v>
      </c>
    </row>
    <row r="1682" spans="1:17" hidden="1" x14ac:dyDescent="0.25">
      <c r="A1682" t="s">
        <v>1761</v>
      </c>
      <c r="B1682" t="s">
        <v>51</v>
      </c>
      <c r="C1682" t="s">
        <v>40</v>
      </c>
      <c r="D1682" t="str">
        <f t="shared" si="156"/>
        <v>MI</v>
      </c>
      <c r="E1682" t="str">
        <f t="shared" si="157"/>
        <v>Midwest</v>
      </c>
      <c r="F1682" t="s">
        <v>18</v>
      </c>
      <c r="G1682" s="1">
        <v>45028</v>
      </c>
      <c r="H1682" s="1">
        <v>45032</v>
      </c>
      <c r="I1682" s="1">
        <f t="shared" si="161"/>
        <v>45032</v>
      </c>
      <c r="J1682" s="2">
        <v>28.8</v>
      </c>
      <c r="K1682" s="2">
        <v>325.2</v>
      </c>
      <c r="L1682" t="s">
        <v>15</v>
      </c>
      <c r="M1682" s="2">
        <v>1883</v>
      </c>
      <c r="N1682" s="2">
        <v>4</v>
      </c>
      <c r="O1682" s="2">
        <f t="shared" si="158"/>
        <v>470.75</v>
      </c>
      <c r="P1682" s="2">
        <f t="shared" si="159"/>
        <v>1.4475707257072572</v>
      </c>
      <c r="Q1682" s="3">
        <f t="shared" si="160"/>
        <v>0.17270313329792883</v>
      </c>
    </row>
    <row r="1683" spans="1:17" hidden="1" x14ac:dyDescent="0.25">
      <c r="A1683" t="s">
        <v>1762</v>
      </c>
      <c r="B1683" t="s">
        <v>23</v>
      </c>
      <c r="C1683" t="s">
        <v>40</v>
      </c>
      <c r="D1683" t="str">
        <f t="shared" si="156"/>
        <v>MI</v>
      </c>
      <c r="E1683" t="str">
        <f t="shared" si="157"/>
        <v>Midwest</v>
      </c>
      <c r="F1683" t="s">
        <v>14</v>
      </c>
      <c r="G1683" s="1">
        <v>45107</v>
      </c>
      <c r="H1683" s="1">
        <v>45113</v>
      </c>
      <c r="I1683" s="1">
        <f t="shared" si="161"/>
        <v>45113</v>
      </c>
      <c r="J1683" s="2">
        <v>7</v>
      </c>
      <c r="K1683" s="2">
        <v>296.14999999999998</v>
      </c>
      <c r="L1683" t="s">
        <v>15</v>
      </c>
      <c r="M1683" s="2">
        <v>2424</v>
      </c>
      <c r="N1683" s="2">
        <v>6</v>
      </c>
      <c r="O1683" s="2">
        <f t="shared" si="158"/>
        <v>404</v>
      </c>
      <c r="P1683" s="2">
        <f t="shared" si="159"/>
        <v>1.3641735606955936</v>
      </c>
      <c r="Q1683" s="3">
        <f t="shared" si="160"/>
        <v>0.12217409240924092</v>
      </c>
    </row>
    <row r="1684" spans="1:17" hidden="1" x14ac:dyDescent="0.25">
      <c r="A1684" t="s">
        <v>1763</v>
      </c>
      <c r="B1684" t="s">
        <v>27</v>
      </c>
      <c r="C1684" t="s">
        <v>31</v>
      </c>
      <c r="D1684" t="str">
        <f t="shared" si="156"/>
        <v>NY</v>
      </c>
      <c r="E1684" t="str">
        <f t="shared" si="157"/>
        <v>Northeast</v>
      </c>
      <c r="F1684" t="s">
        <v>32</v>
      </c>
      <c r="G1684" s="1">
        <v>45047</v>
      </c>
      <c r="H1684" s="1">
        <v>45055</v>
      </c>
      <c r="I1684" s="1">
        <f t="shared" si="161"/>
        <v>45055</v>
      </c>
      <c r="J1684" s="2">
        <v>48.9</v>
      </c>
      <c r="K1684" s="2">
        <v>354.59</v>
      </c>
      <c r="L1684" t="s">
        <v>60</v>
      </c>
      <c r="M1684" s="2">
        <v>2059</v>
      </c>
      <c r="N1684" s="2">
        <v>8</v>
      </c>
      <c r="O1684" s="2">
        <f t="shared" si="158"/>
        <v>257.375</v>
      </c>
      <c r="P1684" s="2">
        <f t="shared" si="159"/>
        <v>0.72583829211201678</v>
      </c>
      <c r="Q1684" s="3">
        <f t="shared" si="160"/>
        <v>0.17221466731423019</v>
      </c>
    </row>
    <row r="1685" spans="1:17" x14ac:dyDescent="0.25">
      <c r="A1685" t="s">
        <v>1764</v>
      </c>
      <c r="B1685" t="s">
        <v>49</v>
      </c>
      <c r="C1685" t="s">
        <v>36</v>
      </c>
      <c r="D1685" t="str">
        <f t="shared" si="156"/>
        <v>OR</v>
      </c>
      <c r="E1685" t="str">
        <f t="shared" si="157"/>
        <v>West</v>
      </c>
      <c r="F1685" t="s">
        <v>25</v>
      </c>
      <c r="G1685" s="1">
        <v>45092</v>
      </c>
      <c r="H1685" s="1">
        <v>45101</v>
      </c>
      <c r="I1685" s="1">
        <f t="shared" si="161"/>
        <v>45101</v>
      </c>
      <c r="J1685" s="2">
        <v>108.8</v>
      </c>
      <c r="K1685" s="2">
        <v>368.09</v>
      </c>
      <c r="L1685" t="s">
        <v>47</v>
      </c>
      <c r="M1685" s="2">
        <v>1857</v>
      </c>
      <c r="N1685" s="2">
        <v>5</v>
      </c>
      <c r="O1685" s="2">
        <f t="shared" si="158"/>
        <v>371.4</v>
      </c>
      <c r="P1685" s="2">
        <f t="shared" si="159"/>
        <v>1.0089923659974462</v>
      </c>
      <c r="Q1685" s="3">
        <f t="shared" si="160"/>
        <v>0.19821755519655357</v>
      </c>
    </row>
    <row r="1686" spans="1:17" hidden="1" x14ac:dyDescent="0.25">
      <c r="A1686" t="s">
        <v>1765</v>
      </c>
      <c r="B1686" t="s">
        <v>12</v>
      </c>
      <c r="C1686" t="s">
        <v>17</v>
      </c>
      <c r="D1686" t="str">
        <f t="shared" si="156"/>
        <v>GA</v>
      </c>
      <c r="E1686" t="str">
        <f t="shared" si="157"/>
        <v>Southeast</v>
      </c>
      <c r="F1686" t="s">
        <v>59</v>
      </c>
      <c r="G1686" s="1">
        <v>45234</v>
      </c>
      <c r="H1686" s="1">
        <v>45239</v>
      </c>
      <c r="I1686" s="1">
        <f t="shared" si="161"/>
        <v>45239</v>
      </c>
      <c r="J1686" s="2">
        <v>12.2</v>
      </c>
      <c r="K1686" s="2">
        <v>37.96</v>
      </c>
      <c r="L1686" t="s">
        <v>15</v>
      </c>
      <c r="M1686" s="2">
        <v>152</v>
      </c>
      <c r="N1686" s="2">
        <v>5</v>
      </c>
      <c r="O1686" s="2">
        <f t="shared" si="158"/>
        <v>30.4</v>
      </c>
      <c r="P1686" s="2">
        <f t="shared" si="159"/>
        <v>0.80084299262381453</v>
      </c>
      <c r="Q1686" s="3">
        <f t="shared" si="160"/>
        <v>0.24973684210526317</v>
      </c>
    </row>
    <row r="1687" spans="1:17" hidden="1" x14ac:dyDescent="0.25">
      <c r="A1687" t="s">
        <v>1766</v>
      </c>
      <c r="B1687" t="s">
        <v>12</v>
      </c>
      <c r="C1687" t="s">
        <v>57</v>
      </c>
      <c r="D1687" t="str">
        <f t="shared" si="156"/>
        <v>MN</v>
      </c>
      <c r="E1687" t="str">
        <f t="shared" si="157"/>
        <v>Midwest</v>
      </c>
      <c r="F1687" t="s">
        <v>18</v>
      </c>
      <c r="G1687" s="1">
        <v>45271</v>
      </c>
      <c r="H1687" s="1">
        <v>45276</v>
      </c>
      <c r="I1687" s="1">
        <f t="shared" si="161"/>
        <v>45276</v>
      </c>
      <c r="J1687" s="2">
        <v>9</v>
      </c>
      <c r="K1687" s="2">
        <v>287.97000000000003</v>
      </c>
      <c r="L1687" t="s">
        <v>62</v>
      </c>
      <c r="M1687" s="2">
        <v>1495</v>
      </c>
      <c r="N1687" s="2">
        <v>5</v>
      </c>
      <c r="O1687" s="2">
        <f t="shared" si="158"/>
        <v>299</v>
      </c>
      <c r="P1687" s="2">
        <f t="shared" si="159"/>
        <v>1.0383026009653782</v>
      </c>
      <c r="Q1687" s="3">
        <f t="shared" si="160"/>
        <v>0.19262207357859534</v>
      </c>
    </row>
    <row r="1688" spans="1:17" x14ac:dyDescent="0.25">
      <c r="A1688" t="s">
        <v>1767</v>
      </c>
      <c r="B1688" t="s">
        <v>39</v>
      </c>
      <c r="C1688" t="s">
        <v>81</v>
      </c>
      <c r="D1688" t="str">
        <f t="shared" si="156"/>
        <v>CO</v>
      </c>
      <c r="E1688" t="str">
        <f t="shared" si="157"/>
        <v>West</v>
      </c>
      <c r="F1688" t="s">
        <v>25</v>
      </c>
      <c r="G1688" s="1">
        <v>45152</v>
      </c>
      <c r="H1688" s="1">
        <v>45155</v>
      </c>
      <c r="I1688" s="1">
        <f t="shared" si="161"/>
        <v>45155</v>
      </c>
      <c r="J1688" s="2">
        <v>17.3</v>
      </c>
      <c r="K1688" s="2">
        <v>146.13999999999999</v>
      </c>
      <c r="L1688" t="s">
        <v>15</v>
      </c>
      <c r="M1688" s="2">
        <v>1030</v>
      </c>
      <c r="N1688" s="2">
        <v>3</v>
      </c>
      <c r="O1688" s="2">
        <f t="shared" si="158"/>
        <v>343.33333333333331</v>
      </c>
      <c r="P1688" s="2">
        <f t="shared" si="159"/>
        <v>2.3493453765795356</v>
      </c>
      <c r="Q1688" s="3">
        <f t="shared" si="160"/>
        <v>0.14188349514563106</v>
      </c>
    </row>
    <row r="1689" spans="1:17" x14ac:dyDescent="0.25">
      <c r="A1689" t="s">
        <v>1768</v>
      </c>
      <c r="B1689" t="s">
        <v>27</v>
      </c>
      <c r="C1689" t="s">
        <v>81</v>
      </c>
      <c r="D1689" t="str">
        <f t="shared" si="156"/>
        <v>CO</v>
      </c>
      <c r="E1689" t="str">
        <f t="shared" si="157"/>
        <v>West</v>
      </c>
      <c r="F1689" t="s">
        <v>32</v>
      </c>
      <c r="G1689" s="1">
        <v>45067</v>
      </c>
      <c r="H1689" s="1">
        <v>45070</v>
      </c>
      <c r="I1689" s="1">
        <f t="shared" si="161"/>
        <v>45070</v>
      </c>
      <c r="J1689" s="2">
        <v>19.399999999999999</v>
      </c>
      <c r="K1689" s="2">
        <v>143.96</v>
      </c>
      <c r="L1689" t="s">
        <v>15</v>
      </c>
      <c r="M1689" s="2">
        <v>854</v>
      </c>
      <c r="N1689" s="2">
        <v>3</v>
      </c>
      <c r="O1689" s="2">
        <f t="shared" si="158"/>
        <v>284.66666666666669</v>
      </c>
      <c r="P1689" s="2">
        <f t="shared" si="159"/>
        <v>1.9774011299435028</v>
      </c>
      <c r="Q1689" s="3">
        <f t="shared" si="160"/>
        <v>0.16857142857142859</v>
      </c>
    </row>
    <row r="1690" spans="1:17" x14ac:dyDescent="0.25">
      <c r="A1690" t="s">
        <v>1769</v>
      </c>
      <c r="B1690" t="s">
        <v>49</v>
      </c>
      <c r="C1690" t="s">
        <v>36</v>
      </c>
      <c r="D1690" t="str">
        <f t="shared" si="156"/>
        <v>OR</v>
      </c>
      <c r="E1690" t="str">
        <f t="shared" si="157"/>
        <v>West</v>
      </c>
      <c r="F1690" t="s">
        <v>59</v>
      </c>
      <c r="G1690" s="1">
        <v>45041</v>
      </c>
      <c r="H1690" s="1">
        <v>45042</v>
      </c>
      <c r="I1690" s="1">
        <f t="shared" si="161"/>
        <v>45042</v>
      </c>
      <c r="J1690" s="2">
        <v>22.8</v>
      </c>
      <c r="K1690" s="2">
        <v>36.24</v>
      </c>
      <c r="L1690" t="s">
        <v>15</v>
      </c>
      <c r="M1690" s="2">
        <v>101</v>
      </c>
      <c r="N1690" s="2">
        <v>1</v>
      </c>
      <c r="O1690" s="2">
        <f t="shared" si="158"/>
        <v>101</v>
      </c>
      <c r="P1690" s="2">
        <f t="shared" si="159"/>
        <v>2.7869757174392933</v>
      </c>
      <c r="Q1690" s="3">
        <f t="shared" si="160"/>
        <v>0.35881188118811885</v>
      </c>
    </row>
    <row r="1691" spans="1:17" hidden="1" x14ac:dyDescent="0.25">
      <c r="A1691" t="s">
        <v>1770</v>
      </c>
      <c r="B1691" t="s">
        <v>39</v>
      </c>
      <c r="C1691" t="s">
        <v>46</v>
      </c>
      <c r="D1691" t="str">
        <f t="shared" si="156"/>
        <v>MA</v>
      </c>
      <c r="E1691" t="str">
        <f t="shared" si="157"/>
        <v>Northeast</v>
      </c>
      <c r="F1691" t="s">
        <v>42</v>
      </c>
      <c r="G1691" s="1">
        <v>45291</v>
      </c>
      <c r="H1691" s="1">
        <v>45296</v>
      </c>
      <c r="I1691" s="1">
        <f t="shared" si="161"/>
        <v>45296</v>
      </c>
      <c r="J1691" s="2">
        <v>27.4</v>
      </c>
      <c r="K1691" s="2">
        <v>392.67</v>
      </c>
      <c r="L1691" t="s">
        <v>15</v>
      </c>
      <c r="M1691" s="2">
        <v>2353</v>
      </c>
      <c r="N1691" s="2">
        <v>5</v>
      </c>
      <c r="O1691" s="2">
        <f t="shared" si="158"/>
        <v>470.6</v>
      </c>
      <c r="P1691" s="2">
        <f t="shared" si="159"/>
        <v>1.1984618127180584</v>
      </c>
      <c r="Q1691" s="3">
        <f t="shared" si="160"/>
        <v>0.16688057798555037</v>
      </c>
    </row>
    <row r="1692" spans="1:17" x14ac:dyDescent="0.25">
      <c r="A1692" t="s">
        <v>1771</v>
      </c>
      <c r="B1692" t="s">
        <v>39</v>
      </c>
      <c r="C1692" t="s">
        <v>70</v>
      </c>
      <c r="D1692" t="str">
        <f t="shared" si="156"/>
        <v>CA</v>
      </c>
      <c r="E1692" t="str">
        <f t="shared" si="157"/>
        <v>West</v>
      </c>
      <c r="F1692" t="s">
        <v>59</v>
      </c>
      <c r="G1692" s="1">
        <v>45120</v>
      </c>
      <c r="H1692" s="1">
        <v>45123</v>
      </c>
      <c r="I1692" s="1">
        <f t="shared" si="161"/>
        <v>45123</v>
      </c>
      <c r="J1692" s="2">
        <v>17.7</v>
      </c>
      <c r="K1692" s="2">
        <v>170.71</v>
      </c>
      <c r="L1692" t="s">
        <v>15</v>
      </c>
      <c r="M1692" s="2">
        <v>1382</v>
      </c>
      <c r="N1692" s="2">
        <v>3</v>
      </c>
      <c r="O1692" s="2">
        <f t="shared" si="158"/>
        <v>460.66666666666669</v>
      </c>
      <c r="P1692" s="2">
        <f t="shared" si="159"/>
        <v>2.698533575459356</v>
      </c>
      <c r="Q1692" s="3">
        <f t="shared" si="160"/>
        <v>0.12352387843704776</v>
      </c>
    </row>
    <row r="1693" spans="1:17" hidden="1" x14ac:dyDescent="0.25">
      <c r="A1693" t="s">
        <v>1772</v>
      </c>
      <c r="B1693" t="s">
        <v>56</v>
      </c>
      <c r="C1693" t="s">
        <v>46</v>
      </c>
      <c r="D1693" t="str">
        <f t="shared" si="156"/>
        <v>MA</v>
      </c>
      <c r="E1693" t="str">
        <f t="shared" si="157"/>
        <v>Northeast</v>
      </c>
      <c r="F1693" t="s">
        <v>18</v>
      </c>
      <c r="G1693" s="1">
        <v>45101</v>
      </c>
      <c r="H1693" s="1">
        <v>45115</v>
      </c>
      <c r="I1693" s="1">
        <f t="shared" si="161"/>
        <v>45115</v>
      </c>
      <c r="J1693" s="2">
        <v>38.5</v>
      </c>
      <c r="K1693" s="2">
        <v>174.45</v>
      </c>
      <c r="L1693" t="s">
        <v>47</v>
      </c>
      <c r="M1693" s="2">
        <v>975</v>
      </c>
      <c r="N1693" s="2">
        <v>3</v>
      </c>
      <c r="O1693" s="2">
        <f t="shared" si="158"/>
        <v>325</v>
      </c>
      <c r="P1693" s="2">
        <f t="shared" si="159"/>
        <v>1.8629979936944685</v>
      </c>
      <c r="Q1693" s="3">
        <f t="shared" si="160"/>
        <v>0.17892307692307691</v>
      </c>
    </row>
    <row r="1694" spans="1:17" x14ac:dyDescent="0.25">
      <c r="A1694" t="s">
        <v>1773</v>
      </c>
      <c r="B1694" t="s">
        <v>20</v>
      </c>
      <c r="C1694" t="s">
        <v>81</v>
      </c>
      <c r="D1694" t="str">
        <f t="shared" si="156"/>
        <v>CO</v>
      </c>
      <c r="E1694" t="str">
        <f t="shared" si="157"/>
        <v>West</v>
      </c>
      <c r="F1694" t="s">
        <v>59</v>
      </c>
      <c r="G1694" s="1">
        <v>45110</v>
      </c>
      <c r="H1694" s="1">
        <v>45114</v>
      </c>
      <c r="I1694" s="1">
        <f t="shared" si="161"/>
        <v>45114</v>
      </c>
      <c r="J1694" s="2">
        <v>15.2</v>
      </c>
      <c r="K1694" s="2">
        <v>181.08</v>
      </c>
      <c r="L1694" t="s">
        <v>15</v>
      </c>
      <c r="M1694" s="2">
        <v>1453</v>
      </c>
      <c r="N1694" s="2">
        <v>4</v>
      </c>
      <c r="O1694" s="2">
        <f t="shared" si="158"/>
        <v>363.25</v>
      </c>
      <c r="P1694" s="2">
        <f t="shared" si="159"/>
        <v>2.0060194389220234</v>
      </c>
      <c r="Q1694" s="3">
        <f t="shared" si="160"/>
        <v>0.12462491397109429</v>
      </c>
    </row>
    <row r="1695" spans="1:17" hidden="1" x14ac:dyDescent="0.25">
      <c r="A1695" t="s">
        <v>1774</v>
      </c>
      <c r="B1695" t="s">
        <v>30</v>
      </c>
      <c r="C1695" t="s">
        <v>21</v>
      </c>
      <c r="D1695" t="str">
        <f t="shared" si="156"/>
        <v>TX</v>
      </c>
      <c r="E1695" t="str">
        <f t="shared" si="157"/>
        <v>Southwest</v>
      </c>
      <c r="F1695" t="s">
        <v>14</v>
      </c>
      <c r="G1695" s="1">
        <v>45157</v>
      </c>
      <c r="H1695" s="1">
        <v>45160</v>
      </c>
      <c r="I1695" s="1">
        <f t="shared" si="161"/>
        <v>45160</v>
      </c>
      <c r="J1695" s="2">
        <v>9.5</v>
      </c>
      <c r="K1695" s="2">
        <v>177.71</v>
      </c>
      <c r="L1695" t="s">
        <v>62</v>
      </c>
      <c r="M1695" s="2">
        <v>1321</v>
      </c>
      <c r="N1695" s="2">
        <v>3</v>
      </c>
      <c r="O1695" s="2">
        <f t="shared" si="158"/>
        <v>440.33333333333331</v>
      </c>
      <c r="P1695" s="2">
        <f t="shared" si="159"/>
        <v>2.4778196687487104</v>
      </c>
      <c r="Q1695" s="3">
        <f t="shared" si="160"/>
        <v>0.13452687358062074</v>
      </c>
    </row>
    <row r="1696" spans="1:17" hidden="1" x14ac:dyDescent="0.25">
      <c r="A1696" t="s">
        <v>1775</v>
      </c>
      <c r="B1696" t="s">
        <v>30</v>
      </c>
      <c r="C1696" t="s">
        <v>46</v>
      </c>
      <c r="D1696" t="str">
        <f t="shared" si="156"/>
        <v>MA</v>
      </c>
      <c r="E1696" t="str">
        <f t="shared" si="157"/>
        <v>Northeast</v>
      </c>
      <c r="F1696" t="s">
        <v>59</v>
      </c>
      <c r="G1696" s="1">
        <v>45229</v>
      </c>
      <c r="H1696" s="1">
        <v>45199</v>
      </c>
      <c r="I1696" s="1">
        <f t="shared" si="161"/>
        <v>45199</v>
      </c>
      <c r="J1696" s="2">
        <v>25.2</v>
      </c>
      <c r="K1696" s="2">
        <v>295.58999999999997</v>
      </c>
      <c r="L1696" t="s">
        <v>15</v>
      </c>
      <c r="M1696" s="2">
        <v>2279</v>
      </c>
      <c r="N1696" s="2">
        <v>7</v>
      </c>
      <c r="O1696" s="2">
        <f t="shared" si="158"/>
        <v>325.57142857142856</v>
      </c>
      <c r="P1696" s="2">
        <f t="shared" si="159"/>
        <v>1.1014291030529739</v>
      </c>
      <c r="Q1696" s="3">
        <f t="shared" si="160"/>
        <v>0.12970162351908732</v>
      </c>
    </row>
    <row r="1697" spans="1:17" hidden="1" x14ac:dyDescent="0.25">
      <c r="A1697" t="s">
        <v>1776</v>
      </c>
      <c r="B1697" t="s">
        <v>39</v>
      </c>
      <c r="C1697" t="s">
        <v>31</v>
      </c>
      <c r="D1697" t="str">
        <f t="shared" si="156"/>
        <v>NY</v>
      </c>
      <c r="E1697" t="str">
        <f t="shared" si="157"/>
        <v>Northeast</v>
      </c>
      <c r="F1697" t="s">
        <v>32</v>
      </c>
      <c r="G1697" s="1">
        <v>45085</v>
      </c>
      <c r="H1697" s="1">
        <v>45090</v>
      </c>
      <c r="I1697" s="1">
        <f t="shared" si="161"/>
        <v>45090</v>
      </c>
      <c r="J1697" s="2">
        <v>11.8</v>
      </c>
      <c r="K1697" s="2">
        <v>116.39</v>
      </c>
      <c r="L1697" t="s">
        <v>15</v>
      </c>
      <c r="M1697" s="2">
        <v>835</v>
      </c>
      <c r="N1697" s="2">
        <v>5</v>
      </c>
      <c r="O1697" s="2">
        <f t="shared" si="158"/>
        <v>167</v>
      </c>
      <c r="P1697" s="2">
        <f t="shared" si="159"/>
        <v>1.4348311710628061</v>
      </c>
      <c r="Q1697" s="3">
        <f t="shared" si="160"/>
        <v>0.13938922155688624</v>
      </c>
    </row>
    <row r="1698" spans="1:17" hidden="1" x14ac:dyDescent="0.25">
      <c r="A1698" t="s">
        <v>1777</v>
      </c>
      <c r="B1698" t="s">
        <v>20</v>
      </c>
      <c r="C1698" t="s">
        <v>54</v>
      </c>
      <c r="D1698" t="str">
        <f t="shared" ref="D1698:D1760" si="162">IF(C1698="Atlanta","GA",
IF(C1698="Boston","MA",
IF(C1698="Chicago","IL",
IF(C1698="Dallas","TX",
IF(C1698="Denver","CO",
IF(C1698="Detroit","MI",
IF(C1698="Houston","TX",
IF(C1698="Los Angeles","CA",
IF(C1698="Miami","FL",
IF(C1698="Minneapolis","MN",
IF(C1698="New York","NY",
IF(C1698="Phoenix","AZ",
IF(C1698="Portland","OR",
IF(C1698="San Francisco","CA",
IF(C1698="Seattle","WA","Unknown")))))))))))))))</f>
        <v>FL</v>
      </c>
      <c r="E1698" t="str">
        <f t="shared" ref="E1698:E1760" si="163">IF(OR(D1698="NY",D1698="NJ",D1698="PA",D1698="MA",D1698="CT",D1698="RI",D1698="VT",D1698="NH",D1698="ME"),"Northeast",
IF(OR(D1698="FL",D1698="GA",D1698="AL",D1698="MS",D1698="SC",D1698="NC",D1698="TN",D1698="KY"),"Southeast",
IF(OR(D1698="IL",D1698="IN",D1698="OH",D1698="MI",D1698="WI",D1698="MN",D1698="IA",D1698="MO",D1698="KS",D1698="NE",D1698="ND",D1698="SD"),"Midwest",
IF(OR(D1698="TX",D1698="OK",D1698="NM",D1698="AZ"),"Southwest",
IF(OR(D1698="CA",D1698="OR",D1698="WA",D1698="NV",D1698="CO",D1698="UT",D1698="ID",D1698="MT",D1698="WY",D1698="AK",D1698="HI"),"West","Other")))))</f>
        <v>Southeast</v>
      </c>
      <c r="F1698" t="s">
        <v>25</v>
      </c>
      <c r="G1698" s="1">
        <v>45080</v>
      </c>
      <c r="H1698" s="1">
        <v>45084</v>
      </c>
      <c r="I1698" s="1">
        <f t="shared" si="161"/>
        <v>45084</v>
      </c>
      <c r="J1698" s="2">
        <v>8.6999999999999993</v>
      </c>
      <c r="K1698" s="2">
        <v>124.66</v>
      </c>
      <c r="L1698" t="s">
        <v>15</v>
      </c>
      <c r="M1698" s="2">
        <v>1035</v>
      </c>
      <c r="N1698" s="2">
        <v>4</v>
      </c>
      <c r="O1698" s="2">
        <f t="shared" ref="O1698:O1760" si="164">M1698/N1698</f>
        <v>258.75</v>
      </c>
      <c r="P1698" s="2">
        <f t="shared" ref="P1698:P1760" si="165">O1698/K1698</f>
        <v>2.0756457564575648</v>
      </c>
      <c r="Q1698" s="3">
        <f t="shared" ref="Q1698:Q1760" si="166">K1698/M1698</f>
        <v>0.12044444444444444</v>
      </c>
    </row>
    <row r="1699" spans="1:17" x14ac:dyDescent="0.25">
      <c r="A1699" t="s">
        <v>1778</v>
      </c>
      <c r="B1699" t="s">
        <v>56</v>
      </c>
      <c r="C1699" t="s">
        <v>13</v>
      </c>
      <c r="D1699" t="str">
        <f t="shared" si="162"/>
        <v>CA</v>
      </c>
      <c r="E1699" t="str">
        <f t="shared" si="163"/>
        <v>West</v>
      </c>
      <c r="F1699" t="s">
        <v>59</v>
      </c>
      <c r="G1699" s="1">
        <v>45019</v>
      </c>
      <c r="H1699" s="1">
        <v>45023</v>
      </c>
      <c r="I1699" s="1">
        <f t="shared" si="161"/>
        <v>45023</v>
      </c>
      <c r="J1699" s="2">
        <v>226.6</v>
      </c>
      <c r="K1699" s="2">
        <v>44.83</v>
      </c>
      <c r="L1699" t="s">
        <v>15</v>
      </c>
      <c r="M1699" s="2">
        <v>202</v>
      </c>
      <c r="N1699" s="2">
        <v>4</v>
      </c>
      <c r="O1699" s="2">
        <f t="shared" si="164"/>
        <v>50.5</v>
      </c>
      <c r="P1699" s="2">
        <f t="shared" si="165"/>
        <v>1.1264778050412672</v>
      </c>
      <c r="Q1699" s="3">
        <f t="shared" si="166"/>
        <v>0.22193069306930693</v>
      </c>
    </row>
    <row r="1700" spans="1:17" hidden="1" x14ac:dyDescent="0.25">
      <c r="A1700" t="s">
        <v>1779</v>
      </c>
      <c r="B1700" t="s">
        <v>35</v>
      </c>
      <c r="C1700" t="s">
        <v>57</v>
      </c>
      <c r="D1700" t="str">
        <f t="shared" si="162"/>
        <v>MN</v>
      </c>
      <c r="E1700" t="str">
        <f t="shared" si="163"/>
        <v>Midwest</v>
      </c>
      <c r="F1700" t="s">
        <v>37</v>
      </c>
      <c r="G1700" s="1">
        <v>45157</v>
      </c>
      <c r="H1700" s="1">
        <v>45159</v>
      </c>
      <c r="I1700" s="1">
        <f t="shared" si="161"/>
        <v>45159</v>
      </c>
      <c r="J1700" s="2">
        <v>14.3</v>
      </c>
      <c r="K1700" s="2">
        <v>44.86</v>
      </c>
      <c r="L1700" t="s">
        <v>15</v>
      </c>
      <c r="M1700" s="2">
        <v>226</v>
      </c>
      <c r="N1700" s="2">
        <v>2</v>
      </c>
      <c r="O1700" s="2">
        <f t="shared" si="164"/>
        <v>113</v>
      </c>
      <c r="P1700" s="2">
        <f t="shared" si="165"/>
        <v>2.5189478377173429</v>
      </c>
      <c r="Q1700" s="3">
        <f t="shared" si="166"/>
        <v>0.19849557522123892</v>
      </c>
    </row>
    <row r="1701" spans="1:17" hidden="1" x14ac:dyDescent="0.25">
      <c r="A1701" t="s">
        <v>1780</v>
      </c>
      <c r="B1701" t="s">
        <v>39</v>
      </c>
      <c r="C1701" t="s">
        <v>54</v>
      </c>
      <c r="D1701" t="str">
        <f t="shared" si="162"/>
        <v>FL</v>
      </c>
      <c r="E1701" t="str">
        <f t="shared" si="163"/>
        <v>Southeast</v>
      </c>
      <c r="F1701" t="s">
        <v>32</v>
      </c>
      <c r="G1701" s="1">
        <v>45248</v>
      </c>
      <c r="H1701" s="1">
        <v>45254</v>
      </c>
      <c r="I1701" s="1">
        <f t="shared" si="161"/>
        <v>45254</v>
      </c>
      <c r="J1701" s="2">
        <v>47.6</v>
      </c>
      <c r="K1701" s="2">
        <v>434.73</v>
      </c>
      <c r="L1701" t="s">
        <v>15</v>
      </c>
      <c r="M1701" s="2">
        <v>2194</v>
      </c>
      <c r="N1701" s="2">
        <v>6</v>
      </c>
      <c r="O1701" s="2">
        <f t="shared" si="164"/>
        <v>365.66666666666669</v>
      </c>
      <c r="P1701" s="2">
        <f t="shared" si="165"/>
        <v>0.84113511068172586</v>
      </c>
      <c r="Q1701" s="3">
        <f t="shared" si="166"/>
        <v>0.19814494074749317</v>
      </c>
    </row>
    <row r="1702" spans="1:17" hidden="1" x14ac:dyDescent="0.25">
      <c r="A1702" t="s">
        <v>1781</v>
      </c>
      <c r="B1702" t="s">
        <v>39</v>
      </c>
      <c r="C1702" t="s">
        <v>52</v>
      </c>
      <c r="D1702" t="str">
        <f t="shared" si="162"/>
        <v>AZ</v>
      </c>
      <c r="E1702" t="str">
        <f t="shared" si="163"/>
        <v>Southwest</v>
      </c>
      <c r="F1702" t="s">
        <v>37</v>
      </c>
      <c r="G1702" s="1">
        <v>45235</v>
      </c>
      <c r="H1702" s="1">
        <v>45246</v>
      </c>
      <c r="I1702" s="1">
        <f t="shared" si="161"/>
        <v>45246</v>
      </c>
      <c r="J1702" s="2">
        <v>22.5</v>
      </c>
      <c r="K1702" s="2">
        <v>320.2</v>
      </c>
      <c r="L1702" t="s">
        <v>15</v>
      </c>
      <c r="M1702" s="2">
        <v>1865</v>
      </c>
      <c r="N1702" s="2">
        <v>11</v>
      </c>
      <c r="O1702" s="2">
        <f t="shared" si="164"/>
        <v>169.54545454545453</v>
      </c>
      <c r="P1702" s="2">
        <f t="shared" si="165"/>
        <v>0.52949860882403044</v>
      </c>
      <c r="Q1702" s="3">
        <f t="shared" si="166"/>
        <v>0.17168900804289544</v>
      </c>
    </row>
    <row r="1703" spans="1:17" x14ac:dyDescent="0.25">
      <c r="A1703" t="s">
        <v>1782</v>
      </c>
      <c r="B1703" t="s">
        <v>35</v>
      </c>
      <c r="C1703" t="s">
        <v>81</v>
      </c>
      <c r="D1703" t="str">
        <f t="shared" si="162"/>
        <v>CO</v>
      </c>
      <c r="E1703" t="str">
        <f t="shared" si="163"/>
        <v>West</v>
      </c>
      <c r="F1703" t="s">
        <v>32</v>
      </c>
      <c r="G1703" s="1">
        <v>45019</v>
      </c>
      <c r="H1703" s="1">
        <v>45023</v>
      </c>
      <c r="I1703" s="1">
        <f t="shared" si="161"/>
        <v>45023</v>
      </c>
      <c r="J1703" s="2">
        <v>19.100000000000001</v>
      </c>
      <c r="K1703" s="2">
        <v>159.13999999999999</v>
      </c>
      <c r="L1703" t="s">
        <v>15</v>
      </c>
      <c r="M1703" s="2">
        <v>1000</v>
      </c>
      <c r="N1703" s="2">
        <v>4</v>
      </c>
      <c r="O1703" s="2">
        <f t="shared" si="164"/>
        <v>250</v>
      </c>
      <c r="P1703" s="2">
        <f t="shared" si="165"/>
        <v>1.5709438230488879</v>
      </c>
      <c r="Q1703" s="3">
        <f t="shared" si="166"/>
        <v>0.15913999999999998</v>
      </c>
    </row>
    <row r="1704" spans="1:17" hidden="1" x14ac:dyDescent="0.25">
      <c r="A1704" t="s">
        <v>1783</v>
      </c>
      <c r="B1704" t="s">
        <v>23</v>
      </c>
      <c r="C1704" t="s">
        <v>57</v>
      </c>
      <c r="D1704" t="str">
        <f t="shared" si="162"/>
        <v>MN</v>
      </c>
      <c r="E1704" t="str">
        <f t="shared" si="163"/>
        <v>Midwest</v>
      </c>
      <c r="F1704" t="s">
        <v>59</v>
      </c>
      <c r="G1704" s="1">
        <v>45009</v>
      </c>
      <c r="H1704" s="1">
        <v>45014</v>
      </c>
      <c r="I1704" s="1">
        <f t="shared" si="161"/>
        <v>45014</v>
      </c>
      <c r="J1704" s="2">
        <v>58.8</v>
      </c>
      <c r="K1704" s="2">
        <v>177.73</v>
      </c>
      <c r="L1704" t="s">
        <v>15</v>
      </c>
      <c r="M1704" s="2">
        <v>892</v>
      </c>
      <c r="N1704" s="2">
        <v>5</v>
      </c>
      <c r="O1704" s="2">
        <f t="shared" si="164"/>
        <v>178.4</v>
      </c>
      <c r="P1704" s="2">
        <f t="shared" si="165"/>
        <v>1.0037697631238396</v>
      </c>
      <c r="Q1704" s="3">
        <f t="shared" si="166"/>
        <v>0.1992488789237668</v>
      </c>
    </row>
    <row r="1705" spans="1:17" hidden="1" x14ac:dyDescent="0.25">
      <c r="A1705" t="s">
        <v>1784</v>
      </c>
      <c r="B1705" t="s">
        <v>27</v>
      </c>
      <c r="C1705" t="s">
        <v>52</v>
      </c>
      <c r="D1705" t="str">
        <f t="shared" si="162"/>
        <v>AZ</v>
      </c>
      <c r="E1705" t="str">
        <f t="shared" si="163"/>
        <v>Southwest</v>
      </c>
      <c r="F1705" t="s">
        <v>42</v>
      </c>
      <c r="G1705" s="1">
        <v>45223</v>
      </c>
      <c r="H1705" s="1">
        <v>45231</v>
      </c>
      <c r="I1705" s="1">
        <f t="shared" si="161"/>
        <v>45231</v>
      </c>
      <c r="J1705" s="2">
        <v>32</v>
      </c>
      <c r="K1705" s="2">
        <v>301.33</v>
      </c>
      <c r="L1705" t="s">
        <v>15</v>
      </c>
      <c r="M1705" s="2">
        <v>2356</v>
      </c>
      <c r="N1705" s="2">
        <v>8</v>
      </c>
      <c r="O1705" s="2">
        <f t="shared" si="164"/>
        <v>294.5</v>
      </c>
      <c r="P1705" s="2">
        <f t="shared" si="165"/>
        <v>0.9773338200643813</v>
      </c>
      <c r="Q1705" s="3">
        <f t="shared" si="166"/>
        <v>0.12789898132427843</v>
      </c>
    </row>
    <row r="1706" spans="1:17" hidden="1" x14ac:dyDescent="0.25">
      <c r="A1706" t="s">
        <v>1785</v>
      </c>
      <c r="B1706" t="s">
        <v>56</v>
      </c>
      <c r="C1706" t="s">
        <v>54</v>
      </c>
      <c r="D1706" t="str">
        <f t="shared" si="162"/>
        <v>FL</v>
      </c>
      <c r="E1706" t="str">
        <f t="shared" si="163"/>
        <v>Southeast</v>
      </c>
      <c r="F1706" t="s">
        <v>42</v>
      </c>
      <c r="G1706" s="1">
        <v>45265</v>
      </c>
      <c r="H1706" s="1">
        <v>45266</v>
      </c>
      <c r="I1706" s="1">
        <f t="shared" si="161"/>
        <v>45266</v>
      </c>
      <c r="J1706" s="2">
        <v>5</v>
      </c>
      <c r="K1706" s="2">
        <v>33.880000000000003</v>
      </c>
      <c r="L1706" t="s">
        <v>15</v>
      </c>
      <c r="M1706" s="2">
        <v>165</v>
      </c>
      <c r="N1706" s="2">
        <v>1</v>
      </c>
      <c r="O1706" s="2">
        <f t="shared" si="164"/>
        <v>165</v>
      </c>
      <c r="P1706" s="2">
        <f t="shared" si="165"/>
        <v>4.8701298701298699</v>
      </c>
      <c r="Q1706" s="3">
        <f t="shared" si="166"/>
        <v>0.20533333333333334</v>
      </c>
    </row>
    <row r="1707" spans="1:17" hidden="1" x14ac:dyDescent="0.25">
      <c r="A1707" t="s">
        <v>1786</v>
      </c>
      <c r="B1707" t="s">
        <v>12</v>
      </c>
      <c r="C1707" t="s">
        <v>54</v>
      </c>
      <c r="D1707" t="str">
        <f t="shared" si="162"/>
        <v>FL</v>
      </c>
      <c r="E1707" t="str">
        <f t="shared" si="163"/>
        <v>Southeast</v>
      </c>
      <c r="F1707" t="s">
        <v>32</v>
      </c>
      <c r="G1707" s="1">
        <v>45053</v>
      </c>
      <c r="H1707" s="1">
        <v>45055</v>
      </c>
      <c r="I1707" s="1">
        <f t="shared" si="161"/>
        <v>45055</v>
      </c>
      <c r="J1707" s="2">
        <v>0.2</v>
      </c>
      <c r="K1707" s="2">
        <v>88.88</v>
      </c>
      <c r="L1707" t="s">
        <v>15</v>
      </c>
      <c r="M1707" s="2">
        <v>403</v>
      </c>
      <c r="N1707" s="2">
        <v>2</v>
      </c>
      <c r="O1707" s="2">
        <f t="shared" si="164"/>
        <v>201.5</v>
      </c>
      <c r="P1707" s="2">
        <f t="shared" si="165"/>
        <v>2.2671017101710174</v>
      </c>
      <c r="Q1707" s="3">
        <f t="shared" si="166"/>
        <v>0.22054590570719601</v>
      </c>
    </row>
    <row r="1708" spans="1:17" hidden="1" x14ac:dyDescent="0.25">
      <c r="A1708" t="s">
        <v>1787</v>
      </c>
      <c r="B1708" t="s">
        <v>20</v>
      </c>
      <c r="C1708" t="s">
        <v>52</v>
      </c>
      <c r="D1708" t="str">
        <f t="shared" si="162"/>
        <v>AZ</v>
      </c>
      <c r="E1708" t="str">
        <f t="shared" si="163"/>
        <v>Southwest</v>
      </c>
      <c r="F1708" t="s">
        <v>25</v>
      </c>
      <c r="G1708" s="1">
        <v>45139</v>
      </c>
      <c r="H1708" s="1">
        <v>45141</v>
      </c>
      <c r="I1708" s="1">
        <f t="shared" si="161"/>
        <v>45141</v>
      </c>
      <c r="J1708" s="2">
        <v>9.6999999999999993</v>
      </c>
      <c r="K1708" s="2">
        <v>60.27</v>
      </c>
      <c r="L1708" t="s">
        <v>15</v>
      </c>
      <c r="M1708" s="2">
        <v>373</v>
      </c>
      <c r="N1708" s="2">
        <v>2</v>
      </c>
      <c r="O1708" s="2">
        <f t="shared" si="164"/>
        <v>186.5</v>
      </c>
      <c r="P1708" s="2">
        <f t="shared" si="165"/>
        <v>3.094408495105359</v>
      </c>
      <c r="Q1708" s="3">
        <f t="shared" si="166"/>
        <v>0.16158176943699734</v>
      </c>
    </row>
    <row r="1709" spans="1:17" hidden="1" x14ac:dyDescent="0.25">
      <c r="A1709" t="s">
        <v>1788</v>
      </c>
      <c r="B1709" t="s">
        <v>20</v>
      </c>
      <c r="C1709" t="s">
        <v>31</v>
      </c>
      <c r="D1709" t="str">
        <f t="shared" si="162"/>
        <v>NY</v>
      </c>
      <c r="E1709" t="str">
        <f t="shared" si="163"/>
        <v>Northeast</v>
      </c>
      <c r="F1709" t="s">
        <v>18</v>
      </c>
      <c r="G1709" s="1">
        <v>45034</v>
      </c>
      <c r="H1709" s="1">
        <v>45038</v>
      </c>
      <c r="I1709" s="1">
        <f t="shared" si="161"/>
        <v>45038</v>
      </c>
      <c r="J1709" s="2">
        <v>29.8</v>
      </c>
      <c r="K1709" s="2">
        <v>248.19</v>
      </c>
      <c r="L1709" t="s">
        <v>15</v>
      </c>
      <c r="M1709" s="2">
        <v>1462</v>
      </c>
      <c r="N1709" s="2">
        <v>4</v>
      </c>
      <c r="O1709" s="2">
        <f t="shared" si="164"/>
        <v>365.5</v>
      </c>
      <c r="P1709" s="2">
        <f t="shared" si="165"/>
        <v>1.4726620734114992</v>
      </c>
      <c r="Q1709" s="3">
        <f t="shared" si="166"/>
        <v>0.16976060191518469</v>
      </c>
    </row>
    <row r="1710" spans="1:17" hidden="1" x14ac:dyDescent="0.25">
      <c r="A1710" t="s">
        <v>1789</v>
      </c>
      <c r="B1710" t="s">
        <v>27</v>
      </c>
      <c r="C1710" t="s">
        <v>57</v>
      </c>
      <c r="D1710" t="str">
        <f t="shared" si="162"/>
        <v>MN</v>
      </c>
      <c r="E1710" t="str">
        <f t="shared" si="163"/>
        <v>Midwest</v>
      </c>
      <c r="F1710" t="s">
        <v>59</v>
      </c>
      <c r="G1710" s="1">
        <v>44954</v>
      </c>
      <c r="H1710" s="1">
        <v>44961</v>
      </c>
      <c r="I1710" s="1">
        <f t="shared" si="161"/>
        <v>44961</v>
      </c>
      <c r="J1710" s="2">
        <v>15.7</v>
      </c>
      <c r="K1710" s="2">
        <v>199.62</v>
      </c>
      <c r="L1710" t="s">
        <v>15</v>
      </c>
      <c r="M1710" s="2">
        <v>1715</v>
      </c>
      <c r="N1710" s="2">
        <v>7</v>
      </c>
      <c r="O1710" s="2">
        <f t="shared" si="164"/>
        <v>245</v>
      </c>
      <c r="P1710" s="2">
        <f t="shared" si="165"/>
        <v>1.2273319306682697</v>
      </c>
      <c r="Q1710" s="3">
        <f t="shared" si="166"/>
        <v>0.11639650145772595</v>
      </c>
    </row>
    <row r="1711" spans="1:17" hidden="1" x14ac:dyDescent="0.25">
      <c r="A1711" t="s">
        <v>1790</v>
      </c>
      <c r="B1711" t="s">
        <v>51</v>
      </c>
      <c r="C1711" t="s">
        <v>40</v>
      </c>
      <c r="D1711" t="str">
        <f t="shared" si="162"/>
        <v>MI</v>
      </c>
      <c r="E1711" t="str">
        <f t="shared" si="163"/>
        <v>Midwest</v>
      </c>
      <c r="F1711" t="s">
        <v>25</v>
      </c>
      <c r="G1711" s="1">
        <v>44976</v>
      </c>
      <c r="H1711" s="1">
        <v>44981</v>
      </c>
      <c r="I1711" s="1">
        <f t="shared" si="161"/>
        <v>44981</v>
      </c>
      <c r="J1711" s="2">
        <v>55</v>
      </c>
      <c r="K1711" s="2">
        <v>282.54000000000002</v>
      </c>
      <c r="L1711" t="s">
        <v>15</v>
      </c>
      <c r="M1711" s="2">
        <v>2033</v>
      </c>
      <c r="N1711" s="2">
        <v>5</v>
      </c>
      <c r="O1711" s="2">
        <f t="shared" si="164"/>
        <v>406.6</v>
      </c>
      <c r="P1711" s="2">
        <f t="shared" si="165"/>
        <v>1.4390882706873362</v>
      </c>
      <c r="Q1711" s="3">
        <f t="shared" si="166"/>
        <v>0.13897688145597639</v>
      </c>
    </row>
    <row r="1712" spans="1:17" hidden="1" x14ac:dyDescent="0.25">
      <c r="A1712" t="s">
        <v>1791</v>
      </c>
      <c r="B1712" t="s">
        <v>12</v>
      </c>
      <c r="C1712" t="s">
        <v>52</v>
      </c>
      <c r="D1712" t="str">
        <f t="shared" si="162"/>
        <v>AZ</v>
      </c>
      <c r="E1712" t="str">
        <f t="shared" si="163"/>
        <v>Southwest</v>
      </c>
      <c r="F1712" t="s">
        <v>37</v>
      </c>
      <c r="G1712" s="1">
        <v>45263</v>
      </c>
      <c r="H1712" s="1">
        <v>45281</v>
      </c>
      <c r="I1712" s="1">
        <f t="shared" si="161"/>
        <v>45281</v>
      </c>
      <c r="J1712" s="2">
        <v>31.4</v>
      </c>
      <c r="K1712" s="2">
        <v>226.08</v>
      </c>
      <c r="L1712" t="s">
        <v>47</v>
      </c>
      <c r="M1712" s="2">
        <v>1430</v>
      </c>
      <c r="N1712" s="2">
        <v>5</v>
      </c>
      <c r="O1712" s="2">
        <f t="shared" si="164"/>
        <v>286</v>
      </c>
      <c r="P1712" s="2">
        <f t="shared" si="165"/>
        <v>1.265038924274593</v>
      </c>
      <c r="Q1712" s="3">
        <f t="shared" si="166"/>
        <v>0.15809790209790212</v>
      </c>
    </row>
    <row r="1713" spans="1:17" hidden="1" x14ac:dyDescent="0.25">
      <c r="A1713" t="s">
        <v>1792</v>
      </c>
      <c r="B1713" t="s">
        <v>30</v>
      </c>
      <c r="C1713" t="s">
        <v>28</v>
      </c>
      <c r="D1713" t="str">
        <f t="shared" si="162"/>
        <v>TX</v>
      </c>
      <c r="E1713" t="str">
        <f t="shared" si="163"/>
        <v>Southwest</v>
      </c>
      <c r="F1713" t="s">
        <v>42</v>
      </c>
      <c r="G1713" s="1">
        <v>45197</v>
      </c>
      <c r="H1713" s="1">
        <v>45201</v>
      </c>
      <c r="I1713" s="1">
        <f t="shared" si="161"/>
        <v>45201</v>
      </c>
      <c r="J1713" s="2">
        <v>54.2</v>
      </c>
      <c r="K1713" s="2">
        <v>240.9</v>
      </c>
      <c r="L1713" t="s">
        <v>15</v>
      </c>
      <c r="M1713" s="2">
        <v>1309</v>
      </c>
      <c r="N1713" s="2">
        <v>4</v>
      </c>
      <c r="O1713" s="2">
        <f t="shared" si="164"/>
        <v>327.25</v>
      </c>
      <c r="P1713" s="2">
        <f t="shared" si="165"/>
        <v>1.3584474885844748</v>
      </c>
      <c r="Q1713" s="3">
        <f t="shared" si="166"/>
        <v>0.18403361344537816</v>
      </c>
    </row>
    <row r="1714" spans="1:17" hidden="1" x14ac:dyDescent="0.25">
      <c r="A1714" t="s">
        <v>1793</v>
      </c>
      <c r="B1714" t="s">
        <v>39</v>
      </c>
      <c r="C1714" t="s">
        <v>46</v>
      </c>
      <c r="D1714" t="str">
        <f t="shared" si="162"/>
        <v>MA</v>
      </c>
      <c r="E1714" t="str">
        <f t="shared" si="163"/>
        <v>Northeast</v>
      </c>
      <c r="F1714" t="s">
        <v>59</v>
      </c>
      <c r="G1714" s="1">
        <v>45166</v>
      </c>
      <c r="H1714" s="1">
        <v>45171</v>
      </c>
      <c r="I1714" s="1">
        <f t="shared" si="161"/>
        <v>45171</v>
      </c>
      <c r="J1714" s="2">
        <v>54.6</v>
      </c>
      <c r="K1714" s="2">
        <v>185.97</v>
      </c>
      <c r="L1714" t="s">
        <v>15</v>
      </c>
      <c r="M1714" s="2">
        <v>942</v>
      </c>
      <c r="N1714" s="2">
        <v>5</v>
      </c>
      <c r="O1714" s="2">
        <f t="shared" si="164"/>
        <v>188.4</v>
      </c>
      <c r="P1714" s="2">
        <f t="shared" si="165"/>
        <v>1.0130666236489756</v>
      </c>
      <c r="Q1714" s="3">
        <f t="shared" si="166"/>
        <v>0.19742038216560509</v>
      </c>
    </row>
    <row r="1715" spans="1:17" x14ac:dyDescent="0.25">
      <c r="A1715" t="s">
        <v>1794</v>
      </c>
      <c r="B1715" t="s">
        <v>20</v>
      </c>
      <c r="C1715" t="s">
        <v>24</v>
      </c>
      <c r="D1715" t="str">
        <f t="shared" si="162"/>
        <v>WA</v>
      </c>
      <c r="E1715" t="str">
        <f t="shared" si="163"/>
        <v>West</v>
      </c>
      <c r="F1715" t="s">
        <v>59</v>
      </c>
      <c r="G1715" s="1">
        <v>45286</v>
      </c>
      <c r="H1715" s="1">
        <v>45294</v>
      </c>
      <c r="I1715" s="1">
        <f t="shared" si="161"/>
        <v>45294</v>
      </c>
      <c r="J1715" s="2">
        <v>46.8</v>
      </c>
      <c r="K1715" s="2">
        <v>230.72</v>
      </c>
      <c r="L1715" t="s">
        <v>47</v>
      </c>
      <c r="M1715" s="2">
        <v>1135</v>
      </c>
      <c r="N1715" s="2">
        <v>3</v>
      </c>
      <c r="O1715" s="2">
        <f t="shared" si="164"/>
        <v>378.33333333333331</v>
      </c>
      <c r="P1715" s="2">
        <f t="shared" si="165"/>
        <v>1.6397942672214516</v>
      </c>
      <c r="Q1715" s="3">
        <f t="shared" si="166"/>
        <v>0.20327753303964757</v>
      </c>
    </row>
    <row r="1716" spans="1:17" x14ac:dyDescent="0.25">
      <c r="A1716" t="s">
        <v>1795</v>
      </c>
      <c r="B1716" t="s">
        <v>27</v>
      </c>
      <c r="C1716" t="s">
        <v>36</v>
      </c>
      <c r="D1716" t="str">
        <f t="shared" si="162"/>
        <v>OR</v>
      </c>
      <c r="E1716" t="str">
        <f t="shared" si="163"/>
        <v>West</v>
      </c>
      <c r="F1716" t="s">
        <v>59</v>
      </c>
      <c r="G1716" s="1">
        <v>45164</v>
      </c>
      <c r="H1716" s="1">
        <v>45168</v>
      </c>
      <c r="I1716" s="1">
        <f t="shared" si="161"/>
        <v>45168</v>
      </c>
      <c r="J1716" s="2">
        <v>36.700000000000003</v>
      </c>
      <c r="K1716" s="2">
        <v>163.13999999999999</v>
      </c>
      <c r="L1716" t="s">
        <v>15</v>
      </c>
      <c r="M1716" s="2">
        <v>1070</v>
      </c>
      <c r="N1716" s="2">
        <v>4</v>
      </c>
      <c r="O1716" s="2">
        <f t="shared" si="164"/>
        <v>267.5</v>
      </c>
      <c r="P1716" s="2">
        <f t="shared" si="165"/>
        <v>1.6396959666544073</v>
      </c>
      <c r="Q1716" s="3">
        <f t="shared" si="166"/>
        <v>0.15246728971962614</v>
      </c>
    </row>
    <row r="1717" spans="1:17" x14ac:dyDescent="0.25">
      <c r="A1717" t="s">
        <v>1796</v>
      </c>
      <c r="B1717" t="s">
        <v>30</v>
      </c>
      <c r="C1717" t="s">
        <v>13</v>
      </c>
      <c r="D1717" t="str">
        <f t="shared" si="162"/>
        <v>CA</v>
      </c>
      <c r="E1717" t="str">
        <f t="shared" si="163"/>
        <v>West</v>
      </c>
      <c r="F1717" t="s">
        <v>14</v>
      </c>
      <c r="G1717" s="1">
        <v>45064</v>
      </c>
      <c r="H1717" s="1">
        <v>45069</v>
      </c>
      <c r="I1717" s="1">
        <f t="shared" si="161"/>
        <v>45069</v>
      </c>
      <c r="J1717" s="2">
        <v>20.9</v>
      </c>
      <c r="K1717" s="2">
        <v>267.89</v>
      </c>
      <c r="L1717" t="s">
        <v>15</v>
      </c>
      <c r="M1717" s="2">
        <v>2032</v>
      </c>
      <c r="N1717" s="2">
        <v>5</v>
      </c>
      <c r="O1717" s="2">
        <f t="shared" si="164"/>
        <v>406.4</v>
      </c>
      <c r="P1717" s="2">
        <f t="shared" si="165"/>
        <v>1.5170405763559669</v>
      </c>
      <c r="Q1717" s="3">
        <f t="shared" si="166"/>
        <v>0.13183562992125983</v>
      </c>
    </row>
    <row r="1718" spans="1:17" x14ac:dyDescent="0.25">
      <c r="A1718" t="s">
        <v>1797</v>
      </c>
      <c r="B1718" t="s">
        <v>51</v>
      </c>
      <c r="C1718" t="s">
        <v>36</v>
      </c>
      <c r="D1718" t="str">
        <f t="shared" si="162"/>
        <v>OR</v>
      </c>
      <c r="E1718" t="str">
        <f t="shared" si="163"/>
        <v>West</v>
      </c>
      <c r="F1718" t="s">
        <v>32</v>
      </c>
      <c r="G1718" s="1">
        <v>45022</v>
      </c>
      <c r="H1718" s="1">
        <v>45028</v>
      </c>
      <c r="I1718" s="1">
        <f t="shared" si="161"/>
        <v>45028</v>
      </c>
      <c r="J1718" s="2">
        <v>6.6</v>
      </c>
      <c r="K1718" s="2">
        <v>297.63</v>
      </c>
      <c r="L1718" t="s">
        <v>15</v>
      </c>
      <c r="M1718" s="2">
        <v>2132</v>
      </c>
      <c r="N1718" s="2">
        <v>6</v>
      </c>
      <c r="O1718" s="2">
        <f t="shared" si="164"/>
        <v>355.33333333333331</v>
      </c>
      <c r="P1718" s="2">
        <f t="shared" si="165"/>
        <v>1.1938760653607947</v>
      </c>
      <c r="Q1718" s="3">
        <f t="shared" si="166"/>
        <v>0.13960131332082551</v>
      </c>
    </row>
    <row r="1719" spans="1:17" x14ac:dyDescent="0.25">
      <c r="A1719" t="s">
        <v>1798</v>
      </c>
      <c r="B1719" t="s">
        <v>30</v>
      </c>
      <c r="C1719" t="s">
        <v>24</v>
      </c>
      <c r="D1719" t="str">
        <f t="shared" si="162"/>
        <v>WA</v>
      </c>
      <c r="E1719" t="str">
        <f t="shared" si="163"/>
        <v>West</v>
      </c>
      <c r="F1719" t="s">
        <v>42</v>
      </c>
      <c r="G1719" s="1">
        <v>45236</v>
      </c>
      <c r="H1719" s="1">
        <v>45239</v>
      </c>
      <c r="I1719" s="1">
        <f t="shared" si="161"/>
        <v>45239</v>
      </c>
      <c r="J1719" s="2">
        <v>12.4</v>
      </c>
      <c r="K1719" s="2">
        <v>167.33</v>
      </c>
      <c r="L1719" t="s">
        <v>60</v>
      </c>
      <c r="M1719" s="2">
        <v>1030</v>
      </c>
      <c r="N1719" s="2">
        <v>3</v>
      </c>
      <c r="O1719" s="2">
        <f t="shared" si="164"/>
        <v>343.33333333333331</v>
      </c>
      <c r="P1719" s="2">
        <f t="shared" si="165"/>
        <v>2.0518337018665709</v>
      </c>
      <c r="Q1719" s="3">
        <f t="shared" si="166"/>
        <v>0.16245631067961167</v>
      </c>
    </row>
    <row r="1720" spans="1:17" hidden="1" x14ac:dyDescent="0.25">
      <c r="A1720" t="s">
        <v>1800</v>
      </c>
      <c r="B1720" t="s">
        <v>56</v>
      </c>
      <c r="C1720" t="s">
        <v>52</v>
      </c>
      <c r="D1720" t="str">
        <f t="shared" si="162"/>
        <v>AZ</v>
      </c>
      <c r="E1720" t="str">
        <f t="shared" si="163"/>
        <v>Southwest</v>
      </c>
      <c r="F1720" t="s">
        <v>37</v>
      </c>
      <c r="G1720" s="1">
        <v>45233</v>
      </c>
      <c r="H1720" s="1">
        <v>45236</v>
      </c>
      <c r="I1720" s="1">
        <f t="shared" si="161"/>
        <v>45236</v>
      </c>
      <c r="J1720" s="2">
        <v>40.299999999999997</v>
      </c>
      <c r="K1720" s="2">
        <v>158.18</v>
      </c>
      <c r="L1720" t="s">
        <v>15</v>
      </c>
      <c r="M1720" s="2">
        <v>645</v>
      </c>
      <c r="N1720" s="2">
        <v>3</v>
      </c>
      <c r="O1720" s="2">
        <f t="shared" si="164"/>
        <v>215</v>
      </c>
      <c r="P1720" s="2">
        <f t="shared" si="165"/>
        <v>1.3592110254140852</v>
      </c>
      <c r="Q1720" s="3">
        <f t="shared" si="166"/>
        <v>0.2452403100775194</v>
      </c>
    </row>
    <row r="1721" spans="1:17" x14ac:dyDescent="0.25">
      <c r="A1721" t="s">
        <v>1801</v>
      </c>
      <c r="B1721" t="s">
        <v>27</v>
      </c>
      <c r="C1721" t="s">
        <v>81</v>
      </c>
      <c r="D1721" t="str">
        <f t="shared" si="162"/>
        <v>CO</v>
      </c>
      <c r="E1721" t="str">
        <f t="shared" si="163"/>
        <v>West</v>
      </c>
      <c r="F1721" t="s">
        <v>59</v>
      </c>
      <c r="G1721" s="1">
        <v>45219</v>
      </c>
      <c r="H1721" s="1">
        <v>45236</v>
      </c>
      <c r="I1721" s="1">
        <f t="shared" si="161"/>
        <v>45236</v>
      </c>
      <c r="J1721" s="2">
        <v>12.4</v>
      </c>
      <c r="K1721" s="2">
        <v>256.57</v>
      </c>
      <c r="L1721" t="s">
        <v>47</v>
      </c>
      <c r="M1721" s="2">
        <v>2179</v>
      </c>
      <c r="N1721" s="2">
        <v>6</v>
      </c>
      <c r="O1721" s="2">
        <f t="shared" si="164"/>
        <v>363.16666666666669</v>
      </c>
      <c r="P1721" s="2">
        <f t="shared" si="165"/>
        <v>1.415468163334243</v>
      </c>
      <c r="Q1721" s="3">
        <f t="shared" si="166"/>
        <v>0.1177466727856815</v>
      </c>
    </row>
    <row r="1722" spans="1:17" hidden="1" x14ac:dyDescent="0.25">
      <c r="A1722" t="s">
        <v>1802</v>
      </c>
      <c r="B1722" t="s">
        <v>49</v>
      </c>
      <c r="C1722" t="s">
        <v>44</v>
      </c>
      <c r="D1722" t="str">
        <f t="shared" si="162"/>
        <v>IL</v>
      </c>
      <c r="E1722" t="str">
        <f t="shared" si="163"/>
        <v>Midwest</v>
      </c>
      <c r="F1722" t="s">
        <v>18</v>
      </c>
      <c r="G1722" s="1">
        <v>44975</v>
      </c>
      <c r="H1722" s="1">
        <v>44977</v>
      </c>
      <c r="I1722" s="1">
        <f t="shared" si="161"/>
        <v>44977</v>
      </c>
      <c r="J1722" s="2">
        <v>22.2</v>
      </c>
      <c r="K1722" s="2">
        <v>83.4</v>
      </c>
      <c r="L1722" t="s">
        <v>67</v>
      </c>
      <c r="M1722" s="2">
        <v>368</v>
      </c>
      <c r="N1722" s="2">
        <v>2</v>
      </c>
      <c r="O1722" s="2">
        <f t="shared" si="164"/>
        <v>184</v>
      </c>
      <c r="P1722" s="2">
        <f t="shared" si="165"/>
        <v>2.2062350119904077</v>
      </c>
      <c r="Q1722" s="3">
        <f t="shared" si="166"/>
        <v>0.22663043478260872</v>
      </c>
    </row>
    <row r="1723" spans="1:17" hidden="1" x14ac:dyDescent="0.25">
      <c r="A1723" t="s">
        <v>1803</v>
      </c>
      <c r="B1723" t="s">
        <v>27</v>
      </c>
      <c r="C1723" t="s">
        <v>52</v>
      </c>
      <c r="D1723" t="str">
        <f t="shared" si="162"/>
        <v>AZ</v>
      </c>
      <c r="E1723" t="str">
        <f t="shared" si="163"/>
        <v>Southwest</v>
      </c>
      <c r="F1723" t="s">
        <v>59</v>
      </c>
      <c r="G1723" s="1">
        <v>45046</v>
      </c>
      <c r="H1723" s="1">
        <v>45051</v>
      </c>
      <c r="I1723" s="1">
        <f t="shared" si="161"/>
        <v>45051</v>
      </c>
      <c r="J1723" s="2">
        <v>24.6</v>
      </c>
      <c r="K1723" s="2">
        <v>171.1</v>
      </c>
      <c r="L1723" t="s">
        <v>15</v>
      </c>
      <c r="M1723" s="2">
        <v>1225</v>
      </c>
      <c r="N1723" s="2">
        <v>5</v>
      </c>
      <c r="O1723" s="2">
        <f t="shared" si="164"/>
        <v>245</v>
      </c>
      <c r="P1723" s="2">
        <f t="shared" si="165"/>
        <v>1.4319111630625365</v>
      </c>
      <c r="Q1723" s="3">
        <f t="shared" si="166"/>
        <v>0.1396734693877551</v>
      </c>
    </row>
    <row r="1724" spans="1:17" hidden="1" x14ac:dyDescent="0.25">
      <c r="A1724" t="s">
        <v>1804</v>
      </c>
      <c r="B1724" t="s">
        <v>20</v>
      </c>
      <c r="C1724" t="s">
        <v>52</v>
      </c>
      <c r="D1724" t="str">
        <f t="shared" si="162"/>
        <v>AZ</v>
      </c>
      <c r="E1724" t="str">
        <f t="shared" si="163"/>
        <v>Southwest</v>
      </c>
      <c r="F1724" t="s">
        <v>25</v>
      </c>
      <c r="G1724" s="1">
        <v>45123</v>
      </c>
      <c r="H1724" s="1">
        <v>45124</v>
      </c>
      <c r="I1724" s="1">
        <f t="shared" si="161"/>
        <v>45124</v>
      </c>
      <c r="J1724" s="2">
        <v>94</v>
      </c>
      <c r="K1724" s="2">
        <v>143.19999999999999</v>
      </c>
      <c r="L1724" t="s">
        <v>15</v>
      </c>
      <c r="M1724" s="2">
        <v>373</v>
      </c>
      <c r="N1724" s="2">
        <v>1</v>
      </c>
      <c r="O1724" s="2">
        <f t="shared" si="164"/>
        <v>373</v>
      </c>
      <c r="P1724" s="2">
        <f t="shared" si="165"/>
        <v>2.6047486033519553</v>
      </c>
      <c r="Q1724" s="3">
        <f t="shared" si="166"/>
        <v>0.38391420911528146</v>
      </c>
    </row>
    <row r="1725" spans="1:17" x14ac:dyDescent="0.25">
      <c r="A1725" t="s">
        <v>1805</v>
      </c>
      <c r="B1725" t="s">
        <v>30</v>
      </c>
      <c r="C1725" t="s">
        <v>81</v>
      </c>
      <c r="D1725" t="str">
        <f t="shared" si="162"/>
        <v>CO</v>
      </c>
      <c r="E1725" t="str">
        <f t="shared" si="163"/>
        <v>West</v>
      </c>
      <c r="F1725" t="s">
        <v>32</v>
      </c>
      <c r="G1725" s="1">
        <v>45204</v>
      </c>
      <c r="H1725" s="1">
        <v>45209</v>
      </c>
      <c r="I1725" s="1">
        <f t="shared" si="161"/>
        <v>45209</v>
      </c>
      <c r="J1725" s="2">
        <v>59.3</v>
      </c>
      <c r="K1725" s="2">
        <v>388.44</v>
      </c>
      <c r="L1725" t="s">
        <v>15</v>
      </c>
      <c r="M1725" s="2">
        <v>2161</v>
      </c>
      <c r="N1725" s="2">
        <v>5</v>
      </c>
      <c r="O1725" s="2">
        <f t="shared" si="164"/>
        <v>432.2</v>
      </c>
      <c r="P1725" s="2">
        <f t="shared" si="165"/>
        <v>1.112655751209968</v>
      </c>
      <c r="Q1725" s="3">
        <f t="shared" si="166"/>
        <v>0.17975011568718186</v>
      </c>
    </row>
    <row r="1726" spans="1:17" x14ac:dyDescent="0.25">
      <c r="A1726" t="s">
        <v>1806</v>
      </c>
      <c r="B1726" t="s">
        <v>23</v>
      </c>
      <c r="C1726" t="s">
        <v>24</v>
      </c>
      <c r="D1726" t="str">
        <f t="shared" si="162"/>
        <v>WA</v>
      </c>
      <c r="E1726" t="str">
        <f t="shared" si="163"/>
        <v>West</v>
      </c>
      <c r="F1726" t="s">
        <v>14</v>
      </c>
      <c r="G1726" s="1">
        <v>45082</v>
      </c>
      <c r="H1726" s="1">
        <v>45084</v>
      </c>
      <c r="I1726" s="1">
        <f t="shared" si="161"/>
        <v>45084</v>
      </c>
      <c r="J1726" s="2">
        <v>13.1</v>
      </c>
      <c r="K1726" s="2">
        <v>85.44</v>
      </c>
      <c r="L1726" t="s">
        <v>15</v>
      </c>
      <c r="M1726" s="2">
        <v>610</v>
      </c>
      <c r="N1726" s="2">
        <v>2</v>
      </c>
      <c r="O1726" s="2">
        <f t="shared" si="164"/>
        <v>305</v>
      </c>
      <c r="P1726" s="2">
        <f t="shared" si="165"/>
        <v>3.5697565543071161</v>
      </c>
      <c r="Q1726" s="3">
        <f t="shared" si="166"/>
        <v>0.14006557377049181</v>
      </c>
    </row>
    <row r="1727" spans="1:17" x14ac:dyDescent="0.25">
      <c r="A1727" t="s">
        <v>1807</v>
      </c>
      <c r="B1727" t="s">
        <v>49</v>
      </c>
      <c r="C1727" t="s">
        <v>70</v>
      </c>
      <c r="D1727" t="str">
        <f t="shared" si="162"/>
        <v>CA</v>
      </c>
      <c r="E1727" t="str">
        <f t="shared" si="163"/>
        <v>West</v>
      </c>
      <c r="F1727" t="s">
        <v>32</v>
      </c>
      <c r="G1727" s="1">
        <v>45122</v>
      </c>
      <c r="H1727" s="1">
        <v>45125</v>
      </c>
      <c r="I1727" s="1">
        <f t="shared" si="161"/>
        <v>45125</v>
      </c>
      <c r="J1727" s="2">
        <v>20</v>
      </c>
      <c r="K1727" s="2">
        <v>140.66</v>
      </c>
      <c r="L1727" t="s">
        <v>15</v>
      </c>
      <c r="M1727" s="2">
        <v>847</v>
      </c>
      <c r="N1727" s="2">
        <v>3</v>
      </c>
      <c r="O1727" s="2">
        <f t="shared" si="164"/>
        <v>282.33333333333331</v>
      </c>
      <c r="P1727" s="2">
        <f t="shared" si="165"/>
        <v>2.0072041328972938</v>
      </c>
      <c r="Q1727" s="3">
        <f t="shared" si="166"/>
        <v>0.16606847697756788</v>
      </c>
    </row>
    <row r="1728" spans="1:17" hidden="1" x14ac:dyDescent="0.25">
      <c r="A1728" t="s">
        <v>1808</v>
      </c>
      <c r="B1728" t="s">
        <v>49</v>
      </c>
      <c r="C1728" t="s">
        <v>57</v>
      </c>
      <c r="D1728" t="str">
        <f t="shared" si="162"/>
        <v>MN</v>
      </c>
      <c r="E1728" t="str">
        <f t="shared" si="163"/>
        <v>Midwest</v>
      </c>
      <c r="F1728" t="s">
        <v>37</v>
      </c>
      <c r="G1728" s="1">
        <v>45105</v>
      </c>
      <c r="H1728" s="1">
        <v>45113</v>
      </c>
      <c r="I1728" s="1">
        <f t="shared" si="161"/>
        <v>45113</v>
      </c>
      <c r="J1728" s="2">
        <v>49.4</v>
      </c>
      <c r="K1728" s="2">
        <v>333.09</v>
      </c>
      <c r="L1728" t="s">
        <v>15</v>
      </c>
      <c r="M1728" s="2">
        <v>2256</v>
      </c>
      <c r="N1728" s="2">
        <v>8</v>
      </c>
      <c r="O1728" s="2">
        <f t="shared" si="164"/>
        <v>282</v>
      </c>
      <c r="P1728" s="2">
        <f t="shared" si="165"/>
        <v>0.84661803116274892</v>
      </c>
      <c r="Q1728" s="3">
        <f t="shared" si="166"/>
        <v>0.14764627659574467</v>
      </c>
    </row>
    <row r="1729" spans="1:17" hidden="1" x14ac:dyDescent="0.25">
      <c r="A1729" t="s">
        <v>1809</v>
      </c>
      <c r="B1729" t="s">
        <v>56</v>
      </c>
      <c r="C1729" t="s">
        <v>57</v>
      </c>
      <c r="D1729" t="str">
        <f t="shared" si="162"/>
        <v>MN</v>
      </c>
      <c r="E1729" t="str">
        <f t="shared" si="163"/>
        <v>Midwest</v>
      </c>
      <c r="F1729" t="s">
        <v>25</v>
      </c>
      <c r="G1729" s="1">
        <v>45219</v>
      </c>
      <c r="H1729" s="1">
        <v>45223</v>
      </c>
      <c r="I1729" s="1">
        <f t="shared" si="161"/>
        <v>45223</v>
      </c>
      <c r="J1729" s="2">
        <v>23.5</v>
      </c>
      <c r="K1729" s="2">
        <v>194.11</v>
      </c>
      <c r="L1729" t="s">
        <v>15</v>
      </c>
      <c r="M1729" s="2">
        <v>1324</v>
      </c>
      <c r="N1729" s="2">
        <v>4</v>
      </c>
      <c r="O1729" s="2">
        <f t="shared" si="164"/>
        <v>331</v>
      </c>
      <c r="P1729" s="2">
        <f t="shared" si="165"/>
        <v>1.7052186904332594</v>
      </c>
      <c r="Q1729" s="3">
        <f t="shared" si="166"/>
        <v>0.14660876132930514</v>
      </c>
    </row>
    <row r="1730" spans="1:17" hidden="1" x14ac:dyDescent="0.25">
      <c r="A1730" t="s">
        <v>1810</v>
      </c>
      <c r="B1730" t="s">
        <v>35</v>
      </c>
      <c r="C1730" t="s">
        <v>44</v>
      </c>
      <c r="D1730" t="str">
        <f t="shared" si="162"/>
        <v>IL</v>
      </c>
      <c r="E1730" t="str">
        <f t="shared" si="163"/>
        <v>Midwest</v>
      </c>
      <c r="F1730" t="s">
        <v>59</v>
      </c>
      <c r="G1730" s="1">
        <v>45077</v>
      </c>
      <c r="H1730" s="1">
        <v>45082</v>
      </c>
      <c r="I1730" s="1">
        <f t="shared" ref="I1730:I1793" si="167">IF(H1730="", G1730 + N1730, H1730)</f>
        <v>45082</v>
      </c>
      <c r="J1730" s="2">
        <v>85.1</v>
      </c>
      <c r="K1730" s="2">
        <v>391.46</v>
      </c>
      <c r="L1730" t="s">
        <v>15</v>
      </c>
      <c r="M1730" s="2">
        <v>2467</v>
      </c>
      <c r="N1730" s="2">
        <v>5</v>
      </c>
      <c r="O1730" s="2">
        <f t="shared" si="164"/>
        <v>493.4</v>
      </c>
      <c r="P1730" s="2">
        <f t="shared" si="165"/>
        <v>1.2604097481224135</v>
      </c>
      <c r="Q1730" s="3">
        <f t="shared" si="166"/>
        <v>0.15867855695176328</v>
      </c>
    </row>
    <row r="1731" spans="1:17" x14ac:dyDescent="0.25">
      <c r="A1731" t="s">
        <v>1811</v>
      </c>
      <c r="B1731" t="s">
        <v>20</v>
      </c>
      <c r="C1731" t="s">
        <v>81</v>
      </c>
      <c r="D1731" t="str">
        <f t="shared" si="162"/>
        <v>CO</v>
      </c>
      <c r="E1731" t="str">
        <f t="shared" si="163"/>
        <v>West</v>
      </c>
      <c r="F1731" t="s">
        <v>42</v>
      </c>
      <c r="G1731" s="1">
        <v>45070</v>
      </c>
      <c r="H1731" s="1">
        <v>45074</v>
      </c>
      <c r="I1731" s="1">
        <f t="shared" si="167"/>
        <v>45074</v>
      </c>
      <c r="J1731" s="2">
        <v>41.4</v>
      </c>
      <c r="K1731" s="2">
        <v>251.14</v>
      </c>
      <c r="L1731" t="s">
        <v>15</v>
      </c>
      <c r="M1731" s="2">
        <v>1801</v>
      </c>
      <c r="N1731" s="2">
        <v>4</v>
      </c>
      <c r="O1731" s="2">
        <f t="shared" si="164"/>
        <v>450.25</v>
      </c>
      <c r="P1731" s="2">
        <f t="shared" si="165"/>
        <v>1.792824719280083</v>
      </c>
      <c r="Q1731" s="3">
        <f t="shared" si="166"/>
        <v>0.13944475291504718</v>
      </c>
    </row>
    <row r="1732" spans="1:17" x14ac:dyDescent="0.25">
      <c r="A1732" t="s">
        <v>1812</v>
      </c>
      <c r="B1732" t="s">
        <v>27</v>
      </c>
      <c r="C1732" t="s">
        <v>24</v>
      </c>
      <c r="D1732" t="str">
        <f t="shared" si="162"/>
        <v>WA</v>
      </c>
      <c r="E1732" t="str">
        <f t="shared" si="163"/>
        <v>West</v>
      </c>
      <c r="F1732" t="s">
        <v>32</v>
      </c>
      <c r="G1732" s="1">
        <v>45181</v>
      </c>
      <c r="H1732" s="1">
        <v>45184</v>
      </c>
      <c r="I1732" s="1">
        <f t="shared" si="167"/>
        <v>45184</v>
      </c>
      <c r="J1732" s="2">
        <v>5.3</v>
      </c>
      <c r="K1732" s="2">
        <v>76.55</v>
      </c>
      <c r="L1732" t="s">
        <v>15</v>
      </c>
      <c r="M1732" s="2">
        <v>559</v>
      </c>
      <c r="N1732" s="2">
        <v>3</v>
      </c>
      <c r="O1732" s="2">
        <f t="shared" si="164"/>
        <v>186.33333333333334</v>
      </c>
      <c r="P1732" s="2">
        <f t="shared" si="165"/>
        <v>2.4341389070324411</v>
      </c>
      <c r="Q1732" s="3">
        <f t="shared" si="166"/>
        <v>0.13694096601073344</v>
      </c>
    </row>
    <row r="1733" spans="1:17" hidden="1" x14ac:dyDescent="0.25">
      <c r="A1733" t="s">
        <v>1813</v>
      </c>
      <c r="B1733" t="s">
        <v>35</v>
      </c>
      <c r="C1733" t="s">
        <v>44</v>
      </c>
      <c r="D1733" t="str">
        <f t="shared" si="162"/>
        <v>IL</v>
      </c>
      <c r="E1733" t="str">
        <f t="shared" si="163"/>
        <v>Midwest</v>
      </c>
      <c r="F1733" t="s">
        <v>14</v>
      </c>
      <c r="G1733" s="1">
        <v>44983</v>
      </c>
      <c r="H1733" s="1">
        <v>44985</v>
      </c>
      <c r="I1733" s="1">
        <f t="shared" si="167"/>
        <v>44985</v>
      </c>
      <c r="J1733" s="2">
        <v>122.7</v>
      </c>
      <c r="K1733" s="2">
        <v>288.29000000000002</v>
      </c>
      <c r="L1733" t="s">
        <v>15</v>
      </c>
      <c r="M1733" s="2">
        <v>962</v>
      </c>
      <c r="N1733" s="2">
        <v>2</v>
      </c>
      <c r="O1733" s="2">
        <f t="shared" si="164"/>
        <v>481</v>
      </c>
      <c r="P1733" s="2">
        <f t="shared" si="165"/>
        <v>1.6684588435256165</v>
      </c>
      <c r="Q1733" s="3">
        <f t="shared" si="166"/>
        <v>0.2996777546777547</v>
      </c>
    </row>
    <row r="1734" spans="1:17" x14ac:dyDescent="0.25">
      <c r="A1734" t="s">
        <v>1814</v>
      </c>
      <c r="B1734" t="s">
        <v>23</v>
      </c>
      <c r="C1734" t="s">
        <v>70</v>
      </c>
      <c r="D1734" t="str">
        <f t="shared" si="162"/>
        <v>CA</v>
      </c>
      <c r="E1734" t="str">
        <f t="shared" si="163"/>
        <v>West</v>
      </c>
      <c r="F1734" t="s">
        <v>25</v>
      </c>
      <c r="G1734" s="1">
        <v>45059</v>
      </c>
      <c r="H1734" s="1">
        <v>45064</v>
      </c>
      <c r="I1734" s="1">
        <f t="shared" si="167"/>
        <v>45064</v>
      </c>
      <c r="J1734" s="2">
        <v>24.4</v>
      </c>
      <c r="K1734" s="2">
        <v>321.82</v>
      </c>
      <c r="L1734" t="s">
        <v>15</v>
      </c>
      <c r="M1734" s="2">
        <v>2429</v>
      </c>
      <c r="N1734" s="2">
        <v>5</v>
      </c>
      <c r="O1734" s="2">
        <f t="shared" si="164"/>
        <v>485.8</v>
      </c>
      <c r="P1734" s="2">
        <f t="shared" si="165"/>
        <v>1.5095394941271518</v>
      </c>
      <c r="Q1734" s="3">
        <f t="shared" si="166"/>
        <v>0.13249073692877728</v>
      </c>
    </row>
    <row r="1735" spans="1:17" hidden="1" x14ac:dyDescent="0.25">
      <c r="A1735" t="s">
        <v>1815</v>
      </c>
      <c r="B1735" t="s">
        <v>27</v>
      </c>
      <c r="C1735" t="s">
        <v>40</v>
      </c>
      <c r="D1735" t="str">
        <f t="shared" si="162"/>
        <v>MI</v>
      </c>
      <c r="E1735" t="str">
        <f t="shared" si="163"/>
        <v>Midwest</v>
      </c>
      <c r="F1735" t="s">
        <v>14</v>
      </c>
      <c r="G1735" s="1">
        <v>45084</v>
      </c>
      <c r="H1735" s="1">
        <v>45089</v>
      </c>
      <c r="I1735" s="1">
        <f t="shared" si="167"/>
        <v>45089</v>
      </c>
      <c r="J1735" s="2">
        <v>6.1</v>
      </c>
      <c r="K1735" s="2">
        <v>279.81</v>
      </c>
      <c r="L1735" t="s">
        <v>15</v>
      </c>
      <c r="M1735" s="2">
        <v>2102</v>
      </c>
      <c r="N1735" s="2">
        <v>5</v>
      </c>
      <c r="O1735" s="2">
        <f t="shared" si="164"/>
        <v>420.4</v>
      </c>
      <c r="P1735" s="2">
        <f t="shared" si="165"/>
        <v>1.5024480897752046</v>
      </c>
      <c r="Q1735" s="3">
        <f t="shared" si="166"/>
        <v>0.13311607992388202</v>
      </c>
    </row>
    <row r="1736" spans="1:17" hidden="1" x14ac:dyDescent="0.25">
      <c r="A1736" t="s">
        <v>1816</v>
      </c>
      <c r="B1736" t="s">
        <v>39</v>
      </c>
      <c r="C1736" t="s">
        <v>31</v>
      </c>
      <c r="D1736" t="str">
        <f t="shared" si="162"/>
        <v>NY</v>
      </c>
      <c r="E1736" t="str">
        <f t="shared" si="163"/>
        <v>Northeast</v>
      </c>
      <c r="F1736" t="s">
        <v>18</v>
      </c>
      <c r="G1736" s="1">
        <v>45214</v>
      </c>
      <c r="H1736" s="1">
        <v>45217</v>
      </c>
      <c r="I1736" s="1">
        <f t="shared" si="167"/>
        <v>45217</v>
      </c>
      <c r="J1736" s="2">
        <v>18.100000000000001</v>
      </c>
      <c r="K1736" s="2">
        <v>148.79</v>
      </c>
      <c r="L1736" t="s">
        <v>15</v>
      </c>
      <c r="M1736" s="2">
        <v>914</v>
      </c>
      <c r="N1736" s="2">
        <v>3</v>
      </c>
      <c r="O1736" s="2">
        <f t="shared" si="164"/>
        <v>304.66666666666669</v>
      </c>
      <c r="P1736" s="2">
        <f t="shared" si="165"/>
        <v>2.047628648878733</v>
      </c>
      <c r="Q1736" s="3">
        <f t="shared" si="166"/>
        <v>0.16278993435448577</v>
      </c>
    </row>
    <row r="1737" spans="1:17" hidden="1" x14ac:dyDescent="0.25">
      <c r="A1737" t="s">
        <v>1817</v>
      </c>
      <c r="B1737" t="s">
        <v>56</v>
      </c>
      <c r="C1737" t="s">
        <v>54</v>
      </c>
      <c r="D1737" t="str">
        <f t="shared" si="162"/>
        <v>FL</v>
      </c>
      <c r="E1737" t="str">
        <f t="shared" si="163"/>
        <v>Southeast</v>
      </c>
      <c r="F1737" t="s">
        <v>25</v>
      </c>
      <c r="G1737" s="1">
        <v>45004</v>
      </c>
      <c r="H1737" s="1">
        <v>45009</v>
      </c>
      <c r="I1737" s="1">
        <f t="shared" si="167"/>
        <v>45009</v>
      </c>
      <c r="J1737" s="2">
        <v>3.5</v>
      </c>
      <c r="K1737" s="2">
        <v>215.07</v>
      </c>
      <c r="L1737" t="s">
        <v>15</v>
      </c>
      <c r="M1737" s="2">
        <v>1843</v>
      </c>
      <c r="N1737" s="2">
        <v>5</v>
      </c>
      <c r="O1737" s="2">
        <f t="shared" si="164"/>
        <v>368.6</v>
      </c>
      <c r="P1737" s="2">
        <f t="shared" si="165"/>
        <v>1.7138606035244341</v>
      </c>
      <c r="Q1737" s="3">
        <f t="shared" si="166"/>
        <v>0.11669560499186109</v>
      </c>
    </row>
    <row r="1738" spans="1:17" hidden="1" x14ac:dyDescent="0.25">
      <c r="A1738" t="s">
        <v>1818</v>
      </c>
      <c r="B1738" t="s">
        <v>20</v>
      </c>
      <c r="C1738" t="s">
        <v>40</v>
      </c>
      <c r="D1738" t="str">
        <f t="shared" si="162"/>
        <v>MI</v>
      </c>
      <c r="E1738" t="str">
        <f t="shared" si="163"/>
        <v>Midwest</v>
      </c>
      <c r="F1738" t="s">
        <v>14</v>
      </c>
      <c r="G1738" s="1">
        <v>45006</v>
      </c>
      <c r="H1738" s="1">
        <v>45008</v>
      </c>
      <c r="I1738" s="1">
        <f t="shared" si="167"/>
        <v>45008</v>
      </c>
      <c r="J1738" s="2">
        <v>15.8</v>
      </c>
      <c r="K1738" s="2">
        <v>132.30000000000001</v>
      </c>
      <c r="L1738" t="s">
        <v>15</v>
      </c>
      <c r="M1738" s="2">
        <v>878</v>
      </c>
      <c r="N1738" s="2">
        <v>2</v>
      </c>
      <c r="O1738" s="2">
        <f t="shared" si="164"/>
        <v>439</v>
      </c>
      <c r="P1738" s="2">
        <f t="shared" si="165"/>
        <v>3.3182161753590322</v>
      </c>
      <c r="Q1738" s="3">
        <f t="shared" si="166"/>
        <v>0.15068337129840548</v>
      </c>
    </row>
    <row r="1739" spans="1:17" x14ac:dyDescent="0.25">
      <c r="A1739" t="s">
        <v>1819</v>
      </c>
      <c r="B1739" t="s">
        <v>49</v>
      </c>
      <c r="C1739" t="s">
        <v>36</v>
      </c>
      <c r="D1739" t="str">
        <f t="shared" si="162"/>
        <v>OR</v>
      </c>
      <c r="E1739" t="str">
        <f t="shared" si="163"/>
        <v>West</v>
      </c>
      <c r="F1739" t="s">
        <v>32</v>
      </c>
      <c r="G1739" s="1">
        <v>45096</v>
      </c>
      <c r="H1739" s="1">
        <v>45101</v>
      </c>
      <c r="I1739" s="1">
        <f t="shared" si="167"/>
        <v>45101</v>
      </c>
      <c r="J1739" s="2">
        <v>40.700000000000003</v>
      </c>
      <c r="K1739" s="2">
        <v>168.17</v>
      </c>
      <c r="L1739" t="s">
        <v>15</v>
      </c>
      <c r="M1739" s="2">
        <v>816</v>
      </c>
      <c r="N1739" s="2">
        <v>5</v>
      </c>
      <c r="O1739" s="2">
        <f t="shared" si="164"/>
        <v>163.19999999999999</v>
      </c>
      <c r="P1739" s="2">
        <f t="shared" si="165"/>
        <v>0.97044657192127015</v>
      </c>
      <c r="Q1739" s="3">
        <f t="shared" si="166"/>
        <v>0.2060906862745098</v>
      </c>
    </row>
    <row r="1740" spans="1:17" hidden="1" x14ac:dyDescent="0.25">
      <c r="A1740" t="s">
        <v>1820</v>
      </c>
      <c r="B1740" t="s">
        <v>30</v>
      </c>
      <c r="C1740" t="s">
        <v>54</v>
      </c>
      <c r="D1740" t="str">
        <f t="shared" si="162"/>
        <v>FL</v>
      </c>
      <c r="E1740" t="str">
        <f t="shared" si="163"/>
        <v>Southeast</v>
      </c>
      <c r="F1740" t="s">
        <v>18</v>
      </c>
      <c r="G1740" s="1">
        <v>45221</v>
      </c>
      <c r="H1740" s="1">
        <v>45229</v>
      </c>
      <c r="I1740" s="1">
        <f t="shared" si="167"/>
        <v>45229</v>
      </c>
      <c r="J1740" s="2">
        <v>33.700000000000003</v>
      </c>
      <c r="K1740" s="2">
        <v>402.35</v>
      </c>
      <c r="L1740" t="s">
        <v>15</v>
      </c>
      <c r="M1740" s="2">
        <v>2414</v>
      </c>
      <c r="N1740" s="2">
        <v>8</v>
      </c>
      <c r="O1740" s="2">
        <f t="shared" si="164"/>
        <v>301.75</v>
      </c>
      <c r="P1740" s="2">
        <f t="shared" si="165"/>
        <v>0.74996893252143648</v>
      </c>
      <c r="Q1740" s="3">
        <f t="shared" si="166"/>
        <v>0.16667357083678544</v>
      </c>
    </row>
    <row r="1741" spans="1:17" hidden="1" x14ac:dyDescent="0.25">
      <c r="A1741" t="s">
        <v>1821</v>
      </c>
      <c r="B1741" t="s">
        <v>20</v>
      </c>
      <c r="C1741" t="s">
        <v>44</v>
      </c>
      <c r="D1741" t="str">
        <f t="shared" si="162"/>
        <v>IL</v>
      </c>
      <c r="E1741" t="str">
        <f t="shared" si="163"/>
        <v>Midwest</v>
      </c>
      <c r="F1741" t="s">
        <v>25</v>
      </c>
      <c r="G1741" s="1">
        <v>45046</v>
      </c>
      <c r="H1741" s="1">
        <v>45047</v>
      </c>
      <c r="I1741" s="1">
        <f t="shared" si="167"/>
        <v>45047</v>
      </c>
      <c r="J1741" s="2">
        <v>27</v>
      </c>
      <c r="K1741" s="2">
        <v>79.510000000000005</v>
      </c>
      <c r="L1741" t="s">
        <v>15</v>
      </c>
      <c r="M1741" s="2">
        <v>391</v>
      </c>
      <c r="N1741" s="2">
        <v>1</v>
      </c>
      <c r="O1741" s="2">
        <f t="shared" si="164"/>
        <v>391</v>
      </c>
      <c r="P1741" s="2">
        <f t="shared" si="165"/>
        <v>4.9176204251037605</v>
      </c>
      <c r="Q1741" s="3">
        <f t="shared" si="166"/>
        <v>0.20335038363171357</v>
      </c>
    </row>
    <row r="1742" spans="1:17" x14ac:dyDescent="0.25">
      <c r="A1742" t="s">
        <v>1822</v>
      </c>
      <c r="B1742" t="s">
        <v>23</v>
      </c>
      <c r="C1742" t="s">
        <v>24</v>
      </c>
      <c r="D1742" t="str">
        <f t="shared" si="162"/>
        <v>WA</v>
      </c>
      <c r="E1742" t="str">
        <f t="shared" si="163"/>
        <v>West</v>
      </c>
      <c r="F1742" t="s">
        <v>32</v>
      </c>
      <c r="G1742" s="1">
        <v>45096</v>
      </c>
      <c r="H1742" s="1">
        <v>45102</v>
      </c>
      <c r="I1742" s="1">
        <f t="shared" si="167"/>
        <v>45102</v>
      </c>
      <c r="J1742" s="2">
        <v>9.6999999999999993</v>
      </c>
      <c r="K1742" s="2">
        <v>119.44</v>
      </c>
      <c r="L1742" t="s">
        <v>15</v>
      </c>
      <c r="M1742" s="2">
        <v>757</v>
      </c>
      <c r="N1742" s="2">
        <v>6</v>
      </c>
      <c r="O1742" s="2">
        <f t="shared" si="164"/>
        <v>126.16666666666667</v>
      </c>
      <c r="P1742" s="2">
        <f t="shared" si="165"/>
        <v>1.0563183746371958</v>
      </c>
      <c r="Q1742" s="3">
        <f t="shared" si="166"/>
        <v>0.15778071334214003</v>
      </c>
    </row>
    <row r="1743" spans="1:17" x14ac:dyDescent="0.25">
      <c r="A1743" t="s">
        <v>1823</v>
      </c>
      <c r="B1743" t="s">
        <v>12</v>
      </c>
      <c r="C1743" t="s">
        <v>36</v>
      </c>
      <c r="D1743" t="str">
        <f t="shared" si="162"/>
        <v>OR</v>
      </c>
      <c r="E1743" t="str">
        <f t="shared" si="163"/>
        <v>West</v>
      </c>
      <c r="F1743" t="s">
        <v>32</v>
      </c>
      <c r="G1743" s="1">
        <v>45012</v>
      </c>
      <c r="H1743" s="1">
        <v>45021</v>
      </c>
      <c r="I1743" s="1">
        <f t="shared" si="167"/>
        <v>45021</v>
      </c>
      <c r="J1743" s="2">
        <v>12.8</v>
      </c>
      <c r="K1743" s="2">
        <v>331.5</v>
      </c>
      <c r="L1743" t="s">
        <v>15</v>
      </c>
      <c r="M1743" s="2">
        <v>2488</v>
      </c>
      <c r="N1743" s="2">
        <v>9</v>
      </c>
      <c r="O1743" s="2">
        <f t="shared" si="164"/>
        <v>276.44444444444446</v>
      </c>
      <c r="P1743" s="2">
        <f t="shared" si="165"/>
        <v>0.83391989274342215</v>
      </c>
      <c r="Q1743" s="3">
        <f t="shared" si="166"/>
        <v>0.13323954983922828</v>
      </c>
    </row>
    <row r="1744" spans="1:17" hidden="1" x14ac:dyDescent="0.25">
      <c r="A1744" t="s">
        <v>1824</v>
      </c>
      <c r="B1744" t="s">
        <v>56</v>
      </c>
      <c r="C1744" t="s">
        <v>40</v>
      </c>
      <c r="D1744" t="str">
        <f t="shared" si="162"/>
        <v>MI</v>
      </c>
      <c r="E1744" t="str">
        <f t="shared" si="163"/>
        <v>Midwest</v>
      </c>
      <c r="F1744" t="s">
        <v>25</v>
      </c>
      <c r="G1744" s="1">
        <v>45220</v>
      </c>
      <c r="H1744" s="1">
        <v>45225</v>
      </c>
      <c r="I1744" s="1">
        <f t="shared" si="167"/>
        <v>45225</v>
      </c>
      <c r="J1744" s="2">
        <v>6.3</v>
      </c>
      <c r="K1744" s="2">
        <v>282.62</v>
      </c>
      <c r="L1744" t="s">
        <v>15</v>
      </c>
      <c r="M1744" s="2">
        <v>2188</v>
      </c>
      <c r="N1744" s="2">
        <v>5</v>
      </c>
      <c r="O1744" s="2">
        <f t="shared" si="164"/>
        <v>437.6</v>
      </c>
      <c r="P1744" s="2">
        <f t="shared" si="165"/>
        <v>1.5483688344773903</v>
      </c>
      <c r="Q1744" s="3">
        <f t="shared" si="166"/>
        <v>0.12916819012797076</v>
      </c>
    </row>
    <row r="1745" spans="1:17" hidden="1" x14ac:dyDescent="0.25">
      <c r="A1745" t="s">
        <v>1825</v>
      </c>
      <c r="B1745" t="s">
        <v>35</v>
      </c>
      <c r="C1745" t="s">
        <v>57</v>
      </c>
      <c r="D1745" t="str">
        <f t="shared" si="162"/>
        <v>MN</v>
      </c>
      <c r="E1745" t="str">
        <f t="shared" si="163"/>
        <v>Midwest</v>
      </c>
      <c r="F1745" t="s">
        <v>59</v>
      </c>
      <c r="G1745" s="1">
        <v>45119</v>
      </c>
      <c r="H1745" s="1">
        <v>45122</v>
      </c>
      <c r="I1745" s="1">
        <f t="shared" si="167"/>
        <v>45122</v>
      </c>
      <c r="J1745" s="2">
        <v>23.1</v>
      </c>
      <c r="K1745" s="2">
        <v>204.7</v>
      </c>
      <c r="L1745" t="s">
        <v>15</v>
      </c>
      <c r="M1745" s="2">
        <v>1547</v>
      </c>
      <c r="N1745" s="2">
        <v>3</v>
      </c>
      <c r="O1745" s="2">
        <f t="shared" si="164"/>
        <v>515.66666666666663</v>
      </c>
      <c r="P1745" s="2">
        <f t="shared" si="165"/>
        <v>2.5191336915811755</v>
      </c>
      <c r="Q1745" s="3">
        <f t="shared" si="166"/>
        <v>0.13232062055591468</v>
      </c>
    </row>
    <row r="1746" spans="1:17" hidden="1" x14ac:dyDescent="0.25">
      <c r="A1746" t="s">
        <v>1826</v>
      </c>
      <c r="B1746" t="s">
        <v>49</v>
      </c>
      <c r="C1746" t="s">
        <v>17</v>
      </c>
      <c r="D1746" t="str">
        <f t="shared" si="162"/>
        <v>GA</v>
      </c>
      <c r="E1746" t="str">
        <f t="shared" si="163"/>
        <v>Southeast</v>
      </c>
      <c r="F1746" t="s">
        <v>32</v>
      </c>
      <c r="G1746" s="1">
        <v>45139</v>
      </c>
      <c r="H1746" s="1">
        <v>45141</v>
      </c>
      <c r="I1746" s="1">
        <f t="shared" si="167"/>
        <v>45141</v>
      </c>
      <c r="J1746" s="2">
        <v>10.3</v>
      </c>
      <c r="K1746" s="2">
        <v>47.05</v>
      </c>
      <c r="L1746" t="s">
        <v>15</v>
      </c>
      <c r="M1746" s="2">
        <v>224</v>
      </c>
      <c r="N1746" s="2">
        <v>2</v>
      </c>
      <c r="O1746" s="2">
        <f t="shared" si="164"/>
        <v>112</v>
      </c>
      <c r="P1746" s="2">
        <f t="shared" si="165"/>
        <v>2.3804463336875665</v>
      </c>
      <c r="Q1746" s="3">
        <f t="shared" si="166"/>
        <v>0.21004464285714283</v>
      </c>
    </row>
    <row r="1747" spans="1:17" hidden="1" x14ac:dyDescent="0.25">
      <c r="A1747" t="s">
        <v>1827</v>
      </c>
      <c r="B1747" t="s">
        <v>23</v>
      </c>
      <c r="C1747" t="s">
        <v>21</v>
      </c>
      <c r="D1747" t="str">
        <f t="shared" si="162"/>
        <v>TX</v>
      </c>
      <c r="E1747" t="str">
        <f t="shared" si="163"/>
        <v>Southwest</v>
      </c>
      <c r="F1747" t="s">
        <v>18</v>
      </c>
      <c r="G1747" s="1">
        <v>45237</v>
      </c>
      <c r="H1747" s="1">
        <v>45240</v>
      </c>
      <c r="I1747" s="1">
        <f t="shared" si="167"/>
        <v>45240</v>
      </c>
      <c r="J1747" s="2">
        <v>73.900000000000006</v>
      </c>
      <c r="K1747" s="2">
        <v>268.7</v>
      </c>
      <c r="L1747" t="s">
        <v>15</v>
      </c>
      <c r="M1747" s="2">
        <v>747</v>
      </c>
      <c r="N1747" s="2">
        <v>3</v>
      </c>
      <c r="O1747" s="2">
        <f t="shared" si="164"/>
        <v>249</v>
      </c>
      <c r="P1747" s="2">
        <f t="shared" si="165"/>
        <v>0.9266840342389282</v>
      </c>
      <c r="Q1747" s="3">
        <f t="shared" si="166"/>
        <v>0.35970548862115126</v>
      </c>
    </row>
    <row r="1748" spans="1:17" hidden="1" x14ac:dyDescent="0.25">
      <c r="A1748" t="s">
        <v>1828</v>
      </c>
      <c r="B1748" t="s">
        <v>56</v>
      </c>
      <c r="C1748" t="s">
        <v>54</v>
      </c>
      <c r="D1748" t="str">
        <f t="shared" si="162"/>
        <v>FL</v>
      </c>
      <c r="E1748" t="str">
        <f t="shared" si="163"/>
        <v>Southeast</v>
      </c>
      <c r="F1748" t="s">
        <v>59</v>
      </c>
      <c r="G1748" s="1">
        <v>45147</v>
      </c>
      <c r="H1748" s="1">
        <v>45150</v>
      </c>
      <c r="I1748" s="1">
        <f t="shared" si="167"/>
        <v>45150</v>
      </c>
      <c r="J1748" s="2">
        <v>47.3</v>
      </c>
      <c r="K1748" s="2">
        <v>215.93</v>
      </c>
      <c r="L1748" t="s">
        <v>60</v>
      </c>
      <c r="M1748" s="2">
        <v>1552</v>
      </c>
      <c r="N1748" s="2">
        <v>3</v>
      </c>
      <c r="O1748" s="2">
        <f t="shared" si="164"/>
        <v>517.33333333333337</v>
      </c>
      <c r="P1748" s="2">
        <f t="shared" si="165"/>
        <v>2.3958381574275616</v>
      </c>
      <c r="Q1748" s="3">
        <f t="shared" si="166"/>
        <v>0.13913015463917527</v>
      </c>
    </row>
    <row r="1749" spans="1:17" hidden="1" x14ac:dyDescent="0.25">
      <c r="A1749" t="s">
        <v>1829</v>
      </c>
      <c r="B1749" t="s">
        <v>39</v>
      </c>
      <c r="C1749" t="s">
        <v>40</v>
      </c>
      <c r="D1749" t="str">
        <f t="shared" si="162"/>
        <v>MI</v>
      </c>
      <c r="E1749" t="str">
        <f t="shared" si="163"/>
        <v>Midwest</v>
      </c>
      <c r="F1749" t="s">
        <v>25</v>
      </c>
      <c r="G1749" s="1">
        <v>45171</v>
      </c>
      <c r="H1749" s="1">
        <v>45177</v>
      </c>
      <c r="I1749" s="1">
        <f t="shared" si="167"/>
        <v>45177</v>
      </c>
      <c r="J1749" s="2">
        <v>30.5</v>
      </c>
      <c r="K1749" s="2">
        <v>322.75</v>
      </c>
      <c r="L1749" t="s">
        <v>15</v>
      </c>
      <c r="M1749" s="2">
        <v>2410</v>
      </c>
      <c r="N1749" s="2">
        <v>6</v>
      </c>
      <c r="O1749" s="2">
        <f t="shared" si="164"/>
        <v>401.66666666666669</v>
      </c>
      <c r="P1749" s="2">
        <f t="shared" si="165"/>
        <v>1.2445132971856443</v>
      </c>
      <c r="Q1749" s="3">
        <f t="shared" si="166"/>
        <v>0.13392116182572614</v>
      </c>
    </row>
    <row r="1750" spans="1:17" x14ac:dyDescent="0.25">
      <c r="A1750" t="s">
        <v>1830</v>
      </c>
      <c r="B1750" t="s">
        <v>27</v>
      </c>
      <c r="C1750" t="s">
        <v>81</v>
      </c>
      <c r="D1750" t="str">
        <f t="shared" si="162"/>
        <v>CO</v>
      </c>
      <c r="E1750" t="str">
        <f t="shared" si="163"/>
        <v>West</v>
      </c>
      <c r="F1750" t="s">
        <v>14</v>
      </c>
      <c r="G1750" s="1">
        <v>45232</v>
      </c>
      <c r="H1750" s="1">
        <v>45233</v>
      </c>
      <c r="I1750" s="1">
        <f t="shared" si="167"/>
        <v>45233</v>
      </c>
      <c r="J1750" s="2">
        <v>14.7</v>
      </c>
      <c r="K1750" s="2">
        <v>81.27</v>
      </c>
      <c r="L1750" t="s">
        <v>15</v>
      </c>
      <c r="M1750" s="2">
        <v>395</v>
      </c>
      <c r="N1750" s="2">
        <v>1</v>
      </c>
      <c r="O1750" s="2">
        <f t="shared" si="164"/>
        <v>395</v>
      </c>
      <c r="P1750" s="2">
        <f t="shared" si="165"/>
        <v>4.8603420696443953</v>
      </c>
      <c r="Q1750" s="3">
        <f t="shared" si="166"/>
        <v>0.20574683544303796</v>
      </c>
    </row>
    <row r="1751" spans="1:17" x14ac:dyDescent="0.25">
      <c r="A1751" t="s">
        <v>1831</v>
      </c>
      <c r="B1751" t="s">
        <v>49</v>
      </c>
      <c r="C1751" t="s">
        <v>13</v>
      </c>
      <c r="D1751" t="str">
        <f t="shared" si="162"/>
        <v>CA</v>
      </c>
      <c r="E1751" t="str">
        <f t="shared" si="163"/>
        <v>West</v>
      </c>
      <c r="F1751" t="s">
        <v>18</v>
      </c>
      <c r="G1751" s="1">
        <v>44947</v>
      </c>
      <c r="H1751" s="1">
        <v>44950</v>
      </c>
      <c r="I1751" s="1">
        <f t="shared" si="167"/>
        <v>44950</v>
      </c>
      <c r="J1751" s="2">
        <v>12.6</v>
      </c>
      <c r="K1751" s="2">
        <v>201.27</v>
      </c>
      <c r="L1751" t="s">
        <v>15</v>
      </c>
      <c r="M1751" s="2">
        <v>1462</v>
      </c>
      <c r="N1751" s="2">
        <v>3</v>
      </c>
      <c r="O1751" s="2">
        <f t="shared" si="164"/>
        <v>487.33333333333331</v>
      </c>
      <c r="P1751" s="2">
        <f t="shared" si="165"/>
        <v>2.4212914658584652</v>
      </c>
      <c r="Q1751" s="3">
        <f t="shared" si="166"/>
        <v>0.13766757865937074</v>
      </c>
    </row>
    <row r="1752" spans="1:17" x14ac:dyDescent="0.25">
      <c r="A1752" t="s">
        <v>1832</v>
      </c>
      <c r="B1752" t="s">
        <v>51</v>
      </c>
      <c r="C1752" t="s">
        <v>36</v>
      </c>
      <c r="D1752" t="str">
        <f t="shared" si="162"/>
        <v>OR</v>
      </c>
      <c r="E1752" t="str">
        <f t="shared" si="163"/>
        <v>West</v>
      </c>
      <c r="F1752" t="s">
        <v>25</v>
      </c>
      <c r="G1752" s="1">
        <v>45007</v>
      </c>
      <c r="H1752" s="1">
        <v>45011</v>
      </c>
      <c r="I1752" s="1">
        <f t="shared" si="167"/>
        <v>45011</v>
      </c>
      <c r="J1752" s="2">
        <v>28.8</v>
      </c>
      <c r="K1752" s="2">
        <v>183.25</v>
      </c>
      <c r="L1752" t="s">
        <v>15</v>
      </c>
      <c r="M1752" s="2">
        <v>1399</v>
      </c>
      <c r="N1752" s="2">
        <v>4</v>
      </c>
      <c r="O1752" s="2">
        <f t="shared" si="164"/>
        <v>349.75</v>
      </c>
      <c r="P1752" s="2">
        <f t="shared" si="165"/>
        <v>1.9085948158253752</v>
      </c>
      <c r="Q1752" s="3">
        <f t="shared" si="166"/>
        <v>0.13098641887062187</v>
      </c>
    </row>
    <row r="1753" spans="1:17" x14ac:dyDescent="0.25">
      <c r="A1753" t="s">
        <v>1833</v>
      </c>
      <c r="B1753" t="s">
        <v>51</v>
      </c>
      <c r="C1753" t="s">
        <v>24</v>
      </c>
      <c r="D1753" t="str">
        <f t="shared" si="162"/>
        <v>WA</v>
      </c>
      <c r="E1753" t="str">
        <f t="shared" si="163"/>
        <v>West</v>
      </c>
      <c r="F1753" t="s">
        <v>32</v>
      </c>
      <c r="G1753" s="1">
        <v>45047</v>
      </c>
      <c r="H1753" s="1">
        <v>45052</v>
      </c>
      <c r="I1753" s="1">
        <f t="shared" si="167"/>
        <v>45052</v>
      </c>
      <c r="J1753" s="2">
        <v>45.7</v>
      </c>
      <c r="K1753" s="2">
        <v>206.4</v>
      </c>
      <c r="L1753" t="s">
        <v>15</v>
      </c>
      <c r="M1753" s="2">
        <v>1025</v>
      </c>
      <c r="N1753" s="2">
        <v>5</v>
      </c>
      <c r="O1753" s="2">
        <f t="shared" si="164"/>
        <v>205</v>
      </c>
      <c r="P1753" s="2">
        <f t="shared" si="165"/>
        <v>0.99321705426356588</v>
      </c>
      <c r="Q1753" s="3">
        <f t="shared" si="166"/>
        <v>0.2013658536585366</v>
      </c>
    </row>
    <row r="1754" spans="1:17" hidden="1" x14ac:dyDescent="0.25">
      <c r="A1754" t="s">
        <v>1834</v>
      </c>
      <c r="B1754" t="s">
        <v>49</v>
      </c>
      <c r="C1754" t="s">
        <v>31</v>
      </c>
      <c r="D1754" t="str">
        <f t="shared" si="162"/>
        <v>NY</v>
      </c>
      <c r="E1754" t="str">
        <f t="shared" si="163"/>
        <v>Northeast</v>
      </c>
      <c r="F1754" t="s">
        <v>25</v>
      </c>
      <c r="G1754" s="1">
        <v>44999</v>
      </c>
      <c r="H1754" s="1">
        <v>45000</v>
      </c>
      <c r="I1754" s="1">
        <f t="shared" si="167"/>
        <v>45000</v>
      </c>
      <c r="J1754" s="2">
        <v>24.3</v>
      </c>
      <c r="K1754" s="2">
        <v>45.64</v>
      </c>
      <c r="L1754" t="s">
        <v>15</v>
      </c>
      <c r="M1754" s="2">
        <v>118</v>
      </c>
      <c r="N1754" s="2">
        <v>1</v>
      </c>
      <c r="O1754" s="2">
        <f t="shared" si="164"/>
        <v>118</v>
      </c>
      <c r="P1754" s="2">
        <f t="shared" si="165"/>
        <v>2.5854513584574934</v>
      </c>
      <c r="Q1754" s="3">
        <f t="shared" si="166"/>
        <v>0.38677966101694916</v>
      </c>
    </row>
    <row r="1755" spans="1:17" hidden="1" x14ac:dyDescent="0.25">
      <c r="A1755" t="s">
        <v>1835</v>
      </c>
      <c r="B1755" t="s">
        <v>56</v>
      </c>
      <c r="C1755" t="s">
        <v>52</v>
      </c>
      <c r="D1755" t="str">
        <f t="shared" si="162"/>
        <v>AZ</v>
      </c>
      <c r="E1755" t="str">
        <f t="shared" si="163"/>
        <v>Southwest</v>
      </c>
      <c r="F1755" t="s">
        <v>37</v>
      </c>
      <c r="G1755" s="1">
        <v>45286</v>
      </c>
      <c r="H1755" s="1">
        <v>45289</v>
      </c>
      <c r="I1755" s="1">
        <f t="shared" si="167"/>
        <v>45289</v>
      </c>
      <c r="J1755" s="2">
        <v>22.5</v>
      </c>
      <c r="K1755" s="2">
        <v>199.07</v>
      </c>
      <c r="L1755" t="s">
        <v>15</v>
      </c>
      <c r="M1755" s="2">
        <v>1226</v>
      </c>
      <c r="N1755" s="2">
        <v>3</v>
      </c>
      <c r="O1755" s="2">
        <f t="shared" si="164"/>
        <v>408.66666666666669</v>
      </c>
      <c r="P1755" s="2">
        <f t="shared" si="165"/>
        <v>2.052879221714305</v>
      </c>
      <c r="Q1755" s="3">
        <f t="shared" si="166"/>
        <v>0.16237357259380097</v>
      </c>
    </row>
    <row r="1756" spans="1:17" x14ac:dyDescent="0.25">
      <c r="A1756" t="s">
        <v>1836</v>
      </c>
      <c r="B1756" t="s">
        <v>20</v>
      </c>
      <c r="C1756" t="s">
        <v>36</v>
      </c>
      <c r="D1756" t="str">
        <f t="shared" si="162"/>
        <v>OR</v>
      </c>
      <c r="E1756" t="str">
        <f t="shared" si="163"/>
        <v>West</v>
      </c>
      <c r="F1756" t="s">
        <v>25</v>
      </c>
      <c r="G1756" s="1">
        <v>45267</v>
      </c>
      <c r="H1756" s="1">
        <v>45281</v>
      </c>
      <c r="I1756" s="1">
        <f t="shared" si="167"/>
        <v>45281</v>
      </c>
      <c r="J1756" s="2">
        <v>48.8</v>
      </c>
      <c r="K1756" s="2">
        <v>347.95</v>
      </c>
      <c r="L1756" t="s">
        <v>47</v>
      </c>
      <c r="M1756" s="2">
        <v>2192</v>
      </c>
      <c r="N1756" s="2">
        <v>6</v>
      </c>
      <c r="O1756" s="2">
        <f t="shared" si="164"/>
        <v>365.33333333333331</v>
      </c>
      <c r="P1756" s="2">
        <f t="shared" si="165"/>
        <v>1.0499592853379316</v>
      </c>
      <c r="Q1756" s="3">
        <f t="shared" si="166"/>
        <v>0.15873631386861314</v>
      </c>
    </row>
    <row r="1757" spans="1:17" hidden="1" x14ac:dyDescent="0.25">
      <c r="A1757" t="s">
        <v>1837</v>
      </c>
      <c r="B1757" t="s">
        <v>51</v>
      </c>
      <c r="C1757" t="s">
        <v>44</v>
      </c>
      <c r="D1757" t="str">
        <f t="shared" si="162"/>
        <v>IL</v>
      </c>
      <c r="E1757" t="str">
        <f t="shared" si="163"/>
        <v>Midwest</v>
      </c>
      <c r="F1757" t="s">
        <v>14</v>
      </c>
      <c r="G1757" s="1">
        <v>45045</v>
      </c>
      <c r="H1757" s="1">
        <v>45047</v>
      </c>
      <c r="I1757" s="1">
        <f t="shared" si="167"/>
        <v>45047</v>
      </c>
      <c r="J1757" s="2">
        <v>7.9</v>
      </c>
      <c r="K1757" s="2">
        <v>99.83</v>
      </c>
      <c r="L1757" t="s">
        <v>15</v>
      </c>
      <c r="M1757" s="2">
        <v>790</v>
      </c>
      <c r="N1757" s="2">
        <v>2</v>
      </c>
      <c r="O1757" s="2">
        <f t="shared" si="164"/>
        <v>395</v>
      </c>
      <c r="P1757" s="2">
        <f t="shared" si="165"/>
        <v>3.9567264349393971</v>
      </c>
      <c r="Q1757" s="3">
        <f t="shared" si="166"/>
        <v>0.12636708860759494</v>
      </c>
    </row>
    <row r="1758" spans="1:17" x14ac:dyDescent="0.25">
      <c r="A1758" t="s">
        <v>1838</v>
      </c>
      <c r="B1758" t="s">
        <v>27</v>
      </c>
      <c r="C1758" t="s">
        <v>81</v>
      </c>
      <c r="D1758" t="str">
        <f t="shared" si="162"/>
        <v>CO</v>
      </c>
      <c r="E1758" t="str">
        <f t="shared" si="163"/>
        <v>West</v>
      </c>
      <c r="F1758" t="s">
        <v>14</v>
      </c>
      <c r="G1758" s="1">
        <v>45225</v>
      </c>
      <c r="H1758" s="1">
        <v>45235</v>
      </c>
      <c r="I1758" s="1">
        <f t="shared" si="167"/>
        <v>45235</v>
      </c>
      <c r="J1758" s="2">
        <v>34</v>
      </c>
      <c r="K1758" s="2">
        <v>316.69</v>
      </c>
      <c r="L1758" t="s">
        <v>47</v>
      </c>
      <c r="M1758" s="2">
        <v>2072</v>
      </c>
      <c r="N1758" s="2">
        <v>6</v>
      </c>
      <c r="O1758" s="2">
        <f t="shared" si="164"/>
        <v>345.33333333333331</v>
      </c>
      <c r="P1758" s="2">
        <f t="shared" si="165"/>
        <v>1.0904459671392635</v>
      </c>
      <c r="Q1758" s="3">
        <f t="shared" si="166"/>
        <v>0.15284266409266409</v>
      </c>
    </row>
    <row r="1759" spans="1:17" hidden="1" x14ac:dyDescent="0.25">
      <c r="A1759" t="s">
        <v>1839</v>
      </c>
      <c r="B1759" t="s">
        <v>30</v>
      </c>
      <c r="C1759" t="s">
        <v>31</v>
      </c>
      <c r="D1759" t="str">
        <f t="shared" si="162"/>
        <v>NY</v>
      </c>
      <c r="E1759" t="str">
        <f t="shared" si="163"/>
        <v>Northeast</v>
      </c>
      <c r="F1759" t="s">
        <v>14</v>
      </c>
      <c r="G1759" s="1">
        <v>44987</v>
      </c>
      <c r="H1759" s="1">
        <v>44990</v>
      </c>
      <c r="I1759" s="1">
        <f t="shared" si="167"/>
        <v>44990</v>
      </c>
      <c r="J1759" s="2">
        <v>21.9</v>
      </c>
      <c r="K1759" s="2">
        <v>174.25</v>
      </c>
      <c r="L1759" t="s">
        <v>15</v>
      </c>
      <c r="M1759" s="2">
        <v>1073</v>
      </c>
      <c r="N1759" s="2">
        <v>3</v>
      </c>
      <c r="O1759" s="2">
        <f t="shared" si="164"/>
        <v>357.66666666666669</v>
      </c>
      <c r="P1759" s="2">
        <f t="shared" si="165"/>
        <v>2.0526064084170255</v>
      </c>
      <c r="Q1759" s="3">
        <f t="shared" si="166"/>
        <v>0.16239515377446412</v>
      </c>
    </row>
    <row r="1760" spans="1:17" x14ac:dyDescent="0.25">
      <c r="A1760" t="s">
        <v>1840</v>
      </c>
      <c r="B1760" t="s">
        <v>56</v>
      </c>
      <c r="C1760" t="s">
        <v>13</v>
      </c>
      <c r="D1760" t="str">
        <f t="shared" si="162"/>
        <v>CA</v>
      </c>
      <c r="E1760" t="str">
        <f t="shared" si="163"/>
        <v>West</v>
      </c>
      <c r="F1760" t="s">
        <v>37</v>
      </c>
      <c r="G1760" s="1">
        <v>44961</v>
      </c>
      <c r="H1760" s="1">
        <v>44964</v>
      </c>
      <c r="I1760" s="1">
        <f t="shared" si="167"/>
        <v>44964</v>
      </c>
      <c r="J1760" s="2">
        <v>17.899999999999999</v>
      </c>
      <c r="K1760" s="2">
        <v>54.51</v>
      </c>
      <c r="L1760" t="s">
        <v>15</v>
      </c>
      <c r="M1760" s="2">
        <v>255</v>
      </c>
      <c r="N1760" s="2">
        <v>3</v>
      </c>
      <c r="O1760" s="2">
        <f t="shared" si="164"/>
        <v>85</v>
      </c>
      <c r="P1760" s="2">
        <f t="shared" si="165"/>
        <v>1.559346908824069</v>
      </c>
      <c r="Q1760" s="3">
        <f t="shared" si="166"/>
        <v>0.21376470588235294</v>
      </c>
    </row>
    <row r="1761" spans="1:17" hidden="1" x14ac:dyDescent="0.25">
      <c r="A1761" t="s">
        <v>1841</v>
      </c>
      <c r="B1761" t="s">
        <v>56</v>
      </c>
      <c r="C1761" t="s">
        <v>40</v>
      </c>
      <c r="D1761" t="str">
        <f t="shared" ref="D1761:D1821" si="168">IF(C1761="Atlanta","GA",
IF(C1761="Boston","MA",
IF(C1761="Chicago","IL",
IF(C1761="Dallas","TX",
IF(C1761="Denver","CO",
IF(C1761="Detroit","MI",
IF(C1761="Houston","TX",
IF(C1761="Los Angeles","CA",
IF(C1761="Miami","FL",
IF(C1761="Minneapolis","MN",
IF(C1761="New York","NY",
IF(C1761="Phoenix","AZ",
IF(C1761="Portland","OR",
IF(C1761="San Francisco","CA",
IF(C1761="Seattle","WA","Unknown")))))))))))))))</f>
        <v>MI</v>
      </c>
      <c r="E1761" t="str">
        <f t="shared" ref="E1761:E1821" si="169">IF(OR(D1761="NY",D1761="NJ",D1761="PA",D1761="MA",D1761="CT",D1761="RI",D1761="VT",D1761="NH",D1761="ME"),"Northeast",
IF(OR(D1761="FL",D1761="GA",D1761="AL",D1761="MS",D1761="SC",D1761="NC",D1761="TN",D1761="KY"),"Southeast",
IF(OR(D1761="IL",D1761="IN",D1761="OH",D1761="MI",D1761="WI",D1761="MN",D1761="IA",D1761="MO",D1761="KS",D1761="NE",D1761="ND",D1761="SD"),"Midwest",
IF(OR(D1761="TX",D1761="OK",D1761="NM",D1761="AZ"),"Southwest",
IF(OR(D1761="CA",D1761="OR",D1761="WA",D1761="NV",D1761="CO",D1761="UT",D1761="ID",D1761="MT",D1761="WY",D1761="AK",D1761="HI"),"West","Other")))))</f>
        <v>Midwest</v>
      </c>
      <c r="F1761" t="s">
        <v>14</v>
      </c>
      <c r="G1761" s="1">
        <v>45226</v>
      </c>
      <c r="H1761" s="1">
        <v>45229</v>
      </c>
      <c r="I1761" s="1">
        <f t="shared" si="167"/>
        <v>45229</v>
      </c>
      <c r="J1761" s="2">
        <v>7.9</v>
      </c>
      <c r="K1761" s="2">
        <v>111.49</v>
      </c>
      <c r="L1761" t="s">
        <v>15</v>
      </c>
      <c r="M1761" s="2">
        <v>865</v>
      </c>
      <c r="N1761" s="2">
        <v>3</v>
      </c>
      <c r="O1761" s="2">
        <f t="shared" ref="O1761:O1821" si="170">M1761/N1761</f>
        <v>288.33333333333331</v>
      </c>
      <c r="P1761" s="2">
        <f t="shared" ref="P1761:P1821" si="171">O1761/K1761</f>
        <v>2.5861811223727091</v>
      </c>
      <c r="Q1761" s="3">
        <f t="shared" ref="Q1761:Q1821" si="172">K1761/M1761</f>
        <v>0.12889017341040462</v>
      </c>
    </row>
    <row r="1762" spans="1:17" hidden="1" x14ac:dyDescent="0.25">
      <c r="A1762" t="s">
        <v>1842</v>
      </c>
      <c r="B1762" t="s">
        <v>20</v>
      </c>
      <c r="C1762" t="s">
        <v>57</v>
      </c>
      <c r="D1762" t="str">
        <f t="shared" si="168"/>
        <v>MN</v>
      </c>
      <c r="E1762" t="str">
        <f t="shared" si="169"/>
        <v>Midwest</v>
      </c>
      <c r="F1762" t="s">
        <v>25</v>
      </c>
      <c r="G1762" s="1">
        <v>45035</v>
      </c>
      <c r="H1762" s="1">
        <v>45042</v>
      </c>
      <c r="I1762" s="1">
        <f t="shared" si="167"/>
        <v>45042</v>
      </c>
      <c r="J1762" s="2">
        <v>6.7</v>
      </c>
      <c r="K1762" s="2">
        <v>213.54</v>
      </c>
      <c r="L1762" t="s">
        <v>62</v>
      </c>
      <c r="M1762" s="2">
        <v>1694</v>
      </c>
      <c r="N1762" s="2">
        <v>7</v>
      </c>
      <c r="O1762" s="2">
        <f t="shared" si="170"/>
        <v>242</v>
      </c>
      <c r="P1762" s="2">
        <f t="shared" si="171"/>
        <v>1.1332771377727826</v>
      </c>
      <c r="Q1762" s="3">
        <f t="shared" si="172"/>
        <v>0.12605667060212514</v>
      </c>
    </row>
    <row r="1763" spans="1:17" x14ac:dyDescent="0.25">
      <c r="A1763" t="s">
        <v>1843</v>
      </c>
      <c r="B1763" t="s">
        <v>30</v>
      </c>
      <c r="C1763" t="s">
        <v>70</v>
      </c>
      <c r="D1763" t="str">
        <f t="shared" si="168"/>
        <v>CA</v>
      </c>
      <c r="E1763" t="str">
        <f t="shared" si="169"/>
        <v>West</v>
      </c>
      <c r="F1763" t="s">
        <v>32</v>
      </c>
      <c r="G1763" s="1">
        <v>45033</v>
      </c>
      <c r="H1763" s="1">
        <v>45039</v>
      </c>
      <c r="I1763" s="1">
        <f t="shared" si="167"/>
        <v>45039</v>
      </c>
      <c r="J1763" s="2">
        <v>5.0999999999999996</v>
      </c>
      <c r="K1763" s="2">
        <v>175.6</v>
      </c>
      <c r="L1763" t="s">
        <v>15</v>
      </c>
      <c r="M1763" s="2">
        <v>1317</v>
      </c>
      <c r="N1763" s="2">
        <v>6</v>
      </c>
      <c r="O1763" s="2">
        <f t="shared" si="170"/>
        <v>219.5</v>
      </c>
      <c r="P1763" s="2">
        <f t="shared" si="171"/>
        <v>1.25</v>
      </c>
      <c r="Q1763" s="3">
        <f t="shared" si="172"/>
        <v>0.13333333333333333</v>
      </c>
    </row>
    <row r="1764" spans="1:17" x14ac:dyDescent="0.25">
      <c r="A1764" t="s">
        <v>1844</v>
      </c>
      <c r="B1764" t="s">
        <v>12</v>
      </c>
      <c r="C1764" t="s">
        <v>36</v>
      </c>
      <c r="D1764" t="str">
        <f t="shared" si="168"/>
        <v>OR</v>
      </c>
      <c r="E1764" t="str">
        <f t="shared" si="169"/>
        <v>West</v>
      </c>
      <c r="F1764" t="s">
        <v>59</v>
      </c>
      <c r="G1764" s="1">
        <v>45076</v>
      </c>
      <c r="H1764" s="1">
        <v>45078</v>
      </c>
      <c r="I1764" s="1">
        <f t="shared" si="167"/>
        <v>45078</v>
      </c>
      <c r="J1764" s="2">
        <v>13.1</v>
      </c>
      <c r="K1764" s="2">
        <v>82.17</v>
      </c>
      <c r="L1764" t="s">
        <v>15</v>
      </c>
      <c r="M1764" s="2">
        <v>645</v>
      </c>
      <c r="N1764" s="2">
        <v>2</v>
      </c>
      <c r="O1764" s="2">
        <f t="shared" si="170"/>
        <v>322.5</v>
      </c>
      <c r="P1764" s="2">
        <f t="shared" si="171"/>
        <v>3.9247900693683824</v>
      </c>
      <c r="Q1764" s="3">
        <f t="shared" si="172"/>
        <v>0.12739534883720929</v>
      </c>
    </row>
    <row r="1765" spans="1:17" hidden="1" x14ac:dyDescent="0.25">
      <c r="A1765" t="s">
        <v>1845</v>
      </c>
      <c r="B1765" t="s">
        <v>51</v>
      </c>
      <c r="C1765" t="s">
        <v>44</v>
      </c>
      <c r="D1765" t="str">
        <f t="shared" si="168"/>
        <v>IL</v>
      </c>
      <c r="E1765" t="str">
        <f t="shared" si="169"/>
        <v>Midwest</v>
      </c>
      <c r="F1765" t="s">
        <v>59</v>
      </c>
      <c r="G1765" s="1">
        <v>45074</v>
      </c>
      <c r="H1765" s="1">
        <v>45076</v>
      </c>
      <c r="I1765" s="1">
        <f t="shared" si="167"/>
        <v>45076</v>
      </c>
      <c r="J1765" s="2">
        <v>19.5</v>
      </c>
      <c r="K1765" s="2">
        <v>122.68</v>
      </c>
      <c r="L1765" t="s">
        <v>15</v>
      </c>
      <c r="M1765" s="2">
        <v>790</v>
      </c>
      <c r="N1765" s="2">
        <v>2</v>
      </c>
      <c r="O1765" s="2">
        <f t="shared" si="170"/>
        <v>395</v>
      </c>
      <c r="P1765" s="2">
        <f t="shared" si="171"/>
        <v>3.2197587218780566</v>
      </c>
      <c r="Q1765" s="3">
        <f t="shared" si="172"/>
        <v>0.15529113924050633</v>
      </c>
    </row>
    <row r="1766" spans="1:17" hidden="1" x14ac:dyDescent="0.25">
      <c r="A1766" t="s">
        <v>1846</v>
      </c>
      <c r="B1766" t="s">
        <v>49</v>
      </c>
      <c r="C1766" t="s">
        <v>31</v>
      </c>
      <c r="D1766" t="str">
        <f t="shared" si="168"/>
        <v>NY</v>
      </c>
      <c r="E1766" t="str">
        <f t="shared" si="169"/>
        <v>Northeast</v>
      </c>
      <c r="F1766" t="s">
        <v>25</v>
      </c>
      <c r="G1766" s="1">
        <v>45039</v>
      </c>
      <c r="H1766" s="1">
        <v>45042</v>
      </c>
      <c r="I1766" s="1">
        <f t="shared" si="167"/>
        <v>45042</v>
      </c>
      <c r="J1766" s="2">
        <v>12.1</v>
      </c>
      <c r="K1766" s="2">
        <v>147.53</v>
      </c>
      <c r="L1766" t="s">
        <v>15</v>
      </c>
      <c r="M1766" s="2">
        <v>1172</v>
      </c>
      <c r="N1766" s="2">
        <v>3</v>
      </c>
      <c r="O1766" s="2">
        <f t="shared" si="170"/>
        <v>390.66666666666669</v>
      </c>
      <c r="P1766" s="2">
        <f t="shared" si="171"/>
        <v>2.6480489843873563</v>
      </c>
      <c r="Q1766" s="3">
        <f t="shared" si="172"/>
        <v>0.12587883959044369</v>
      </c>
    </row>
    <row r="1767" spans="1:17" hidden="1" x14ac:dyDescent="0.25">
      <c r="A1767" t="s">
        <v>1847</v>
      </c>
      <c r="B1767" t="s">
        <v>35</v>
      </c>
      <c r="C1767" t="s">
        <v>17</v>
      </c>
      <c r="D1767" t="str">
        <f t="shared" si="168"/>
        <v>GA</v>
      </c>
      <c r="E1767" t="str">
        <f t="shared" si="169"/>
        <v>Southeast</v>
      </c>
      <c r="F1767" t="s">
        <v>25</v>
      </c>
      <c r="G1767" s="1">
        <v>45138</v>
      </c>
      <c r="H1767" s="1">
        <v>45142</v>
      </c>
      <c r="I1767" s="1">
        <f t="shared" si="167"/>
        <v>45142</v>
      </c>
      <c r="J1767" s="2">
        <v>24.6</v>
      </c>
      <c r="K1767" s="2">
        <v>231.44</v>
      </c>
      <c r="L1767" t="s">
        <v>15</v>
      </c>
      <c r="M1767" s="2">
        <v>1711</v>
      </c>
      <c r="N1767" s="2">
        <v>4</v>
      </c>
      <c r="O1767" s="2">
        <f t="shared" si="170"/>
        <v>427.75</v>
      </c>
      <c r="P1767" s="2">
        <f t="shared" si="171"/>
        <v>1.848211199446941</v>
      </c>
      <c r="Q1767" s="3">
        <f t="shared" si="172"/>
        <v>0.13526592635885448</v>
      </c>
    </row>
    <row r="1768" spans="1:17" hidden="1" x14ac:dyDescent="0.25">
      <c r="A1768" t="s">
        <v>1848</v>
      </c>
      <c r="B1768" t="s">
        <v>39</v>
      </c>
      <c r="C1768" t="s">
        <v>28</v>
      </c>
      <c r="D1768" t="str">
        <f t="shared" si="168"/>
        <v>TX</v>
      </c>
      <c r="E1768" t="str">
        <f t="shared" si="169"/>
        <v>Southwest</v>
      </c>
      <c r="F1768" t="s">
        <v>25</v>
      </c>
      <c r="G1768" s="1">
        <v>44998</v>
      </c>
      <c r="H1768" s="1">
        <v>45003</v>
      </c>
      <c r="I1768" s="1">
        <f t="shared" si="167"/>
        <v>45003</v>
      </c>
      <c r="J1768" s="2">
        <v>17.7</v>
      </c>
      <c r="K1768" s="2">
        <v>325.61</v>
      </c>
      <c r="L1768" t="s">
        <v>15</v>
      </c>
      <c r="M1768" s="2">
        <v>2345</v>
      </c>
      <c r="N1768" s="2">
        <v>5</v>
      </c>
      <c r="O1768" s="2">
        <f t="shared" si="170"/>
        <v>469</v>
      </c>
      <c r="P1768" s="2">
        <f t="shared" si="171"/>
        <v>1.4403734529037806</v>
      </c>
      <c r="Q1768" s="3">
        <f t="shared" si="172"/>
        <v>0.13885287846481878</v>
      </c>
    </row>
    <row r="1769" spans="1:17" x14ac:dyDescent="0.25">
      <c r="A1769" t="s">
        <v>1849</v>
      </c>
      <c r="B1769" t="s">
        <v>20</v>
      </c>
      <c r="C1769" t="s">
        <v>70</v>
      </c>
      <c r="D1769" t="str">
        <f t="shared" si="168"/>
        <v>CA</v>
      </c>
      <c r="E1769" t="str">
        <f t="shared" si="169"/>
        <v>West</v>
      </c>
      <c r="F1769" t="s">
        <v>18</v>
      </c>
      <c r="G1769" s="1">
        <v>45115</v>
      </c>
      <c r="H1769" s="1">
        <v>45117</v>
      </c>
      <c r="I1769" s="1">
        <f t="shared" si="167"/>
        <v>45117</v>
      </c>
      <c r="J1769" s="2">
        <v>61.4</v>
      </c>
      <c r="K1769" s="2">
        <v>111.25</v>
      </c>
      <c r="L1769" t="s">
        <v>15</v>
      </c>
      <c r="M1769" s="2">
        <v>128</v>
      </c>
      <c r="N1769" s="2">
        <v>2</v>
      </c>
      <c r="O1769" s="2">
        <f t="shared" si="170"/>
        <v>64</v>
      </c>
      <c r="P1769" s="2">
        <f t="shared" si="171"/>
        <v>0.57528089887640455</v>
      </c>
      <c r="Q1769" s="3">
        <f t="shared" si="172"/>
        <v>0.869140625</v>
      </c>
    </row>
    <row r="1770" spans="1:17" x14ac:dyDescent="0.25">
      <c r="A1770" t="s">
        <v>1850</v>
      </c>
      <c r="B1770" t="s">
        <v>27</v>
      </c>
      <c r="C1770" t="s">
        <v>13</v>
      </c>
      <c r="D1770" t="str">
        <f t="shared" si="168"/>
        <v>CA</v>
      </c>
      <c r="E1770" t="str">
        <f t="shared" si="169"/>
        <v>West</v>
      </c>
      <c r="F1770" t="s">
        <v>32</v>
      </c>
      <c r="G1770" s="1">
        <v>44944</v>
      </c>
      <c r="H1770" s="1">
        <v>44950</v>
      </c>
      <c r="I1770" s="1">
        <f t="shared" si="167"/>
        <v>44950</v>
      </c>
      <c r="J1770" s="2">
        <v>13.6</v>
      </c>
      <c r="K1770" s="2">
        <v>260.64999999999998</v>
      </c>
      <c r="L1770" t="s">
        <v>15</v>
      </c>
      <c r="M1770" s="2">
        <v>2044</v>
      </c>
      <c r="N1770" s="2">
        <v>6</v>
      </c>
      <c r="O1770" s="2">
        <f t="shared" si="170"/>
        <v>340.66666666666669</v>
      </c>
      <c r="P1770" s="2">
        <f t="shared" si="171"/>
        <v>1.3069889379116313</v>
      </c>
      <c r="Q1770" s="3">
        <f t="shared" si="172"/>
        <v>0.12751956947162427</v>
      </c>
    </row>
    <row r="1771" spans="1:17" hidden="1" x14ac:dyDescent="0.25">
      <c r="A1771" t="s">
        <v>1851</v>
      </c>
      <c r="B1771" t="s">
        <v>20</v>
      </c>
      <c r="C1771" t="s">
        <v>28</v>
      </c>
      <c r="D1771" t="str">
        <f t="shared" si="168"/>
        <v>TX</v>
      </c>
      <c r="E1771" t="str">
        <f t="shared" si="169"/>
        <v>Southwest</v>
      </c>
      <c r="F1771" t="s">
        <v>59</v>
      </c>
      <c r="G1771" s="1">
        <v>45141</v>
      </c>
      <c r="H1771" s="1">
        <v>45147</v>
      </c>
      <c r="I1771" s="1">
        <f t="shared" si="167"/>
        <v>45147</v>
      </c>
      <c r="J1771" s="2">
        <v>29.4</v>
      </c>
      <c r="K1771" s="2">
        <v>212.9</v>
      </c>
      <c r="L1771" t="s">
        <v>62</v>
      </c>
      <c r="M1771" s="2">
        <v>1435</v>
      </c>
      <c r="N1771" s="2">
        <v>6</v>
      </c>
      <c r="O1771" s="2">
        <f t="shared" si="170"/>
        <v>239.16666666666666</v>
      </c>
      <c r="P1771" s="2">
        <f t="shared" si="171"/>
        <v>1.1233756067011116</v>
      </c>
      <c r="Q1771" s="3">
        <f t="shared" si="172"/>
        <v>0.14836236933797911</v>
      </c>
    </row>
    <row r="1772" spans="1:17" hidden="1" x14ac:dyDescent="0.25">
      <c r="A1772" t="s">
        <v>1852</v>
      </c>
      <c r="B1772" t="s">
        <v>39</v>
      </c>
      <c r="C1772" t="s">
        <v>54</v>
      </c>
      <c r="D1772" t="str">
        <f t="shared" si="168"/>
        <v>FL</v>
      </c>
      <c r="E1772" t="str">
        <f t="shared" si="169"/>
        <v>Southeast</v>
      </c>
      <c r="F1772" t="s">
        <v>32</v>
      </c>
      <c r="G1772" s="1">
        <v>45227</v>
      </c>
      <c r="H1772" s="1">
        <v>45243</v>
      </c>
      <c r="I1772" s="1">
        <f t="shared" si="167"/>
        <v>45243</v>
      </c>
      <c r="J1772" s="2">
        <v>14.7</v>
      </c>
      <c r="K1772" s="2">
        <v>224.05</v>
      </c>
      <c r="L1772" t="s">
        <v>47</v>
      </c>
      <c r="M1772" s="2">
        <v>1715</v>
      </c>
      <c r="N1772" s="2">
        <v>5</v>
      </c>
      <c r="O1772" s="2">
        <f t="shared" si="170"/>
        <v>343</v>
      </c>
      <c r="P1772" s="2">
        <f t="shared" si="171"/>
        <v>1.5309082794019191</v>
      </c>
      <c r="Q1772" s="3">
        <f t="shared" si="172"/>
        <v>0.13064139941690964</v>
      </c>
    </row>
    <row r="1773" spans="1:17" hidden="1" x14ac:dyDescent="0.25">
      <c r="A1773" t="s">
        <v>1853</v>
      </c>
      <c r="B1773" t="s">
        <v>30</v>
      </c>
      <c r="C1773" t="s">
        <v>52</v>
      </c>
      <c r="D1773" t="str">
        <f t="shared" si="168"/>
        <v>AZ</v>
      </c>
      <c r="E1773" t="str">
        <f t="shared" si="169"/>
        <v>Southwest</v>
      </c>
      <c r="F1773" t="s">
        <v>18</v>
      </c>
      <c r="G1773" s="1">
        <v>45279</v>
      </c>
      <c r="H1773" s="1">
        <v>45283</v>
      </c>
      <c r="I1773" s="1">
        <f t="shared" si="167"/>
        <v>45283</v>
      </c>
      <c r="J1773" s="2">
        <v>7.4</v>
      </c>
      <c r="K1773" s="2">
        <v>323.36</v>
      </c>
      <c r="L1773" t="s">
        <v>15</v>
      </c>
      <c r="M1773" s="2">
        <v>1880</v>
      </c>
      <c r="N1773" s="2">
        <v>4</v>
      </c>
      <c r="O1773" s="2">
        <f t="shared" si="170"/>
        <v>470</v>
      </c>
      <c r="P1773" s="2">
        <f t="shared" si="171"/>
        <v>1.4534883720930232</v>
      </c>
      <c r="Q1773" s="3">
        <f t="shared" si="172"/>
        <v>0.17200000000000001</v>
      </c>
    </row>
    <row r="1774" spans="1:17" hidden="1" x14ac:dyDescent="0.25">
      <c r="A1774" t="s">
        <v>1854</v>
      </c>
      <c r="B1774" t="s">
        <v>51</v>
      </c>
      <c r="C1774" t="s">
        <v>21</v>
      </c>
      <c r="D1774" t="str">
        <f t="shared" si="168"/>
        <v>TX</v>
      </c>
      <c r="E1774" t="str">
        <f t="shared" si="169"/>
        <v>Southwest</v>
      </c>
      <c r="F1774" t="s">
        <v>25</v>
      </c>
      <c r="G1774" s="1">
        <v>45111</v>
      </c>
      <c r="H1774" s="1">
        <v>45117</v>
      </c>
      <c r="I1774" s="1">
        <f t="shared" si="167"/>
        <v>45117</v>
      </c>
      <c r="J1774" s="2">
        <v>16.2</v>
      </c>
      <c r="K1774" s="2">
        <v>245.98</v>
      </c>
      <c r="L1774" t="s">
        <v>15</v>
      </c>
      <c r="M1774" s="2">
        <v>1870</v>
      </c>
      <c r="N1774" s="2">
        <v>6</v>
      </c>
      <c r="O1774" s="2">
        <f t="shared" si="170"/>
        <v>311.66666666666669</v>
      </c>
      <c r="P1774" s="2">
        <f t="shared" si="171"/>
        <v>1.2670406808141585</v>
      </c>
      <c r="Q1774" s="3">
        <f t="shared" si="172"/>
        <v>0.13154010695187165</v>
      </c>
    </row>
    <row r="1775" spans="1:17" x14ac:dyDescent="0.25">
      <c r="A1775" t="s">
        <v>1855</v>
      </c>
      <c r="B1775" t="s">
        <v>51</v>
      </c>
      <c r="C1775" t="s">
        <v>36</v>
      </c>
      <c r="D1775" t="str">
        <f t="shared" si="168"/>
        <v>OR</v>
      </c>
      <c r="E1775" t="str">
        <f t="shared" si="169"/>
        <v>West</v>
      </c>
      <c r="F1775" t="s">
        <v>42</v>
      </c>
      <c r="G1775" s="1">
        <v>45113</v>
      </c>
      <c r="H1775" s="1">
        <v>45117</v>
      </c>
      <c r="I1775" s="1">
        <f t="shared" si="167"/>
        <v>45117</v>
      </c>
      <c r="J1775" s="2">
        <v>6.2</v>
      </c>
      <c r="K1775" s="2">
        <v>139.44</v>
      </c>
      <c r="L1775" t="s">
        <v>15</v>
      </c>
      <c r="M1775" s="2">
        <v>1227</v>
      </c>
      <c r="N1775" s="2">
        <v>4</v>
      </c>
      <c r="O1775" s="2">
        <f t="shared" si="170"/>
        <v>306.75</v>
      </c>
      <c r="P1775" s="2">
        <f t="shared" si="171"/>
        <v>2.1998709122203097</v>
      </c>
      <c r="Q1775" s="3">
        <f t="shared" si="172"/>
        <v>0.11364303178484107</v>
      </c>
    </row>
    <row r="1776" spans="1:17" x14ac:dyDescent="0.25">
      <c r="A1776" t="s">
        <v>1856</v>
      </c>
      <c r="B1776" t="s">
        <v>39</v>
      </c>
      <c r="C1776" t="s">
        <v>13</v>
      </c>
      <c r="D1776" t="str">
        <f t="shared" si="168"/>
        <v>CA</v>
      </c>
      <c r="E1776" t="str">
        <f t="shared" si="169"/>
        <v>West</v>
      </c>
      <c r="F1776" t="s">
        <v>25</v>
      </c>
      <c r="G1776" s="1">
        <v>45062</v>
      </c>
      <c r="H1776" s="1">
        <v>45069</v>
      </c>
      <c r="I1776" s="1">
        <f t="shared" si="167"/>
        <v>45069</v>
      </c>
      <c r="J1776" s="2">
        <v>15.7</v>
      </c>
      <c r="K1776" s="2">
        <v>318.83999999999997</v>
      </c>
      <c r="L1776" t="s">
        <v>15</v>
      </c>
      <c r="M1776" s="2">
        <v>2321</v>
      </c>
      <c r="N1776" s="2">
        <v>7</v>
      </c>
      <c r="O1776" s="2">
        <f t="shared" si="170"/>
        <v>331.57142857142856</v>
      </c>
      <c r="P1776" s="2">
        <f t="shared" si="171"/>
        <v>1.03993046221123</v>
      </c>
      <c r="Q1776" s="3">
        <f t="shared" si="172"/>
        <v>0.13737182249030588</v>
      </c>
    </row>
    <row r="1777" spans="1:17" hidden="1" x14ac:dyDescent="0.25">
      <c r="A1777" t="s">
        <v>1858</v>
      </c>
      <c r="B1777" t="s">
        <v>30</v>
      </c>
      <c r="C1777" t="s">
        <v>17</v>
      </c>
      <c r="D1777" t="str">
        <f t="shared" si="168"/>
        <v>GA</v>
      </c>
      <c r="E1777" t="str">
        <f t="shared" si="169"/>
        <v>Southeast</v>
      </c>
      <c r="F1777" t="s">
        <v>32</v>
      </c>
      <c r="G1777" s="1">
        <v>45128</v>
      </c>
      <c r="H1777" s="1">
        <v>45136</v>
      </c>
      <c r="I1777" s="1">
        <f t="shared" si="167"/>
        <v>45136</v>
      </c>
      <c r="J1777" s="2">
        <v>32.799999999999997</v>
      </c>
      <c r="K1777" s="2">
        <v>360.03</v>
      </c>
      <c r="L1777" t="s">
        <v>15</v>
      </c>
      <c r="M1777" s="2">
        <v>2464</v>
      </c>
      <c r="N1777" s="2">
        <v>8</v>
      </c>
      <c r="O1777" s="2">
        <f t="shared" si="170"/>
        <v>308</v>
      </c>
      <c r="P1777" s="2">
        <f t="shared" si="171"/>
        <v>0.85548426520012233</v>
      </c>
      <c r="Q1777" s="3">
        <f t="shared" si="172"/>
        <v>0.14611607142857141</v>
      </c>
    </row>
    <row r="1778" spans="1:17" hidden="1" x14ac:dyDescent="0.25">
      <c r="A1778" t="s">
        <v>1859</v>
      </c>
      <c r="B1778" t="s">
        <v>12</v>
      </c>
      <c r="C1778" t="s">
        <v>40</v>
      </c>
      <c r="D1778" t="str">
        <f t="shared" si="168"/>
        <v>MI</v>
      </c>
      <c r="E1778" t="str">
        <f t="shared" si="169"/>
        <v>Midwest</v>
      </c>
      <c r="F1778" t="s">
        <v>18</v>
      </c>
      <c r="G1778" s="1">
        <v>45032</v>
      </c>
      <c r="H1778" s="1">
        <v>45034</v>
      </c>
      <c r="I1778" s="1">
        <f t="shared" si="167"/>
        <v>45034</v>
      </c>
      <c r="J1778" s="2">
        <v>29.5</v>
      </c>
      <c r="K1778" s="2">
        <v>110.42</v>
      </c>
      <c r="L1778" t="s">
        <v>15</v>
      </c>
      <c r="M1778" s="2">
        <v>476</v>
      </c>
      <c r="N1778" s="2">
        <v>2</v>
      </c>
      <c r="O1778" s="2">
        <f t="shared" si="170"/>
        <v>238</v>
      </c>
      <c r="P1778" s="2">
        <f t="shared" si="171"/>
        <v>2.1554066292338345</v>
      </c>
      <c r="Q1778" s="3">
        <f t="shared" si="172"/>
        <v>0.2319747899159664</v>
      </c>
    </row>
    <row r="1779" spans="1:17" hidden="1" x14ac:dyDescent="0.25">
      <c r="A1779" t="s">
        <v>1860</v>
      </c>
      <c r="B1779" t="s">
        <v>51</v>
      </c>
      <c r="C1779" t="s">
        <v>52</v>
      </c>
      <c r="D1779" t="str">
        <f t="shared" si="168"/>
        <v>AZ</v>
      </c>
      <c r="E1779" t="str">
        <f t="shared" si="169"/>
        <v>Southwest</v>
      </c>
      <c r="F1779" t="s">
        <v>25</v>
      </c>
      <c r="G1779" s="1">
        <v>45170</v>
      </c>
      <c r="H1779" s="1">
        <v>45174</v>
      </c>
      <c r="I1779" s="1">
        <f t="shared" si="167"/>
        <v>45174</v>
      </c>
      <c r="J1779" s="2">
        <v>16.7</v>
      </c>
      <c r="K1779" s="2">
        <v>203.66</v>
      </c>
      <c r="L1779" t="s">
        <v>15</v>
      </c>
      <c r="M1779" s="2">
        <v>1423</v>
      </c>
      <c r="N1779" s="2">
        <v>4</v>
      </c>
      <c r="O1779" s="2">
        <f t="shared" si="170"/>
        <v>355.75</v>
      </c>
      <c r="P1779" s="2">
        <f t="shared" si="171"/>
        <v>1.7467838554453501</v>
      </c>
      <c r="Q1779" s="3">
        <f t="shared" si="172"/>
        <v>0.14312016865776528</v>
      </c>
    </row>
    <row r="1780" spans="1:17" x14ac:dyDescent="0.25">
      <c r="A1780" t="s">
        <v>1861</v>
      </c>
      <c r="B1780" t="s">
        <v>49</v>
      </c>
      <c r="C1780" t="s">
        <v>13</v>
      </c>
      <c r="D1780" t="str">
        <f t="shared" si="168"/>
        <v>CA</v>
      </c>
      <c r="E1780" t="str">
        <f t="shared" si="169"/>
        <v>West</v>
      </c>
      <c r="F1780" t="s">
        <v>32</v>
      </c>
      <c r="G1780" s="1">
        <v>45055</v>
      </c>
      <c r="H1780" s="1">
        <v>45070</v>
      </c>
      <c r="I1780" s="1">
        <f t="shared" si="167"/>
        <v>45070</v>
      </c>
      <c r="J1780" s="2">
        <v>16.600000000000001</v>
      </c>
      <c r="K1780" s="2">
        <v>285.36</v>
      </c>
      <c r="L1780" t="s">
        <v>47</v>
      </c>
      <c r="M1780" s="2">
        <v>2126</v>
      </c>
      <c r="N1780" s="2">
        <v>7</v>
      </c>
      <c r="O1780" s="2">
        <f t="shared" si="170"/>
        <v>303.71428571428572</v>
      </c>
      <c r="P1780" s="2">
        <f t="shared" si="171"/>
        <v>1.0643197564980575</v>
      </c>
      <c r="Q1780" s="3">
        <f t="shared" si="172"/>
        <v>0.1342238946378175</v>
      </c>
    </row>
    <row r="1781" spans="1:17" x14ac:dyDescent="0.25">
      <c r="A1781" t="s">
        <v>1862</v>
      </c>
      <c r="B1781" t="s">
        <v>56</v>
      </c>
      <c r="C1781" t="s">
        <v>13</v>
      </c>
      <c r="D1781" t="str">
        <f t="shared" si="168"/>
        <v>CA</v>
      </c>
      <c r="E1781" t="str">
        <f t="shared" si="169"/>
        <v>West</v>
      </c>
      <c r="F1781" t="s">
        <v>42</v>
      </c>
      <c r="G1781" s="1">
        <v>45212</v>
      </c>
      <c r="H1781" s="1">
        <v>45216</v>
      </c>
      <c r="I1781" s="1">
        <f t="shared" si="167"/>
        <v>45216</v>
      </c>
      <c r="J1781" s="2">
        <v>17</v>
      </c>
      <c r="K1781" s="2">
        <v>245.26</v>
      </c>
      <c r="L1781" t="s">
        <v>15</v>
      </c>
      <c r="M1781" s="2">
        <v>1731</v>
      </c>
      <c r="N1781" s="2">
        <v>4</v>
      </c>
      <c r="O1781" s="2">
        <f t="shared" si="170"/>
        <v>432.75</v>
      </c>
      <c r="P1781" s="2">
        <f t="shared" si="171"/>
        <v>1.7644540487645763</v>
      </c>
      <c r="Q1781" s="3">
        <f t="shared" si="172"/>
        <v>0.14168688619295206</v>
      </c>
    </row>
    <row r="1782" spans="1:17" x14ac:dyDescent="0.25">
      <c r="A1782" t="s">
        <v>1863</v>
      </c>
      <c r="B1782" t="s">
        <v>20</v>
      </c>
      <c r="C1782" t="s">
        <v>81</v>
      </c>
      <c r="D1782" t="str">
        <f t="shared" si="168"/>
        <v>CO</v>
      </c>
      <c r="E1782" t="str">
        <f t="shared" si="169"/>
        <v>West</v>
      </c>
      <c r="F1782" t="s">
        <v>37</v>
      </c>
      <c r="G1782" s="1">
        <v>45189</v>
      </c>
      <c r="H1782" s="1">
        <v>45191</v>
      </c>
      <c r="I1782" s="1">
        <f t="shared" si="167"/>
        <v>45191</v>
      </c>
      <c r="J1782" s="2">
        <v>30.5</v>
      </c>
      <c r="K1782" s="2">
        <v>115.38</v>
      </c>
      <c r="L1782" t="s">
        <v>15</v>
      </c>
      <c r="M1782" s="2">
        <v>619</v>
      </c>
      <c r="N1782" s="2">
        <v>2</v>
      </c>
      <c r="O1782" s="2">
        <f t="shared" si="170"/>
        <v>309.5</v>
      </c>
      <c r="P1782" s="2">
        <f t="shared" si="171"/>
        <v>2.6824406309585718</v>
      </c>
      <c r="Q1782" s="3">
        <f t="shared" si="172"/>
        <v>0.18639741518578351</v>
      </c>
    </row>
    <row r="1783" spans="1:17" hidden="1" x14ac:dyDescent="0.25">
      <c r="A1783" t="s">
        <v>1864</v>
      </c>
      <c r="B1783" t="s">
        <v>12</v>
      </c>
      <c r="C1783" t="s">
        <v>57</v>
      </c>
      <c r="D1783" t="str">
        <f t="shared" si="168"/>
        <v>MN</v>
      </c>
      <c r="E1783" t="str">
        <f t="shared" si="169"/>
        <v>Midwest</v>
      </c>
      <c r="F1783" t="s">
        <v>18</v>
      </c>
      <c r="G1783" s="1">
        <v>45071</v>
      </c>
      <c r="H1783" s="1">
        <v>45076</v>
      </c>
      <c r="I1783" s="1">
        <f t="shared" si="167"/>
        <v>45076</v>
      </c>
      <c r="J1783" s="2">
        <v>17.7</v>
      </c>
      <c r="K1783" s="2">
        <v>326.89999999999998</v>
      </c>
      <c r="L1783" t="s">
        <v>15</v>
      </c>
      <c r="M1783" s="2">
        <v>2208</v>
      </c>
      <c r="N1783" s="2">
        <v>5</v>
      </c>
      <c r="O1783" s="2">
        <f t="shared" si="170"/>
        <v>441.6</v>
      </c>
      <c r="P1783" s="2">
        <f t="shared" si="171"/>
        <v>1.3508718262465587</v>
      </c>
      <c r="Q1783" s="3">
        <f t="shared" si="172"/>
        <v>0.14805253623188405</v>
      </c>
    </row>
    <row r="1784" spans="1:17" hidden="1" x14ac:dyDescent="0.25">
      <c r="A1784" t="s">
        <v>1865</v>
      </c>
      <c r="B1784" t="s">
        <v>35</v>
      </c>
      <c r="C1784" t="s">
        <v>28</v>
      </c>
      <c r="D1784" t="str">
        <f t="shared" si="168"/>
        <v>TX</v>
      </c>
      <c r="E1784" t="str">
        <f t="shared" si="169"/>
        <v>Southwest</v>
      </c>
      <c r="F1784" t="s">
        <v>59</v>
      </c>
      <c r="G1784" s="1">
        <v>45039</v>
      </c>
      <c r="H1784" s="1">
        <v>45043</v>
      </c>
      <c r="I1784" s="1">
        <f t="shared" si="167"/>
        <v>45043</v>
      </c>
      <c r="J1784" s="2">
        <v>11.6</v>
      </c>
      <c r="K1784" s="2">
        <v>135.55000000000001</v>
      </c>
      <c r="L1784" t="s">
        <v>15</v>
      </c>
      <c r="M1784" s="2">
        <v>1021</v>
      </c>
      <c r="N1784" s="2">
        <v>4</v>
      </c>
      <c r="O1784" s="2">
        <f t="shared" si="170"/>
        <v>255.25</v>
      </c>
      <c r="P1784" s="2">
        <f t="shared" si="171"/>
        <v>1.8830689782368129</v>
      </c>
      <c r="Q1784" s="3">
        <f t="shared" si="172"/>
        <v>0.13276199804113614</v>
      </c>
    </row>
    <row r="1785" spans="1:17" hidden="1" x14ac:dyDescent="0.25">
      <c r="A1785" t="s">
        <v>1866</v>
      </c>
      <c r="B1785" t="s">
        <v>23</v>
      </c>
      <c r="C1785" t="s">
        <v>40</v>
      </c>
      <c r="D1785" t="str">
        <f t="shared" si="168"/>
        <v>MI</v>
      </c>
      <c r="E1785" t="str">
        <f t="shared" si="169"/>
        <v>Midwest</v>
      </c>
      <c r="F1785" t="s">
        <v>25</v>
      </c>
      <c r="G1785" s="1">
        <v>45057</v>
      </c>
      <c r="H1785" s="1">
        <v>45065</v>
      </c>
      <c r="I1785" s="1">
        <f t="shared" si="167"/>
        <v>45065</v>
      </c>
      <c r="J1785" s="2">
        <v>34.6</v>
      </c>
      <c r="K1785" s="2">
        <v>319.66000000000003</v>
      </c>
      <c r="L1785" t="s">
        <v>15</v>
      </c>
      <c r="M1785" s="2">
        <v>2216</v>
      </c>
      <c r="N1785" s="2">
        <v>8</v>
      </c>
      <c r="O1785" s="2">
        <f t="shared" si="170"/>
        <v>277</v>
      </c>
      <c r="P1785" s="2">
        <f t="shared" si="171"/>
        <v>0.86654570481136195</v>
      </c>
      <c r="Q1785" s="3">
        <f t="shared" si="172"/>
        <v>0.14425090252707581</v>
      </c>
    </row>
    <row r="1786" spans="1:17" x14ac:dyDescent="0.25">
      <c r="A1786" t="s">
        <v>1867</v>
      </c>
      <c r="B1786" t="s">
        <v>23</v>
      </c>
      <c r="C1786" t="s">
        <v>81</v>
      </c>
      <c r="D1786" t="str">
        <f t="shared" si="168"/>
        <v>CO</v>
      </c>
      <c r="E1786" t="str">
        <f t="shared" si="169"/>
        <v>West</v>
      </c>
      <c r="F1786" t="s">
        <v>18</v>
      </c>
      <c r="G1786" s="1">
        <v>44980</v>
      </c>
      <c r="H1786" s="1">
        <v>44986</v>
      </c>
      <c r="I1786" s="1">
        <f t="shared" si="167"/>
        <v>44986</v>
      </c>
      <c r="J1786" s="2">
        <v>35.299999999999997</v>
      </c>
      <c r="K1786" s="2">
        <v>314.52</v>
      </c>
      <c r="L1786" t="s">
        <v>15</v>
      </c>
      <c r="M1786" s="2">
        <v>1724</v>
      </c>
      <c r="N1786" s="2">
        <v>6</v>
      </c>
      <c r="O1786" s="2">
        <f t="shared" si="170"/>
        <v>287.33333333333331</v>
      </c>
      <c r="P1786" s="2">
        <f t="shared" si="171"/>
        <v>0.91356140573996358</v>
      </c>
      <c r="Q1786" s="3">
        <f t="shared" si="172"/>
        <v>0.18243619489559162</v>
      </c>
    </row>
    <row r="1787" spans="1:17" x14ac:dyDescent="0.25">
      <c r="A1787" t="s">
        <v>1868</v>
      </c>
      <c r="B1787" t="s">
        <v>27</v>
      </c>
      <c r="C1787" t="s">
        <v>70</v>
      </c>
      <c r="D1787" t="str">
        <f t="shared" si="168"/>
        <v>CA</v>
      </c>
      <c r="E1787" t="str">
        <f t="shared" si="169"/>
        <v>West</v>
      </c>
      <c r="F1787" t="s">
        <v>59</v>
      </c>
      <c r="G1787" s="1">
        <v>45037</v>
      </c>
      <c r="H1787" s="1">
        <v>45043</v>
      </c>
      <c r="I1787" s="1">
        <f t="shared" si="167"/>
        <v>45043</v>
      </c>
      <c r="J1787" s="2">
        <v>5.3</v>
      </c>
      <c r="K1787" s="2">
        <v>263.08</v>
      </c>
      <c r="L1787" t="s">
        <v>15</v>
      </c>
      <c r="M1787" s="2">
        <v>2362</v>
      </c>
      <c r="N1787" s="2">
        <v>6</v>
      </c>
      <c r="O1787" s="2">
        <f t="shared" si="170"/>
        <v>393.66666666666669</v>
      </c>
      <c r="P1787" s="2">
        <f t="shared" si="171"/>
        <v>1.4963762607065025</v>
      </c>
      <c r="Q1787" s="3">
        <f t="shared" si="172"/>
        <v>0.11138018628281117</v>
      </c>
    </row>
    <row r="1788" spans="1:17" hidden="1" x14ac:dyDescent="0.25">
      <c r="A1788" t="s">
        <v>1869</v>
      </c>
      <c r="B1788" t="s">
        <v>12</v>
      </c>
      <c r="C1788" t="s">
        <v>40</v>
      </c>
      <c r="D1788" t="str">
        <f t="shared" si="168"/>
        <v>MI</v>
      </c>
      <c r="E1788" t="str">
        <f t="shared" si="169"/>
        <v>Midwest</v>
      </c>
      <c r="F1788" t="s">
        <v>25</v>
      </c>
      <c r="G1788" s="1">
        <v>45012</v>
      </c>
      <c r="H1788" s="1">
        <v>45017</v>
      </c>
      <c r="I1788" s="1">
        <f t="shared" si="167"/>
        <v>45017</v>
      </c>
      <c r="J1788" s="2">
        <v>32.1</v>
      </c>
      <c r="K1788" s="2">
        <v>323.02999999999997</v>
      </c>
      <c r="L1788" t="s">
        <v>15</v>
      </c>
      <c r="M1788" s="2">
        <v>2360</v>
      </c>
      <c r="N1788" s="2">
        <v>5</v>
      </c>
      <c r="O1788" s="2">
        <f t="shared" si="170"/>
        <v>472</v>
      </c>
      <c r="P1788" s="2">
        <f t="shared" si="171"/>
        <v>1.4611645977153827</v>
      </c>
      <c r="Q1788" s="3">
        <f t="shared" si="172"/>
        <v>0.13687711864406779</v>
      </c>
    </row>
    <row r="1789" spans="1:17" hidden="1" x14ac:dyDescent="0.25">
      <c r="A1789" t="s">
        <v>1870</v>
      </c>
      <c r="B1789" t="s">
        <v>30</v>
      </c>
      <c r="C1789" t="s">
        <v>46</v>
      </c>
      <c r="D1789" t="str">
        <f t="shared" si="168"/>
        <v>MA</v>
      </c>
      <c r="E1789" t="str">
        <f t="shared" si="169"/>
        <v>Northeast</v>
      </c>
      <c r="F1789" t="s">
        <v>25</v>
      </c>
      <c r="G1789" s="1">
        <v>44989</v>
      </c>
      <c r="H1789" s="1">
        <v>44995</v>
      </c>
      <c r="I1789" s="1">
        <f t="shared" si="167"/>
        <v>44995</v>
      </c>
      <c r="J1789" s="2">
        <v>17.100000000000001</v>
      </c>
      <c r="K1789" s="2">
        <v>302.85000000000002</v>
      </c>
      <c r="L1789" t="s">
        <v>15</v>
      </c>
      <c r="M1789" s="2">
        <v>2450</v>
      </c>
      <c r="N1789" s="2">
        <v>6</v>
      </c>
      <c r="O1789" s="2">
        <f t="shared" si="170"/>
        <v>408.33333333333331</v>
      </c>
      <c r="P1789" s="2">
        <f t="shared" si="171"/>
        <v>1.3483022398327003</v>
      </c>
      <c r="Q1789" s="3">
        <f t="shared" si="172"/>
        <v>0.12361224489795919</v>
      </c>
    </row>
    <row r="1790" spans="1:17" hidden="1" x14ac:dyDescent="0.25">
      <c r="A1790" t="s">
        <v>1871</v>
      </c>
      <c r="B1790" t="s">
        <v>39</v>
      </c>
      <c r="C1790" t="s">
        <v>46</v>
      </c>
      <c r="D1790" t="str">
        <f t="shared" si="168"/>
        <v>MA</v>
      </c>
      <c r="E1790" t="str">
        <f t="shared" si="169"/>
        <v>Northeast</v>
      </c>
      <c r="F1790" t="s">
        <v>37</v>
      </c>
      <c r="G1790" s="1">
        <v>45047</v>
      </c>
      <c r="H1790" s="1">
        <v>45051</v>
      </c>
      <c r="I1790" s="1">
        <f t="shared" si="167"/>
        <v>45051</v>
      </c>
      <c r="J1790" s="2">
        <v>7.5</v>
      </c>
      <c r="K1790" s="2">
        <v>208.84</v>
      </c>
      <c r="L1790" t="s">
        <v>15</v>
      </c>
      <c r="M1790" s="2">
        <v>1642</v>
      </c>
      <c r="N1790" s="2">
        <v>4</v>
      </c>
      <c r="O1790" s="2">
        <f t="shared" si="170"/>
        <v>410.5</v>
      </c>
      <c r="P1790" s="2">
        <f t="shared" si="171"/>
        <v>1.9656196131009385</v>
      </c>
      <c r="Q1790" s="3">
        <f t="shared" si="172"/>
        <v>0.12718635809987819</v>
      </c>
    </row>
    <row r="1791" spans="1:17" hidden="1" x14ac:dyDescent="0.25">
      <c r="A1791" t="s">
        <v>1872</v>
      </c>
      <c r="B1791" t="s">
        <v>39</v>
      </c>
      <c r="C1791" t="s">
        <v>31</v>
      </c>
      <c r="D1791" t="str">
        <f t="shared" si="168"/>
        <v>NY</v>
      </c>
      <c r="E1791" t="str">
        <f t="shared" si="169"/>
        <v>Northeast</v>
      </c>
      <c r="F1791" t="s">
        <v>59</v>
      </c>
      <c r="G1791" s="1">
        <v>44977</v>
      </c>
      <c r="H1791" s="1">
        <v>44984</v>
      </c>
      <c r="I1791" s="1">
        <f t="shared" si="167"/>
        <v>44984</v>
      </c>
      <c r="J1791" s="2">
        <v>89.4</v>
      </c>
      <c r="K1791" s="2">
        <v>267.14</v>
      </c>
      <c r="L1791" t="s">
        <v>15</v>
      </c>
      <c r="M1791" s="2">
        <v>1548</v>
      </c>
      <c r="N1791" s="2">
        <v>7</v>
      </c>
      <c r="O1791" s="2">
        <f t="shared" si="170"/>
        <v>221.14285714285714</v>
      </c>
      <c r="P1791" s="2">
        <f t="shared" si="171"/>
        <v>0.82781634028171425</v>
      </c>
      <c r="Q1791" s="3">
        <f t="shared" si="172"/>
        <v>0.17257105943152454</v>
      </c>
    </row>
    <row r="1792" spans="1:17" x14ac:dyDescent="0.25">
      <c r="A1792" t="s">
        <v>1873</v>
      </c>
      <c r="B1792" t="s">
        <v>39</v>
      </c>
      <c r="C1792" t="s">
        <v>24</v>
      </c>
      <c r="D1792" t="str">
        <f t="shared" si="168"/>
        <v>WA</v>
      </c>
      <c r="E1792" t="str">
        <f t="shared" si="169"/>
        <v>West</v>
      </c>
      <c r="F1792" t="s">
        <v>37</v>
      </c>
      <c r="G1792" s="1">
        <v>45287</v>
      </c>
      <c r="H1792" s="1">
        <v>45299</v>
      </c>
      <c r="I1792" s="1">
        <f t="shared" si="167"/>
        <v>45299</v>
      </c>
      <c r="J1792" s="2">
        <v>16.7</v>
      </c>
      <c r="K1792" s="2">
        <v>336.83</v>
      </c>
      <c r="L1792" t="s">
        <v>47</v>
      </c>
      <c r="M1792" s="2">
        <v>2305</v>
      </c>
      <c r="N1792" s="2">
        <v>8</v>
      </c>
      <c r="O1792" s="2">
        <f t="shared" si="170"/>
        <v>288.125</v>
      </c>
      <c r="P1792" s="2">
        <f t="shared" si="171"/>
        <v>0.85540183475343645</v>
      </c>
      <c r="Q1792" s="3">
        <f t="shared" si="172"/>
        <v>0.14613015184381778</v>
      </c>
    </row>
    <row r="1793" spans="1:17" hidden="1" x14ac:dyDescent="0.25">
      <c r="A1793" t="s">
        <v>1874</v>
      </c>
      <c r="B1793" t="s">
        <v>12</v>
      </c>
      <c r="C1793" t="s">
        <v>44</v>
      </c>
      <c r="D1793" t="str">
        <f t="shared" si="168"/>
        <v>IL</v>
      </c>
      <c r="E1793" t="str">
        <f t="shared" si="169"/>
        <v>Midwest</v>
      </c>
      <c r="F1793" t="s">
        <v>32</v>
      </c>
      <c r="G1793" s="1">
        <v>45057</v>
      </c>
      <c r="H1793" s="1">
        <v>45061</v>
      </c>
      <c r="I1793" s="1">
        <f t="shared" si="167"/>
        <v>45061</v>
      </c>
      <c r="J1793" s="2">
        <v>17.8</v>
      </c>
      <c r="K1793" s="2">
        <v>263.77</v>
      </c>
      <c r="L1793" t="s">
        <v>15</v>
      </c>
      <c r="M1793" s="2">
        <v>1657</v>
      </c>
      <c r="N1793" s="2">
        <v>4</v>
      </c>
      <c r="O1793" s="2">
        <f t="shared" si="170"/>
        <v>414.25</v>
      </c>
      <c r="P1793" s="2">
        <f t="shared" si="171"/>
        <v>1.5704970239223568</v>
      </c>
      <c r="Q1793" s="3">
        <f t="shared" si="172"/>
        <v>0.15918527459263729</v>
      </c>
    </row>
    <row r="1794" spans="1:17" hidden="1" x14ac:dyDescent="0.25">
      <c r="A1794" t="s">
        <v>1875</v>
      </c>
      <c r="B1794" t="s">
        <v>51</v>
      </c>
      <c r="C1794" t="s">
        <v>57</v>
      </c>
      <c r="D1794" t="str">
        <f t="shared" si="168"/>
        <v>MN</v>
      </c>
      <c r="E1794" t="str">
        <f t="shared" si="169"/>
        <v>Midwest</v>
      </c>
      <c r="F1794" t="s">
        <v>14</v>
      </c>
      <c r="G1794" s="1">
        <v>45197</v>
      </c>
      <c r="H1794" s="1">
        <v>45202</v>
      </c>
      <c r="I1794" s="1">
        <f t="shared" ref="I1794:I1857" si="173">IF(H1794="", G1794 + N1794, H1794)</f>
        <v>45202</v>
      </c>
      <c r="J1794" s="2">
        <v>19.8</v>
      </c>
      <c r="K1794" s="2">
        <v>253.63</v>
      </c>
      <c r="L1794" t="s">
        <v>15</v>
      </c>
      <c r="M1794" s="2">
        <v>1855</v>
      </c>
      <c r="N1794" s="2">
        <v>5</v>
      </c>
      <c r="O1794" s="2">
        <f t="shared" si="170"/>
        <v>371</v>
      </c>
      <c r="P1794" s="2">
        <f t="shared" si="171"/>
        <v>1.4627607144265269</v>
      </c>
      <c r="Q1794" s="3">
        <f t="shared" si="172"/>
        <v>0.13672776280323451</v>
      </c>
    </row>
    <row r="1795" spans="1:17" x14ac:dyDescent="0.25">
      <c r="A1795" t="s">
        <v>1876</v>
      </c>
      <c r="B1795" t="s">
        <v>51</v>
      </c>
      <c r="C1795" t="s">
        <v>24</v>
      </c>
      <c r="D1795" t="str">
        <f t="shared" si="168"/>
        <v>WA</v>
      </c>
      <c r="E1795" t="str">
        <f t="shared" si="169"/>
        <v>West</v>
      </c>
      <c r="F1795" t="s">
        <v>59</v>
      </c>
      <c r="G1795" s="1">
        <v>45248</v>
      </c>
      <c r="H1795" s="1">
        <v>45252</v>
      </c>
      <c r="I1795" s="1">
        <f t="shared" si="173"/>
        <v>45252</v>
      </c>
      <c r="J1795" s="2">
        <v>35.9</v>
      </c>
      <c r="K1795" s="2">
        <v>220.77</v>
      </c>
      <c r="L1795" t="s">
        <v>15</v>
      </c>
      <c r="M1795" s="2">
        <v>1360</v>
      </c>
      <c r="N1795" s="2">
        <v>4</v>
      </c>
      <c r="O1795" s="2">
        <f t="shared" si="170"/>
        <v>340</v>
      </c>
      <c r="P1795" s="2">
        <f t="shared" si="171"/>
        <v>1.5400643203333786</v>
      </c>
      <c r="Q1795" s="3">
        <f t="shared" si="172"/>
        <v>0.16233088235294119</v>
      </c>
    </row>
    <row r="1796" spans="1:17" x14ac:dyDescent="0.25">
      <c r="A1796" t="s">
        <v>1877</v>
      </c>
      <c r="B1796" t="s">
        <v>27</v>
      </c>
      <c r="C1796" t="s">
        <v>36</v>
      </c>
      <c r="D1796" t="str">
        <f t="shared" si="168"/>
        <v>OR</v>
      </c>
      <c r="E1796" t="str">
        <f t="shared" si="169"/>
        <v>West</v>
      </c>
      <c r="F1796" t="s">
        <v>32</v>
      </c>
      <c r="G1796" s="1">
        <v>45147</v>
      </c>
      <c r="H1796" s="1">
        <v>45148</v>
      </c>
      <c r="I1796" s="1">
        <f t="shared" si="173"/>
        <v>45148</v>
      </c>
      <c r="J1796" s="2">
        <v>27.9</v>
      </c>
      <c r="K1796" s="2">
        <v>59.52</v>
      </c>
      <c r="L1796" t="s">
        <v>15</v>
      </c>
      <c r="M1796" s="2">
        <v>139</v>
      </c>
      <c r="N1796" s="2">
        <v>1</v>
      </c>
      <c r="O1796" s="2">
        <f t="shared" si="170"/>
        <v>139</v>
      </c>
      <c r="P1796" s="2">
        <f t="shared" si="171"/>
        <v>2.3353494623655915</v>
      </c>
      <c r="Q1796" s="3">
        <f t="shared" si="172"/>
        <v>0.42820143884892087</v>
      </c>
    </row>
    <row r="1797" spans="1:17" x14ac:dyDescent="0.25">
      <c r="A1797" t="s">
        <v>1878</v>
      </c>
      <c r="B1797" t="s">
        <v>20</v>
      </c>
      <c r="C1797" t="s">
        <v>36</v>
      </c>
      <c r="D1797" t="str">
        <f t="shared" si="168"/>
        <v>OR</v>
      </c>
      <c r="E1797" t="str">
        <f t="shared" si="169"/>
        <v>West</v>
      </c>
      <c r="F1797" t="s">
        <v>59</v>
      </c>
      <c r="G1797" s="1">
        <v>45251</v>
      </c>
      <c r="H1797" s="1">
        <v>45254</v>
      </c>
      <c r="I1797" s="1">
        <f t="shared" si="173"/>
        <v>45254</v>
      </c>
      <c r="J1797" s="2">
        <v>82.7</v>
      </c>
      <c r="K1797" s="2">
        <v>243.19</v>
      </c>
      <c r="L1797" t="s">
        <v>15</v>
      </c>
      <c r="M1797" s="2">
        <v>1023</v>
      </c>
      <c r="N1797" s="2">
        <v>3</v>
      </c>
      <c r="O1797" s="2">
        <f t="shared" si="170"/>
        <v>341</v>
      </c>
      <c r="P1797" s="2">
        <f t="shared" si="171"/>
        <v>1.4021958139726141</v>
      </c>
      <c r="Q1797" s="3">
        <f t="shared" si="172"/>
        <v>0.23772238514173999</v>
      </c>
    </row>
    <row r="1798" spans="1:17" hidden="1" x14ac:dyDescent="0.25">
      <c r="A1798" t="s">
        <v>1879</v>
      </c>
      <c r="B1798" t="s">
        <v>49</v>
      </c>
      <c r="C1798" t="s">
        <v>54</v>
      </c>
      <c r="D1798" t="str">
        <f t="shared" si="168"/>
        <v>FL</v>
      </c>
      <c r="E1798" t="str">
        <f t="shared" si="169"/>
        <v>Southeast</v>
      </c>
      <c r="F1798" t="s">
        <v>37</v>
      </c>
      <c r="G1798" s="1">
        <v>45102</v>
      </c>
      <c r="H1798" s="1">
        <v>45108</v>
      </c>
      <c r="I1798" s="1">
        <f t="shared" si="173"/>
        <v>45108</v>
      </c>
      <c r="J1798" s="2">
        <v>39.1</v>
      </c>
      <c r="K1798" s="2">
        <v>273.41000000000003</v>
      </c>
      <c r="L1798" t="s">
        <v>15</v>
      </c>
      <c r="M1798" s="2">
        <v>2104</v>
      </c>
      <c r="N1798" s="2">
        <v>6</v>
      </c>
      <c r="O1798" s="2">
        <f t="shared" si="170"/>
        <v>350.66666666666669</v>
      </c>
      <c r="P1798" s="2">
        <f t="shared" si="171"/>
        <v>1.2825670848420565</v>
      </c>
      <c r="Q1798" s="3">
        <f t="shared" si="172"/>
        <v>0.12994771863117871</v>
      </c>
    </row>
    <row r="1799" spans="1:17" hidden="1" x14ac:dyDescent="0.25">
      <c r="A1799" t="s">
        <v>1880</v>
      </c>
      <c r="B1799" t="s">
        <v>27</v>
      </c>
      <c r="C1799" t="s">
        <v>28</v>
      </c>
      <c r="D1799" t="str">
        <f t="shared" si="168"/>
        <v>TX</v>
      </c>
      <c r="E1799" t="str">
        <f t="shared" si="169"/>
        <v>Southwest</v>
      </c>
      <c r="F1799" t="s">
        <v>37</v>
      </c>
      <c r="G1799" s="1">
        <v>44932</v>
      </c>
      <c r="H1799" s="1">
        <v>44934</v>
      </c>
      <c r="I1799" s="1">
        <f t="shared" si="173"/>
        <v>44934</v>
      </c>
      <c r="J1799" s="2">
        <v>26.2</v>
      </c>
      <c r="K1799" s="2">
        <v>48.64</v>
      </c>
      <c r="L1799" t="s">
        <v>60</v>
      </c>
      <c r="M1799" s="2">
        <v>116</v>
      </c>
      <c r="N1799" s="2">
        <v>2</v>
      </c>
      <c r="O1799" s="2">
        <f t="shared" si="170"/>
        <v>58</v>
      </c>
      <c r="P1799" s="2">
        <f t="shared" si="171"/>
        <v>1.1924342105263157</v>
      </c>
      <c r="Q1799" s="3">
        <f t="shared" si="172"/>
        <v>0.41931034482758622</v>
      </c>
    </row>
    <row r="1800" spans="1:17" x14ac:dyDescent="0.25">
      <c r="A1800" t="s">
        <v>1881</v>
      </c>
      <c r="B1800" t="s">
        <v>12</v>
      </c>
      <c r="C1800" t="s">
        <v>81</v>
      </c>
      <c r="D1800" t="str">
        <f t="shared" si="168"/>
        <v>CO</v>
      </c>
      <c r="E1800" t="str">
        <f t="shared" si="169"/>
        <v>West</v>
      </c>
      <c r="F1800" t="s">
        <v>42</v>
      </c>
      <c r="G1800" s="1">
        <v>45285</v>
      </c>
      <c r="H1800" s="1">
        <v>45290</v>
      </c>
      <c r="I1800" s="1">
        <f t="shared" si="173"/>
        <v>45290</v>
      </c>
      <c r="J1800" s="2">
        <v>20.399999999999999</v>
      </c>
      <c r="K1800" s="2">
        <v>281.08</v>
      </c>
      <c r="L1800" t="s">
        <v>15</v>
      </c>
      <c r="M1800" s="2">
        <v>1809</v>
      </c>
      <c r="N1800" s="2">
        <v>5</v>
      </c>
      <c r="O1800" s="2">
        <f t="shared" si="170"/>
        <v>361.8</v>
      </c>
      <c r="P1800" s="2">
        <f t="shared" si="171"/>
        <v>1.2871780276077986</v>
      </c>
      <c r="Q1800" s="3">
        <f t="shared" si="172"/>
        <v>0.15537866224433389</v>
      </c>
    </row>
    <row r="1801" spans="1:17" hidden="1" x14ac:dyDescent="0.25">
      <c r="A1801" t="s">
        <v>1882</v>
      </c>
      <c r="B1801" t="s">
        <v>23</v>
      </c>
      <c r="C1801" t="s">
        <v>40</v>
      </c>
      <c r="D1801" t="str">
        <f t="shared" si="168"/>
        <v>MI</v>
      </c>
      <c r="E1801" t="str">
        <f t="shared" si="169"/>
        <v>Midwest</v>
      </c>
      <c r="F1801" t="s">
        <v>59</v>
      </c>
      <c r="G1801" s="1">
        <v>45214</v>
      </c>
      <c r="H1801" s="1">
        <v>45217</v>
      </c>
      <c r="I1801" s="1">
        <f t="shared" si="173"/>
        <v>45217</v>
      </c>
      <c r="J1801" s="2">
        <v>4.8</v>
      </c>
      <c r="K1801" s="2">
        <v>173.28</v>
      </c>
      <c r="L1801" t="s">
        <v>15</v>
      </c>
      <c r="M1801" s="2">
        <v>1478</v>
      </c>
      <c r="N1801" s="2">
        <v>3</v>
      </c>
      <c r="O1801" s="2">
        <f t="shared" si="170"/>
        <v>492.66666666666669</v>
      </c>
      <c r="P1801" s="2">
        <f t="shared" si="171"/>
        <v>2.8431825176977532</v>
      </c>
      <c r="Q1801" s="3">
        <f t="shared" si="172"/>
        <v>0.11723951285520974</v>
      </c>
    </row>
    <row r="1802" spans="1:17" x14ac:dyDescent="0.25">
      <c r="A1802" t="s">
        <v>1883</v>
      </c>
      <c r="B1802" t="s">
        <v>23</v>
      </c>
      <c r="C1802" t="s">
        <v>36</v>
      </c>
      <c r="D1802" t="str">
        <f t="shared" si="168"/>
        <v>OR</v>
      </c>
      <c r="E1802" t="str">
        <f t="shared" si="169"/>
        <v>West</v>
      </c>
      <c r="F1802" t="s">
        <v>59</v>
      </c>
      <c r="G1802" s="1">
        <v>45036</v>
      </c>
      <c r="H1802" s="1">
        <v>45042</v>
      </c>
      <c r="I1802" s="1">
        <f t="shared" si="173"/>
        <v>45042</v>
      </c>
      <c r="J1802" s="2">
        <v>6.4</v>
      </c>
      <c r="K1802" s="2">
        <v>219.55</v>
      </c>
      <c r="L1802" t="s">
        <v>15</v>
      </c>
      <c r="M1802" s="2">
        <v>1811</v>
      </c>
      <c r="N1802" s="2">
        <v>6</v>
      </c>
      <c r="O1802" s="2">
        <f t="shared" si="170"/>
        <v>301.83333333333331</v>
      </c>
      <c r="P1802" s="2">
        <f t="shared" si="171"/>
        <v>1.3747817505503681</v>
      </c>
      <c r="Q1802" s="3">
        <f t="shared" si="172"/>
        <v>0.12123136388735506</v>
      </c>
    </row>
    <row r="1803" spans="1:17" hidden="1" x14ac:dyDescent="0.25">
      <c r="A1803" t="s">
        <v>1884</v>
      </c>
      <c r="B1803" t="s">
        <v>39</v>
      </c>
      <c r="C1803" t="s">
        <v>54</v>
      </c>
      <c r="D1803" t="str">
        <f t="shared" si="168"/>
        <v>FL</v>
      </c>
      <c r="E1803" t="str">
        <f t="shared" si="169"/>
        <v>Southeast</v>
      </c>
      <c r="F1803" t="s">
        <v>42</v>
      </c>
      <c r="G1803" s="1">
        <v>45105</v>
      </c>
      <c r="H1803" s="1">
        <v>45109</v>
      </c>
      <c r="I1803" s="1">
        <f t="shared" si="173"/>
        <v>45109</v>
      </c>
      <c r="J1803" s="2">
        <v>25.4</v>
      </c>
      <c r="K1803" s="2">
        <v>171.77</v>
      </c>
      <c r="L1803" t="s">
        <v>15</v>
      </c>
      <c r="M1803" s="2">
        <v>1145</v>
      </c>
      <c r="N1803" s="2">
        <v>4</v>
      </c>
      <c r="O1803" s="2">
        <f t="shared" si="170"/>
        <v>286.25</v>
      </c>
      <c r="P1803" s="2">
        <f t="shared" si="171"/>
        <v>1.666472608720964</v>
      </c>
      <c r="Q1803" s="3">
        <f t="shared" si="172"/>
        <v>0.1500174672489083</v>
      </c>
    </row>
    <row r="1804" spans="1:17" x14ac:dyDescent="0.25">
      <c r="A1804" t="s">
        <v>1885</v>
      </c>
      <c r="B1804" t="s">
        <v>27</v>
      </c>
      <c r="C1804" t="s">
        <v>70</v>
      </c>
      <c r="D1804" t="str">
        <f t="shared" si="168"/>
        <v>CA</v>
      </c>
      <c r="E1804" t="str">
        <f t="shared" si="169"/>
        <v>West</v>
      </c>
      <c r="F1804" t="s">
        <v>42</v>
      </c>
      <c r="G1804" s="1">
        <v>45232</v>
      </c>
      <c r="H1804" s="1">
        <v>45237</v>
      </c>
      <c r="I1804" s="1">
        <f t="shared" si="173"/>
        <v>45237</v>
      </c>
      <c r="J1804" s="2">
        <v>15.2</v>
      </c>
      <c r="K1804" s="2">
        <v>322.73</v>
      </c>
      <c r="L1804" t="s">
        <v>15</v>
      </c>
      <c r="M1804" s="2">
        <v>2106</v>
      </c>
      <c r="N1804" s="2">
        <v>5</v>
      </c>
      <c r="O1804" s="2">
        <f t="shared" si="170"/>
        <v>421.2</v>
      </c>
      <c r="P1804" s="2">
        <f t="shared" si="171"/>
        <v>1.3051157314163542</v>
      </c>
      <c r="Q1804" s="3">
        <f t="shared" si="172"/>
        <v>0.1532431149097816</v>
      </c>
    </row>
    <row r="1805" spans="1:17" hidden="1" x14ac:dyDescent="0.25">
      <c r="A1805" t="s">
        <v>1886</v>
      </c>
      <c r="B1805" t="s">
        <v>27</v>
      </c>
      <c r="C1805" t="s">
        <v>21</v>
      </c>
      <c r="D1805" t="str">
        <f t="shared" si="168"/>
        <v>TX</v>
      </c>
      <c r="E1805" t="str">
        <f t="shared" si="169"/>
        <v>Southwest</v>
      </c>
      <c r="F1805" t="s">
        <v>14</v>
      </c>
      <c r="G1805" s="1">
        <v>45234</v>
      </c>
      <c r="H1805" s="1">
        <v>45236</v>
      </c>
      <c r="I1805" s="1">
        <f t="shared" si="173"/>
        <v>45236</v>
      </c>
      <c r="J1805" s="2">
        <v>19.5</v>
      </c>
      <c r="K1805" s="2">
        <v>123.49</v>
      </c>
      <c r="L1805" t="s">
        <v>15</v>
      </c>
      <c r="M1805" s="2">
        <v>629</v>
      </c>
      <c r="N1805" s="2">
        <v>2</v>
      </c>
      <c r="O1805" s="2">
        <f t="shared" si="170"/>
        <v>314.5</v>
      </c>
      <c r="P1805" s="2">
        <f t="shared" si="171"/>
        <v>2.5467649202364564</v>
      </c>
      <c r="Q1805" s="3">
        <f t="shared" si="172"/>
        <v>0.19632750397456278</v>
      </c>
    </row>
    <row r="1806" spans="1:17" x14ac:dyDescent="0.25">
      <c r="A1806" t="s">
        <v>1887</v>
      </c>
      <c r="B1806" t="s">
        <v>30</v>
      </c>
      <c r="C1806" t="s">
        <v>36</v>
      </c>
      <c r="D1806" t="str">
        <f t="shared" si="168"/>
        <v>OR</v>
      </c>
      <c r="E1806" t="str">
        <f t="shared" si="169"/>
        <v>West</v>
      </c>
      <c r="F1806" t="s">
        <v>32</v>
      </c>
      <c r="G1806" s="1">
        <v>45146</v>
      </c>
      <c r="H1806" s="1">
        <v>45150</v>
      </c>
      <c r="I1806" s="1">
        <f t="shared" si="173"/>
        <v>45150</v>
      </c>
      <c r="J1806" s="2">
        <v>25.1</v>
      </c>
      <c r="K1806" s="2">
        <v>296.48</v>
      </c>
      <c r="L1806" t="s">
        <v>15</v>
      </c>
      <c r="M1806" s="2">
        <v>1809</v>
      </c>
      <c r="N1806" s="2">
        <v>4</v>
      </c>
      <c r="O1806" s="2">
        <f t="shared" si="170"/>
        <v>452.25</v>
      </c>
      <c r="P1806" s="2">
        <f t="shared" si="171"/>
        <v>1.5253980032379924</v>
      </c>
      <c r="Q1806" s="3">
        <f t="shared" si="172"/>
        <v>0.16389165284687673</v>
      </c>
    </row>
    <row r="1807" spans="1:17" x14ac:dyDescent="0.25">
      <c r="A1807" t="s">
        <v>1888</v>
      </c>
      <c r="B1807" t="s">
        <v>23</v>
      </c>
      <c r="C1807" t="s">
        <v>70</v>
      </c>
      <c r="D1807" t="str">
        <f t="shared" si="168"/>
        <v>CA</v>
      </c>
      <c r="E1807" t="str">
        <f t="shared" si="169"/>
        <v>West</v>
      </c>
      <c r="F1807" t="s">
        <v>37</v>
      </c>
      <c r="G1807" s="1">
        <v>45254</v>
      </c>
      <c r="H1807" s="1">
        <v>45258</v>
      </c>
      <c r="I1807" s="1">
        <f t="shared" si="173"/>
        <v>45258</v>
      </c>
      <c r="J1807" s="2">
        <v>34</v>
      </c>
      <c r="K1807" s="2">
        <v>63.15</v>
      </c>
      <c r="L1807" t="s">
        <v>62</v>
      </c>
      <c r="M1807" s="2">
        <v>113</v>
      </c>
      <c r="N1807" s="2">
        <v>4</v>
      </c>
      <c r="O1807" s="2">
        <f t="shared" si="170"/>
        <v>28.25</v>
      </c>
      <c r="P1807" s="2">
        <f t="shared" si="171"/>
        <v>0.44734758511480605</v>
      </c>
      <c r="Q1807" s="3">
        <f t="shared" si="172"/>
        <v>0.55884955752212384</v>
      </c>
    </row>
    <row r="1808" spans="1:17" hidden="1" x14ac:dyDescent="0.25">
      <c r="A1808" t="s">
        <v>1889</v>
      </c>
      <c r="B1808" t="s">
        <v>30</v>
      </c>
      <c r="C1808" t="s">
        <v>28</v>
      </c>
      <c r="D1808" t="str">
        <f t="shared" si="168"/>
        <v>TX</v>
      </c>
      <c r="E1808" t="str">
        <f t="shared" si="169"/>
        <v>Southwest</v>
      </c>
      <c r="F1808" t="s">
        <v>18</v>
      </c>
      <c r="G1808" s="1">
        <v>44984</v>
      </c>
      <c r="H1808" s="1">
        <v>45002</v>
      </c>
      <c r="I1808" s="1">
        <f t="shared" si="173"/>
        <v>45002</v>
      </c>
      <c r="J1808" s="2">
        <v>25</v>
      </c>
      <c r="K1808" s="2">
        <v>381.58</v>
      </c>
      <c r="L1808" t="s">
        <v>47</v>
      </c>
      <c r="M1808" s="2">
        <v>2462</v>
      </c>
      <c r="N1808" s="2">
        <v>5</v>
      </c>
      <c r="O1808" s="2">
        <f t="shared" si="170"/>
        <v>492.4</v>
      </c>
      <c r="P1808" s="2">
        <f t="shared" si="171"/>
        <v>1.2904240264164788</v>
      </c>
      <c r="Q1808" s="3">
        <f t="shared" si="172"/>
        <v>0.15498781478472787</v>
      </c>
    </row>
    <row r="1809" spans="1:17" hidden="1" x14ac:dyDescent="0.25">
      <c r="A1809" t="s">
        <v>1890</v>
      </c>
      <c r="B1809" t="s">
        <v>39</v>
      </c>
      <c r="C1809" t="s">
        <v>40</v>
      </c>
      <c r="D1809" t="str">
        <f t="shared" si="168"/>
        <v>MI</v>
      </c>
      <c r="E1809" t="str">
        <f t="shared" si="169"/>
        <v>Midwest</v>
      </c>
      <c r="F1809" t="s">
        <v>25</v>
      </c>
      <c r="G1809" s="1">
        <v>45165</v>
      </c>
      <c r="H1809" s="1">
        <v>45168</v>
      </c>
      <c r="I1809" s="1">
        <f t="shared" si="173"/>
        <v>45168</v>
      </c>
      <c r="J1809" s="2">
        <v>5.3</v>
      </c>
      <c r="K1809" s="2">
        <v>73</v>
      </c>
      <c r="L1809" t="s">
        <v>15</v>
      </c>
      <c r="M1809" s="2">
        <v>503</v>
      </c>
      <c r="N1809" s="2">
        <v>3</v>
      </c>
      <c r="O1809" s="2">
        <f t="shared" si="170"/>
        <v>167.66666666666666</v>
      </c>
      <c r="P1809" s="2">
        <f t="shared" si="171"/>
        <v>2.2968036529680362</v>
      </c>
      <c r="Q1809" s="3">
        <f t="shared" si="172"/>
        <v>0.14512922465208747</v>
      </c>
    </row>
    <row r="1810" spans="1:17" hidden="1" x14ac:dyDescent="0.25">
      <c r="A1810" t="s">
        <v>1891</v>
      </c>
      <c r="B1810" t="s">
        <v>39</v>
      </c>
      <c r="C1810" t="s">
        <v>21</v>
      </c>
      <c r="D1810" t="str">
        <f t="shared" si="168"/>
        <v>TX</v>
      </c>
      <c r="E1810" t="str">
        <f t="shared" si="169"/>
        <v>Southwest</v>
      </c>
      <c r="F1810" t="s">
        <v>59</v>
      </c>
      <c r="G1810" s="1">
        <v>45001</v>
      </c>
      <c r="H1810" s="1">
        <v>45005</v>
      </c>
      <c r="I1810" s="1">
        <f t="shared" si="173"/>
        <v>45005</v>
      </c>
      <c r="J1810" s="2">
        <v>52</v>
      </c>
      <c r="K1810" s="2">
        <v>229.42</v>
      </c>
      <c r="L1810" t="s">
        <v>15</v>
      </c>
      <c r="M1810" s="2">
        <v>1460</v>
      </c>
      <c r="N1810" s="2">
        <v>4</v>
      </c>
      <c r="O1810" s="2">
        <f t="shared" si="170"/>
        <v>365</v>
      </c>
      <c r="P1810" s="2">
        <f t="shared" si="171"/>
        <v>1.5909685293348446</v>
      </c>
      <c r="Q1810" s="3">
        <f t="shared" si="172"/>
        <v>0.15713698630136985</v>
      </c>
    </row>
    <row r="1811" spans="1:17" x14ac:dyDescent="0.25">
      <c r="A1811" t="s">
        <v>1893</v>
      </c>
      <c r="B1811" t="s">
        <v>51</v>
      </c>
      <c r="C1811" t="s">
        <v>13</v>
      </c>
      <c r="D1811" t="str">
        <f t="shared" si="168"/>
        <v>CA</v>
      </c>
      <c r="E1811" t="str">
        <f t="shared" si="169"/>
        <v>West</v>
      </c>
      <c r="F1811" t="s">
        <v>37</v>
      </c>
      <c r="G1811" s="1">
        <v>44941</v>
      </c>
      <c r="H1811" s="1">
        <v>44945</v>
      </c>
      <c r="I1811" s="1">
        <f t="shared" si="173"/>
        <v>44945</v>
      </c>
      <c r="J1811" s="2">
        <v>17.3</v>
      </c>
      <c r="K1811" s="2">
        <v>73.25</v>
      </c>
      <c r="L1811" t="s">
        <v>62</v>
      </c>
      <c r="M1811" s="2">
        <v>489</v>
      </c>
      <c r="N1811" s="2">
        <v>4</v>
      </c>
      <c r="O1811" s="2">
        <f t="shared" si="170"/>
        <v>122.25</v>
      </c>
      <c r="P1811" s="2">
        <f t="shared" si="171"/>
        <v>1.6689419795221843</v>
      </c>
      <c r="Q1811" s="3">
        <f t="shared" si="172"/>
        <v>0.14979550102249489</v>
      </c>
    </row>
    <row r="1812" spans="1:17" x14ac:dyDescent="0.25">
      <c r="A1812" t="s">
        <v>1894</v>
      </c>
      <c r="B1812" t="s">
        <v>56</v>
      </c>
      <c r="C1812" t="s">
        <v>81</v>
      </c>
      <c r="D1812" t="str">
        <f t="shared" si="168"/>
        <v>CO</v>
      </c>
      <c r="E1812" t="str">
        <f t="shared" si="169"/>
        <v>West</v>
      </c>
      <c r="F1812" t="s">
        <v>37</v>
      </c>
      <c r="G1812" s="1">
        <v>45176</v>
      </c>
      <c r="H1812" s="1">
        <v>45178</v>
      </c>
      <c r="I1812" s="1">
        <f t="shared" si="173"/>
        <v>45178</v>
      </c>
      <c r="J1812" s="2">
        <v>38.9</v>
      </c>
      <c r="K1812" s="2">
        <v>101.69</v>
      </c>
      <c r="L1812" t="s">
        <v>15</v>
      </c>
      <c r="M1812" s="2">
        <v>491</v>
      </c>
      <c r="N1812" s="2">
        <v>2</v>
      </c>
      <c r="O1812" s="2">
        <f t="shared" si="170"/>
        <v>245.5</v>
      </c>
      <c r="P1812" s="2">
        <f t="shared" si="171"/>
        <v>2.4142000196676174</v>
      </c>
      <c r="Q1812" s="3">
        <f t="shared" si="172"/>
        <v>0.20710794297352342</v>
      </c>
    </row>
    <row r="1813" spans="1:17" hidden="1" x14ac:dyDescent="0.25">
      <c r="A1813" t="s">
        <v>1895</v>
      </c>
      <c r="B1813" t="s">
        <v>12</v>
      </c>
      <c r="C1813" t="s">
        <v>40</v>
      </c>
      <c r="D1813" t="str">
        <f t="shared" si="168"/>
        <v>MI</v>
      </c>
      <c r="E1813" t="str">
        <f t="shared" si="169"/>
        <v>Midwest</v>
      </c>
      <c r="F1813" t="s">
        <v>25</v>
      </c>
      <c r="G1813" s="1">
        <v>44975</v>
      </c>
      <c r="H1813" s="1">
        <v>44985</v>
      </c>
      <c r="I1813" s="1">
        <f t="shared" si="173"/>
        <v>44985</v>
      </c>
      <c r="J1813" s="2">
        <v>12.6</v>
      </c>
      <c r="K1813" s="2">
        <v>77.290000000000006</v>
      </c>
      <c r="L1813" t="s">
        <v>47</v>
      </c>
      <c r="M1813" s="2">
        <v>464</v>
      </c>
      <c r="N1813" s="2">
        <v>3</v>
      </c>
      <c r="O1813" s="2">
        <f t="shared" si="170"/>
        <v>154.66666666666666</v>
      </c>
      <c r="P1813" s="2">
        <f t="shared" si="171"/>
        <v>2.0011213179799023</v>
      </c>
      <c r="Q1813" s="3">
        <f t="shared" si="172"/>
        <v>0.16657327586206899</v>
      </c>
    </row>
    <row r="1814" spans="1:17" hidden="1" x14ac:dyDescent="0.25">
      <c r="A1814" t="s">
        <v>1897</v>
      </c>
      <c r="B1814" t="s">
        <v>35</v>
      </c>
      <c r="C1814" t="s">
        <v>17</v>
      </c>
      <c r="D1814" t="str">
        <f t="shared" si="168"/>
        <v>GA</v>
      </c>
      <c r="E1814" t="str">
        <f t="shared" si="169"/>
        <v>Southeast</v>
      </c>
      <c r="F1814" t="s">
        <v>18</v>
      </c>
      <c r="G1814" s="1">
        <v>45126</v>
      </c>
      <c r="H1814" s="1">
        <v>45131</v>
      </c>
      <c r="I1814" s="1">
        <f t="shared" si="173"/>
        <v>45131</v>
      </c>
      <c r="J1814" s="2">
        <v>7.7</v>
      </c>
      <c r="K1814" s="2">
        <v>272.22000000000003</v>
      </c>
      <c r="L1814" t="s">
        <v>15</v>
      </c>
      <c r="M1814" s="2">
        <v>1814</v>
      </c>
      <c r="N1814" s="2">
        <v>5</v>
      </c>
      <c r="O1814" s="2">
        <f t="shared" si="170"/>
        <v>362.8</v>
      </c>
      <c r="P1814" s="2">
        <f t="shared" si="171"/>
        <v>1.3327455734332525</v>
      </c>
      <c r="Q1814" s="3">
        <f t="shared" si="172"/>
        <v>0.1500661521499449</v>
      </c>
    </row>
    <row r="1815" spans="1:17" x14ac:dyDescent="0.25">
      <c r="A1815" t="s">
        <v>1898</v>
      </c>
      <c r="B1815" t="s">
        <v>49</v>
      </c>
      <c r="C1815" t="s">
        <v>36</v>
      </c>
      <c r="D1815" t="str">
        <f t="shared" si="168"/>
        <v>OR</v>
      </c>
      <c r="E1815" t="str">
        <f t="shared" si="169"/>
        <v>West</v>
      </c>
      <c r="F1815" t="s">
        <v>42</v>
      </c>
      <c r="G1815" s="1">
        <v>45063</v>
      </c>
      <c r="H1815" s="1">
        <v>45069</v>
      </c>
      <c r="I1815" s="1">
        <f t="shared" si="173"/>
        <v>45069</v>
      </c>
      <c r="J1815" s="2">
        <v>16.600000000000001</v>
      </c>
      <c r="K1815" s="2">
        <v>261.31</v>
      </c>
      <c r="L1815" t="s">
        <v>15</v>
      </c>
      <c r="M1815" s="2">
        <v>2220</v>
      </c>
      <c r="N1815" s="2">
        <v>6</v>
      </c>
      <c r="O1815" s="2">
        <f t="shared" si="170"/>
        <v>370</v>
      </c>
      <c r="P1815" s="2">
        <f t="shared" si="171"/>
        <v>1.4159427499904329</v>
      </c>
      <c r="Q1815" s="3">
        <f t="shared" si="172"/>
        <v>0.1177072072072072</v>
      </c>
    </row>
    <row r="1816" spans="1:17" x14ac:dyDescent="0.25">
      <c r="A1816" t="s">
        <v>1899</v>
      </c>
      <c r="B1816" t="s">
        <v>51</v>
      </c>
      <c r="C1816" t="s">
        <v>36</v>
      </c>
      <c r="D1816" t="str">
        <f t="shared" si="168"/>
        <v>OR</v>
      </c>
      <c r="E1816" t="str">
        <f t="shared" si="169"/>
        <v>West</v>
      </c>
      <c r="F1816" t="s">
        <v>59</v>
      </c>
      <c r="G1816" s="1">
        <v>45023</v>
      </c>
      <c r="H1816" s="1">
        <v>45029</v>
      </c>
      <c r="I1816" s="1">
        <f t="shared" si="173"/>
        <v>45029</v>
      </c>
      <c r="J1816" s="2">
        <v>20.8</v>
      </c>
      <c r="K1816" s="2">
        <v>289.2</v>
      </c>
      <c r="L1816" t="s">
        <v>15</v>
      </c>
      <c r="M1816" s="2">
        <v>2420</v>
      </c>
      <c r="N1816" s="2">
        <v>6</v>
      </c>
      <c r="O1816" s="2">
        <f t="shared" si="170"/>
        <v>403.33333333333331</v>
      </c>
      <c r="P1816" s="2">
        <f t="shared" si="171"/>
        <v>1.3946519133241124</v>
      </c>
      <c r="Q1816" s="3">
        <f t="shared" si="172"/>
        <v>0.11950413223140495</v>
      </c>
    </row>
    <row r="1817" spans="1:17" hidden="1" x14ac:dyDescent="0.25">
      <c r="A1817" t="s">
        <v>1900</v>
      </c>
      <c r="B1817" t="s">
        <v>27</v>
      </c>
      <c r="C1817" t="s">
        <v>17</v>
      </c>
      <c r="D1817" t="str">
        <f t="shared" si="168"/>
        <v>GA</v>
      </c>
      <c r="E1817" t="str">
        <f t="shared" si="169"/>
        <v>Southeast</v>
      </c>
      <c r="F1817" t="s">
        <v>37</v>
      </c>
      <c r="G1817" s="1">
        <v>44980</v>
      </c>
      <c r="H1817" s="1">
        <v>44987</v>
      </c>
      <c r="I1817" s="1">
        <f t="shared" si="173"/>
        <v>44987</v>
      </c>
      <c r="J1817" s="2">
        <v>6.6</v>
      </c>
      <c r="K1817" s="2">
        <v>81.819999999999993</v>
      </c>
      <c r="L1817" t="s">
        <v>47</v>
      </c>
      <c r="M1817" s="2">
        <v>613</v>
      </c>
      <c r="N1817" s="2">
        <v>5</v>
      </c>
      <c r="O1817" s="2">
        <f t="shared" si="170"/>
        <v>122.6</v>
      </c>
      <c r="P1817" s="2">
        <f t="shared" si="171"/>
        <v>1.4984111464189684</v>
      </c>
      <c r="Q1817" s="3">
        <f t="shared" si="172"/>
        <v>0.1334747145187602</v>
      </c>
    </row>
    <row r="1818" spans="1:17" x14ac:dyDescent="0.25">
      <c r="A1818" t="s">
        <v>1901</v>
      </c>
      <c r="B1818" t="s">
        <v>23</v>
      </c>
      <c r="C1818" t="s">
        <v>13</v>
      </c>
      <c r="D1818" t="str">
        <f t="shared" si="168"/>
        <v>CA</v>
      </c>
      <c r="E1818" t="str">
        <f t="shared" si="169"/>
        <v>West</v>
      </c>
      <c r="F1818" t="s">
        <v>42</v>
      </c>
      <c r="G1818" s="1">
        <v>45145</v>
      </c>
      <c r="H1818" s="1">
        <v>45151</v>
      </c>
      <c r="I1818" s="1">
        <f t="shared" si="173"/>
        <v>45151</v>
      </c>
      <c r="J1818" s="2">
        <v>21.5</v>
      </c>
      <c r="K1818" s="2">
        <v>293.41000000000003</v>
      </c>
      <c r="L1818" t="s">
        <v>15</v>
      </c>
      <c r="M1818" s="2">
        <v>2170</v>
      </c>
      <c r="N1818" s="2">
        <v>6</v>
      </c>
      <c r="O1818" s="2">
        <f t="shared" si="170"/>
        <v>361.66666666666669</v>
      </c>
      <c r="P1818" s="2">
        <f t="shared" si="171"/>
        <v>1.2326323801733636</v>
      </c>
      <c r="Q1818" s="3">
        <f t="shared" si="172"/>
        <v>0.13521198156682029</v>
      </c>
    </row>
    <row r="1819" spans="1:17" x14ac:dyDescent="0.25">
      <c r="A1819" t="s">
        <v>1902</v>
      </c>
      <c r="B1819" t="s">
        <v>12</v>
      </c>
      <c r="C1819" t="s">
        <v>70</v>
      </c>
      <c r="D1819" t="str">
        <f t="shared" si="168"/>
        <v>CA</v>
      </c>
      <c r="E1819" t="str">
        <f t="shared" si="169"/>
        <v>West</v>
      </c>
      <c r="F1819" t="s">
        <v>18</v>
      </c>
      <c r="G1819" s="1">
        <v>45134</v>
      </c>
      <c r="H1819" s="1">
        <v>45136</v>
      </c>
      <c r="I1819" s="1">
        <f t="shared" si="173"/>
        <v>45136</v>
      </c>
      <c r="J1819" s="2">
        <v>13.7</v>
      </c>
      <c r="K1819" s="2">
        <v>87.28</v>
      </c>
      <c r="L1819" t="s">
        <v>15</v>
      </c>
      <c r="M1819" s="2">
        <v>451</v>
      </c>
      <c r="N1819" s="2">
        <v>2</v>
      </c>
      <c r="O1819" s="2">
        <f t="shared" si="170"/>
        <v>225.5</v>
      </c>
      <c r="P1819" s="2">
        <f t="shared" si="171"/>
        <v>2.5836388634280478</v>
      </c>
      <c r="Q1819" s="3">
        <f t="shared" si="172"/>
        <v>0.19352549889135257</v>
      </c>
    </row>
    <row r="1820" spans="1:17" hidden="1" x14ac:dyDescent="0.25">
      <c r="A1820" t="s">
        <v>1903</v>
      </c>
      <c r="B1820" t="s">
        <v>51</v>
      </c>
      <c r="C1820" t="s">
        <v>28</v>
      </c>
      <c r="D1820" t="str">
        <f t="shared" si="168"/>
        <v>TX</v>
      </c>
      <c r="E1820" t="str">
        <f t="shared" si="169"/>
        <v>Southwest</v>
      </c>
      <c r="F1820" t="s">
        <v>37</v>
      </c>
      <c r="G1820" s="1">
        <v>45281</v>
      </c>
      <c r="H1820" s="1">
        <v>45299</v>
      </c>
      <c r="I1820" s="1">
        <f t="shared" si="173"/>
        <v>45299</v>
      </c>
      <c r="J1820" s="2">
        <v>16</v>
      </c>
      <c r="K1820" s="2">
        <v>158.75</v>
      </c>
      <c r="L1820" t="s">
        <v>47</v>
      </c>
      <c r="M1820" s="2">
        <v>1052</v>
      </c>
      <c r="N1820" s="2">
        <v>7</v>
      </c>
      <c r="O1820" s="2">
        <f t="shared" si="170"/>
        <v>150.28571428571428</v>
      </c>
      <c r="P1820" s="2">
        <f t="shared" si="171"/>
        <v>0.94668166479190097</v>
      </c>
      <c r="Q1820" s="3">
        <f t="shared" si="172"/>
        <v>0.15090304182509506</v>
      </c>
    </row>
    <row r="1821" spans="1:17" x14ac:dyDescent="0.25">
      <c r="A1821" t="s">
        <v>1904</v>
      </c>
      <c r="B1821" t="s">
        <v>49</v>
      </c>
      <c r="C1821" t="s">
        <v>36</v>
      </c>
      <c r="D1821" t="str">
        <f t="shared" si="168"/>
        <v>OR</v>
      </c>
      <c r="E1821" t="str">
        <f t="shared" si="169"/>
        <v>West</v>
      </c>
      <c r="F1821" t="s">
        <v>59</v>
      </c>
      <c r="G1821" s="1">
        <v>44953</v>
      </c>
      <c r="H1821" s="1">
        <v>44965</v>
      </c>
      <c r="I1821" s="1">
        <f t="shared" si="173"/>
        <v>44965</v>
      </c>
      <c r="J1821" s="2">
        <v>20</v>
      </c>
      <c r="K1821" s="2">
        <v>63.36</v>
      </c>
      <c r="L1821" t="s">
        <v>47</v>
      </c>
      <c r="M1821" s="2">
        <v>379</v>
      </c>
      <c r="N1821" s="2">
        <v>2</v>
      </c>
      <c r="O1821" s="2">
        <f t="shared" si="170"/>
        <v>189.5</v>
      </c>
      <c r="P1821" s="2">
        <f t="shared" si="171"/>
        <v>2.9908459595959598</v>
      </c>
      <c r="Q1821" s="3">
        <f t="shared" si="172"/>
        <v>0.16717678100263852</v>
      </c>
    </row>
    <row r="1822" spans="1:17" hidden="1" x14ac:dyDescent="0.25">
      <c r="A1822" t="s">
        <v>1905</v>
      </c>
      <c r="B1822" t="s">
        <v>30</v>
      </c>
      <c r="C1822" t="s">
        <v>52</v>
      </c>
      <c r="D1822" t="str">
        <f t="shared" ref="D1822:D1883" si="174">IF(C1822="Atlanta","GA",
IF(C1822="Boston","MA",
IF(C1822="Chicago","IL",
IF(C1822="Dallas","TX",
IF(C1822="Denver","CO",
IF(C1822="Detroit","MI",
IF(C1822="Houston","TX",
IF(C1822="Los Angeles","CA",
IF(C1822="Miami","FL",
IF(C1822="Minneapolis","MN",
IF(C1822="New York","NY",
IF(C1822="Phoenix","AZ",
IF(C1822="Portland","OR",
IF(C1822="San Francisco","CA",
IF(C1822="Seattle","WA","Unknown")))))))))))))))</f>
        <v>AZ</v>
      </c>
      <c r="E1822" t="str">
        <f t="shared" ref="E1822:E1883" si="175">IF(OR(D1822="NY",D1822="NJ",D1822="PA",D1822="MA",D1822="CT",D1822="RI",D1822="VT",D1822="NH",D1822="ME"),"Northeast",
IF(OR(D1822="FL",D1822="GA",D1822="AL",D1822="MS",D1822="SC",D1822="NC",D1822="TN",D1822="KY"),"Southeast",
IF(OR(D1822="IL",D1822="IN",D1822="OH",D1822="MI",D1822="WI",D1822="MN",D1822="IA",D1822="MO",D1822="KS",D1822="NE",D1822="ND",D1822="SD"),"Midwest",
IF(OR(D1822="TX",D1822="OK",D1822="NM",D1822="AZ"),"Southwest",
IF(OR(D1822="CA",D1822="OR",D1822="WA",D1822="NV",D1822="CO",D1822="UT",D1822="ID",D1822="MT",D1822="WY",D1822="AK",D1822="HI"),"West","Other")))))</f>
        <v>Southwest</v>
      </c>
      <c r="F1822" t="s">
        <v>18</v>
      </c>
      <c r="G1822" s="1">
        <v>44997</v>
      </c>
      <c r="H1822" s="1">
        <v>45002</v>
      </c>
      <c r="I1822" s="1">
        <f t="shared" si="173"/>
        <v>45002</v>
      </c>
      <c r="J1822" s="2">
        <v>4.2</v>
      </c>
      <c r="K1822" s="2">
        <v>266.62</v>
      </c>
      <c r="L1822" t="s">
        <v>15</v>
      </c>
      <c r="M1822" s="2">
        <v>1931</v>
      </c>
      <c r="N1822" s="2">
        <v>5</v>
      </c>
      <c r="O1822" s="2">
        <f t="shared" ref="O1822:O1883" si="176">M1822/N1822</f>
        <v>386.2</v>
      </c>
      <c r="P1822" s="2">
        <f t="shared" ref="P1822:P1883" si="177">O1822/K1822</f>
        <v>1.4485034881104193</v>
      </c>
      <c r="Q1822" s="3">
        <f t="shared" ref="Q1822:Q1883" si="178">K1822/M1822</f>
        <v>0.13807353702744693</v>
      </c>
    </row>
    <row r="1823" spans="1:17" hidden="1" x14ac:dyDescent="0.25">
      <c r="A1823" t="s">
        <v>1906</v>
      </c>
      <c r="B1823" t="s">
        <v>30</v>
      </c>
      <c r="C1823" t="s">
        <v>57</v>
      </c>
      <c r="D1823" t="str">
        <f t="shared" si="174"/>
        <v>MN</v>
      </c>
      <c r="E1823" t="str">
        <f t="shared" si="175"/>
        <v>Midwest</v>
      </c>
      <c r="F1823" t="s">
        <v>14</v>
      </c>
      <c r="G1823" s="1">
        <v>45068</v>
      </c>
      <c r="H1823" s="1">
        <v>45076</v>
      </c>
      <c r="I1823" s="1">
        <f t="shared" si="173"/>
        <v>45076</v>
      </c>
      <c r="J1823" s="2">
        <v>12.4</v>
      </c>
      <c r="K1823" s="2">
        <v>345.97</v>
      </c>
      <c r="L1823" t="s">
        <v>15</v>
      </c>
      <c r="M1823" s="2">
        <v>2449</v>
      </c>
      <c r="N1823" s="2">
        <v>8</v>
      </c>
      <c r="O1823" s="2">
        <f t="shared" si="176"/>
        <v>306.125</v>
      </c>
      <c r="P1823" s="2">
        <f t="shared" si="177"/>
        <v>0.88483105471572676</v>
      </c>
      <c r="Q1823" s="3">
        <f t="shared" si="178"/>
        <v>0.14126990608411596</v>
      </c>
    </row>
    <row r="1824" spans="1:17" hidden="1" x14ac:dyDescent="0.25">
      <c r="A1824" t="s">
        <v>1907</v>
      </c>
      <c r="B1824" t="s">
        <v>39</v>
      </c>
      <c r="C1824" t="s">
        <v>17</v>
      </c>
      <c r="D1824" t="str">
        <f t="shared" si="174"/>
        <v>GA</v>
      </c>
      <c r="E1824" t="str">
        <f t="shared" si="175"/>
        <v>Southeast</v>
      </c>
      <c r="F1824" t="s">
        <v>59</v>
      </c>
      <c r="G1824" s="1">
        <v>44964</v>
      </c>
      <c r="H1824" s="1">
        <v>44968</v>
      </c>
      <c r="I1824" s="1">
        <f t="shared" si="173"/>
        <v>44968</v>
      </c>
      <c r="J1824" s="2">
        <v>15.6</v>
      </c>
      <c r="K1824" s="2">
        <v>116.02</v>
      </c>
      <c r="L1824" t="s">
        <v>15</v>
      </c>
      <c r="M1824" s="2">
        <v>800</v>
      </c>
      <c r="N1824" s="2">
        <v>4</v>
      </c>
      <c r="O1824" s="2">
        <f t="shared" si="176"/>
        <v>200</v>
      </c>
      <c r="P1824" s="2">
        <f t="shared" si="177"/>
        <v>1.7238407171177383</v>
      </c>
      <c r="Q1824" s="3">
        <f t="shared" si="178"/>
        <v>0.14502499999999999</v>
      </c>
    </row>
    <row r="1825" spans="1:17" hidden="1" x14ac:dyDescent="0.25">
      <c r="A1825" t="s">
        <v>1908</v>
      </c>
      <c r="B1825" t="s">
        <v>27</v>
      </c>
      <c r="C1825" t="s">
        <v>28</v>
      </c>
      <c r="D1825" t="str">
        <f t="shared" si="174"/>
        <v>TX</v>
      </c>
      <c r="E1825" t="str">
        <f t="shared" si="175"/>
        <v>Southwest</v>
      </c>
      <c r="F1825" t="s">
        <v>59</v>
      </c>
      <c r="G1825" s="1">
        <v>45130</v>
      </c>
      <c r="H1825" s="1">
        <v>45133</v>
      </c>
      <c r="I1825" s="1">
        <f t="shared" si="173"/>
        <v>45133</v>
      </c>
      <c r="J1825" s="2">
        <v>43.4</v>
      </c>
      <c r="K1825" s="2">
        <v>196.44</v>
      </c>
      <c r="L1825" t="s">
        <v>15</v>
      </c>
      <c r="M1825" s="2">
        <v>1323</v>
      </c>
      <c r="N1825" s="2">
        <v>3</v>
      </c>
      <c r="O1825" s="2">
        <f t="shared" si="176"/>
        <v>441</v>
      </c>
      <c r="P1825" s="2">
        <f t="shared" si="177"/>
        <v>2.2449602932193038</v>
      </c>
      <c r="Q1825" s="3">
        <f t="shared" si="178"/>
        <v>0.14848072562358278</v>
      </c>
    </row>
    <row r="1826" spans="1:17" hidden="1" x14ac:dyDescent="0.25">
      <c r="A1826" t="s">
        <v>1909</v>
      </c>
      <c r="B1826" t="s">
        <v>49</v>
      </c>
      <c r="C1826" t="s">
        <v>40</v>
      </c>
      <c r="D1826" t="str">
        <f t="shared" si="174"/>
        <v>MI</v>
      </c>
      <c r="E1826" t="str">
        <f t="shared" si="175"/>
        <v>Midwest</v>
      </c>
      <c r="F1826" t="s">
        <v>25</v>
      </c>
      <c r="G1826" s="1">
        <v>45077</v>
      </c>
      <c r="H1826" s="1">
        <v>45082</v>
      </c>
      <c r="I1826" s="1">
        <f t="shared" si="173"/>
        <v>45082</v>
      </c>
      <c r="J1826" s="2">
        <v>46.6</v>
      </c>
      <c r="K1826" s="2">
        <v>122.94</v>
      </c>
      <c r="L1826" t="s">
        <v>15</v>
      </c>
      <c r="M1826" s="2">
        <v>510</v>
      </c>
      <c r="N1826" s="2">
        <v>5</v>
      </c>
      <c r="O1826" s="2">
        <f t="shared" si="176"/>
        <v>102</v>
      </c>
      <c r="P1826" s="2">
        <f t="shared" si="177"/>
        <v>0.82967301122498782</v>
      </c>
      <c r="Q1826" s="3">
        <f t="shared" si="178"/>
        <v>0.24105882352941177</v>
      </c>
    </row>
    <row r="1827" spans="1:17" x14ac:dyDescent="0.25">
      <c r="A1827" t="s">
        <v>1910</v>
      </c>
      <c r="B1827" t="s">
        <v>51</v>
      </c>
      <c r="C1827" t="s">
        <v>13</v>
      </c>
      <c r="D1827" t="str">
        <f t="shared" si="174"/>
        <v>CA</v>
      </c>
      <c r="E1827" t="str">
        <f t="shared" si="175"/>
        <v>West</v>
      </c>
      <c r="F1827" t="s">
        <v>59</v>
      </c>
      <c r="G1827" s="1">
        <v>45254</v>
      </c>
      <c r="H1827" s="1">
        <v>45257</v>
      </c>
      <c r="I1827" s="1">
        <f t="shared" si="173"/>
        <v>45257</v>
      </c>
      <c r="J1827" s="2">
        <v>9.5</v>
      </c>
      <c r="K1827" s="2">
        <v>76.52</v>
      </c>
      <c r="L1827" t="s">
        <v>15</v>
      </c>
      <c r="M1827" s="2">
        <v>465</v>
      </c>
      <c r="N1827" s="2">
        <v>3</v>
      </c>
      <c r="O1827" s="2">
        <f t="shared" si="176"/>
        <v>155</v>
      </c>
      <c r="P1827" s="2">
        <f t="shared" si="177"/>
        <v>2.0256142185049661</v>
      </c>
      <c r="Q1827" s="3">
        <f t="shared" si="178"/>
        <v>0.16455913978494624</v>
      </c>
    </row>
    <row r="1828" spans="1:17" hidden="1" x14ac:dyDescent="0.25">
      <c r="A1828" t="s">
        <v>1911</v>
      </c>
      <c r="B1828" t="s">
        <v>20</v>
      </c>
      <c r="C1828" t="s">
        <v>44</v>
      </c>
      <c r="D1828" t="str">
        <f t="shared" si="174"/>
        <v>IL</v>
      </c>
      <c r="E1828" t="str">
        <f t="shared" si="175"/>
        <v>Midwest</v>
      </c>
      <c r="F1828" t="s">
        <v>25</v>
      </c>
      <c r="G1828" s="1">
        <v>44940</v>
      </c>
      <c r="H1828" s="1">
        <v>44944</v>
      </c>
      <c r="I1828" s="1">
        <f t="shared" si="173"/>
        <v>44944</v>
      </c>
      <c r="J1828" s="2">
        <v>16.100000000000001</v>
      </c>
      <c r="K1828" s="2">
        <v>105.58</v>
      </c>
      <c r="L1828" t="s">
        <v>15</v>
      </c>
      <c r="M1828" s="2">
        <v>664</v>
      </c>
      <c r="N1828" s="2">
        <v>4</v>
      </c>
      <c r="O1828" s="2">
        <f t="shared" si="176"/>
        <v>166</v>
      </c>
      <c r="P1828" s="2">
        <f t="shared" si="177"/>
        <v>1.5722674749005494</v>
      </c>
      <c r="Q1828" s="3">
        <f t="shared" si="178"/>
        <v>0.15900602409638553</v>
      </c>
    </row>
    <row r="1829" spans="1:17" hidden="1" x14ac:dyDescent="0.25">
      <c r="A1829" t="s">
        <v>1912</v>
      </c>
      <c r="B1829" t="s">
        <v>27</v>
      </c>
      <c r="C1829" t="s">
        <v>31</v>
      </c>
      <c r="D1829" t="str">
        <f t="shared" si="174"/>
        <v>NY</v>
      </c>
      <c r="E1829" t="str">
        <f t="shared" si="175"/>
        <v>Northeast</v>
      </c>
      <c r="F1829" t="s">
        <v>32</v>
      </c>
      <c r="G1829" s="1">
        <v>45118</v>
      </c>
      <c r="H1829" s="1">
        <v>45124</v>
      </c>
      <c r="I1829" s="1">
        <f t="shared" si="173"/>
        <v>45124</v>
      </c>
      <c r="J1829" s="2">
        <v>88.9</v>
      </c>
      <c r="K1829" s="2">
        <v>424.24</v>
      </c>
      <c r="L1829" t="s">
        <v>15</v>
      </c>
      <c r="M1829" s="2">
        <v>2356</v>
      </c>
      <c r="N1829" s="2">
        <v>6</v>
      </c>
      <c r="O1829" s="2">
        <f t="shared" si="176"/>
        <v>392.66666666666669</v>
      </c>
      <c r="P1829" s="2">
        <f t="shared" si="177"/>
        <v>0.92557671758124338</v>
      </c>
      <c r="Q1829" s="3">
        <f t="shared" si="178"/>
        <v>0.1800679117147708</v>
      </c>
    </row>
    <row r="1830" spans="1:17" hidden="1" x14ac:dyDescent="0.25">
      <c r="A1830" t="s">
        <v>1913</v>
      </c>
      <c r="B1830" t="s">
        <v>12</v>
      </c>
      <c r="C1830" t="s">
        <v>31</v>
      </c>
      <c r="D1830" t="str">
        <f t="shared" si="174"/>
        <v>NY</v>
      </c>
      <c r="E1830" t="str">
        <f t="shared" si="175"/>
        <v>Northeast</v>
      </c>
      <c r="F1830" t="s">
        <v>59</v>
      </c>
      <c r="G1830" s="1">
        <v>45081</v>
      </c>
      <c r="H1830" s="1">
        <v>45084</v>
      </c>
      <c r="I1830" s="1">
        <f t="shared" si="173"/>
        <v>45084</v>
      </c>
      <c r="J1830" s="2">
        <v>24.8</v>
      </c>
      <c r="K1830" s="2">
        <v>140.88</v>
      </c>
      <c r="L1830" t="s">
        <v>60</v>
      </c>
      <c r="M1830" s="2">
        <v>944</v>
      </c>
      <c r="N1830" s="2">
        <v>3</v>
      </c>
      <c r="O1830" s="2">
        <f t="shared" si="176"/>
        <v>314.66666666666669</v>
      </c>
      <c r="P1830" s="2">
        <f t="shared" si="177"/>
        <v>2.2335794056407345</v>
      </c>
      <c r="Q1830" s="3">
        <f t="shared" si="178"/>
        <v>0.14923728813559323</v>
      </c>
    </row>
    <row r="1831" spans="1:17" x14ac:dyDescent="0.25">
      <c r="A1831" t="s">
        <v>1914</v>
      </c>
      <c r="B1831" t="s">
        <v>20</v>
      </c>
      <c r="C1831" t="s">
        <v>81</v>
      </c>
      <c r="D1831" t="str">
        <f t="shared" si="174"/>
        <v>CO</v>
      </c>
      <c r="E1831" t="str">
        <f t="shared" si="175"/>
        <v>West</v>
      </c>
      <c r="F1831" t="s">
        <v>37</v>
      </c>
      <c r="G1831" s="1">
        <v>45227</v>
      </c>
      <c r="H1831" s="1">
        <v>45235</v>
      </c>
      <c r="I1831" s="1">
        <f t="shared" si="173"/>
        <v>45235</v>
      </c>
      <c r="J1831" s="2">
        <v>18.100000000000001</v>
      </c>
      <c r="K1831" s="2">
        <v>242.86</v>
      </c>
      <c r="L1831" t="s">
        <v>15</v>
      </c>
      <c r="M1831" s="2">
        <v>1746</v>
      </c>
      <c r="N1831" s="2">
        <v>8</v>
      </c>
      <c r="O1831" s="2">
        <f t="shared" si="176"/>
        <v>218.25</v>
      </c>
      <c r="P1831" s="2">
        <f t="shared" si="177"/>
        <v>0.89866589804825825</v>
      </c>
      <c r="Q1831" s="3">
        <f t="shared" si="178"/>
        <v>0.13909507445589919</v>
      </c>
    </row>
    <row r="1832" spans="1:17" x14ac:dyDescent="0.25">
      <c r="A1832" t="s">
        <v>1915</v>
      </c>
      <c r="B1832" t="s">
        <v>39</v>
      </c>
      <c r="C1832" t="s">
        <v>36</v>
      </c>
      <c r="D1832" t="str">
        <f t="shared" si="174"/>
        <v>OR</v>
      </c>
      <c r="E1832" t="str">
        <f t="shared" si="175"/>
        <v>West</v>
      </c>
      <c r="F1832" t="s">
        <v>42</v>
      </c>
      <c r="G1832" s="1">
        <v>44992</v>
      </c>
      <c r="H1832" s="1">
        <v>44996</v>
      </c>
      <c r="I1832" s="1">
        <f t="shared" si="173"/>
        <v>44996</v>
      </c>
      <c r="J1832" s="2">
        <v>29.7</v>
      </c>
      <c r="K1832" s="2">
        <v>271.76</v>
      </c>
      <c r="L1832" t="s">
        <v>15</v>
      </c>
      <c r="M1832" s="2">
        <v>2067</v>
      </c>
      <c r="N1832" s="2">
        <v>4</v>
      </c>
      <c r="O1832" s="2">
        <f t="shared" si="176"/>
        <v>516.75</v>
      </c>
      <c r="P1832" s="2">
        <f t="shared" si="177"/>
        <v>1.9014939652634679</v>
      </c>
      <c r="Q1832" s="3">
        <f t="shared" si="178"/>
        <v>0.13147556845670053</v>
      </c>
    </row>
    <row r="1833" spans="1:17" hidden="1" x14ac:dyDescent="0.25">
      <c r="A1833" t="s">
        <v>1916</v>
      </c>
      <c r="B1833" t="s">
        <v>23</v>
      </c>
      <c r="C1833" t="s">
        <v>46</v>
      </c>
      <c r="D1833" t="str">
        <f t="shared" si="174"/>
        <v>MA</v>
      </c>
      <c r="E1833" t="str">
        <f t="shared" si="175"/>
        <v>Northeast</v>
      </c>
      <c r="F1833" t="s">
        <v>32</v>
      </c>
      <c r="G1833" s="1">
        <v>45047</v>
      </c>
      <c r="H1833" s="1">
        <v>45051</v>
      </c>
      <c r="I1833" s="1">
        <f t="shared" si="173"/>
        <v>45051</v>
      </c>
      <c r="J1833" s="2">
        <v>5404.2</v>
      </c>
      <c r="K1833" s="2">
        <v>226.51</v>
      </c>
      <c r="L1833" t="s">
        <v>15</v>
      </c>
      <c r="M1833" s="2">
        <v>1053</v>
      </c>
      <c r="N1833" s="2">
        <v>4</v>
      </c>
      <c r="O1833" s="2">
        <f t="shared" si="176"/>
        <v>263.25</v>
      </c>
      <c r="P1833" s="2">
        <f t="shared" si="177"/>
        <v>1.1622003443556577</v>
      </c>
      <c r="Q1833" s="3">
        <f t="shared" si="178"/>
        <v>0.21510921177587844</v>
      </c>
    </row>
    <row r="1834" spans="1:17" x14ac:dyDescent="0.25">
      <c r="A1834" t="s">
        <v>1917</v>
      </c>
      <c r="B1834" t="s">
        <v>35</v>
      </c>
      <c r="C1834" t="s">
        <v>70</v>
      </c>
      <c r="D1834" t="str">
        <f t="shared" si="174"/>
        <v>CA</v>
      </c>
      <c r="E1834" t="str">
        <f t="shared" si="175"/>
        <v>West</v>
      </c>
      <c r="F1834" t="s">
        <v>25</v>
      </c>
      <c r="G1834" s="1">
        <v>45202</v>
      </c>
      <c r="H1834" s="1">
        <v>45204</v>
      </c>
      <c r="I1834" s="1">
        <f t="shared" si="173"/>
        <v>45204</v>
      </c>
      <c r="J1834" s="2">
        <v>32.200000000000003</v>
      </c>
      <c r="K1834" s="2">
        <v>96.92</v>
      </c>
      <c r="L1834" t="s">
        <v>15</v>
      </c>
      <c r="M1834" s="2">
        <v>447</v>
      </c>
      <c r="N1834" s="2">
        <v>2</v>
      </c>
      <c r="O1834" s="2">
        <f t="shared" si="176"/>
        <v>223.5</v>
      </c>
      <c r="P1834" s="2">
        <f t="shared" si="177"/>
        <v>2.3060255881139082</v>
      </c>
      <c r="Q1834" s="3">
        <f t="shared" si="178"/>
        <v>0.21682326621923939</v>
      </c>
    </row>
    <row r="1835" spans="1:17" hidden="1" x14ac:dyDescent="0.25">
      <c r="A1835" t="s">
        <v>1918</v>
      </c>
      <c r="B1835" t="s">
        <v>56</v>
      </c>
      <c r="C1835" t="s">
        <v>21</v>
      </c>
      <c r="D1835" t="str">
        <f t="shared" si="174"/>
        <v>TX</v>
      </c>
      <c r="E1835" t="str">
        <f t="shared" si="175"/>
        <v>Southwest</v>
      </c>
      <c r="F1835" t="s">
        <v>25</v>
      </c>
      <c r="G1835" s="1">
        <v>44932</v>
      </c>
      <c r="H1835" s="1">
        <v>44936</v>
      </c>
      <c r="I1835" s="1">
        <f t="shared" si="173"/>
        <v>44936</v>
      </c>
      <c r="J1835" s="2">
        <v>119.7</v>
      </c>
      <c r="K1835" s="2">
        <v>390.46</v>
      </c>
      <c r="L1835" t="s">
        <v>15</v>
      </c>
      <c r="M1835" s="2">
        <v>1834</v>
      </c>
      <c r="N1835" s="2">
        <v>4</v>
      </c>
      <c r="O1835" s="2">
        <f t="shared" si="176"/>
        <v>458.5</v>
      </c>
      <c r="P1835" s="2">
        <f t="shared" si="177"/>
        <v>1.1742560057368232</v>
      </c>
      <c r="Q1835" s="3">
        <f t="shared" si="178"/>
        <v>0.21290076335877861</v>
      </c>
    </row>
    <row r="1836" spans="1:17" hidden="1" x14ac:dyDescent="0.25">
      <c r="A1836" t="s">
        <v>1919</v>
      </c>
      <c r="B1836" t="s">
        <v>23</v>
      </c>
      <c r="C1836" t="s">
        <v>44</v>
      </c>
      <c r="D1836" t="str">
        <f t="shared" si="174"/>
        <v>IL</v>
      </c>
      <c r="E1836" t="str">
        <f t="shared" si="175"/>
        <v>Midwest</v>
      </c>
      <c r="F1836" t="s">
        <v>25</v>
      </c>
      <c r="G1836" s="1">
        <v>45159</v>
      </c>
      <c r="H1836" s="1">
        <v>45162</v>
      </c>
      <c r="I1836" s="1">
        <f t="shared" si="173"/>
        <v>45162</v>
      </c>
      <c r="J1836" s="2">
        <v>28.4</v>
      </c>
      <c r="K1836" s="2">
        <v>117.74</v>
      </c>
      <c r="L1836" t="s">
        <v>62</v>
      </c>
      <c r="M1836" s="2">
        <v>677</v>
      </c>
      <c r="N1836" s="2">
        <v>3</v>
      </c>
      <c r="O1836" s="2">
        <f t="shared" si="176"/>
        <v>225.66666666666666</v>
      </c>
      <c r="P1836" s="2">
        <f t="shared" si="177"/>
        <v>1.9166525111828323</v>
      </c>
      <c r="Q1836" s="3">
        <f t="shared" si="178"/>
        <v>0.17391432791728212</v>
      </c>
    </row>
    <row r="1837" spans="1:17" hidden="1" x14ac:dyDescent="0.25">
      <c r="A1837" t="s">
        <v>1920</v>
      </c>
      <c r="B1837" t="s">
        <v>20</v>
      </c>
      <c r="C1837" t="s">
        <v>31</v>
      </c>
      <c r="D1837" t="str">
        <f t="shared" si="174"/>
        <v>NY</v>
      </c>
      <c r="E1837" t="str">
        <f t="shared" si="175"/>
        <v>Northeast</v>
      </c>
      <c r="F1837" t="s">
        <v>42</v>
      </c>
      <c r="G1837" s="1">
        <v>45235</v>
      </c>
      <c r="H1837" s="1">
        <v>45241</v>
      </c>
      <c r="I1837" s="1">
        <f t="shared" si="173"/>
        <v>45241</v>
      </c>
      <c r="J1837" s="2">
        <v>17.3</v>
      </c>
      <c r="K1837" s="2">
        <v>309.39</v>
      </c>
      <c r="L1837" t="s">
        <v>15</v>
      </c>
      <c r="M1837" s="2">
        <v>1780</v>
      </c>
      <c r="N1837" s="2">
        <v>6</v>
      </c>
      <c r="O1837" s="2">
        <f t="shared" si="176"/>
        <v>296.66666666666669</v>
      </c>
      <c r="P1837" s="2">
        <f t="shared" si="177"/>
        <v>0.95887606796168812</v>
      </c>
      <c r="Q1837" s="3">
        <f t="shared" si="178"/>
        <v>0.17381460674157304</v>
      </c>
    </row>
    <row r="1838" spans="1:17" hidden="1" x14ac:dyDescent="0.25">
      <c r="A1838" t="s">
        <v>1921</v>
      </c>
      <c r="B1838" t="s">
        <v>35</v>
      </c>
      <c r="C1838" t="s">
        <v>40</v>
      </c>
      <c r="D1838" t="str">
        <f t="shared" si="174"/>
        <v>MI</v>
      </c>
      <c r="E1838" t="str">
        <f t="shared" si="175"/>
        <v>Midwest</v>
      </c>
      <c r="F1838" t="s">
        <v>14</v>
      </c>
      <c r="G1838" s="1">
        <v>45261</v>
      </c>
      <c r="H1838" s="1">
        <v>45263</v>
      </c>
      <c r="I1838" s="1">
        <f t="shared" si="173"/>
        <v>45263</v>
      </c>
      <c r="J1838" s="2">
        <v>13.8</v>
      </c>
      <c r="K1838" s="2">
        <v>63.06</v>
      </c>
      <c r="L1838" t="s">
        <v>15</v>
      </c>
      <c r="M1838" s="2">
        <v>283</v>
      </c>
      <c r="N1838" s="2">
        <v>2</v>
      </c>
      <c r="O1838" s="2">
        <f t="shared" si="176"/>
        <v>141.5</v>
      </c>
      <c r="P1838" s="2">
        <f t="shared" si="177"/>
        <v>2.2438947034570251</v>
      </c>
      <c r="Q1838" s="3">
        <f t="shared" si="178"/>
        <v>0.22282685512367492</v>
      </c>
    </row>
    <row r="1839" spans="1:17" hidden="1" x14ac:dyDescent="0.25">
      <c r="A1839" t="s">
        <v>1922</v>
      </c>
      <c r="B1839" t="s">
        <v>30</v>
      </c>
      <c r="C1839" t="s">
        <v>21</v>
      </c>
      <c r="D1839" t="str">
        <f t="shared" si="174"/>
        <v>TX</v>
      </c>
      <c r="E1839" t="str">
        <f t="shared" si="175"/>
        <v>Southwest</v>
      </c>
      <c r="F1839" t="s">
        <v>25</v>
      </c>
      <c r="G1839" s="1">
        <v>45126</v>
      </c>
      <c r="H1839" s="1">
        <v>45131</v>
      </c>
      <c r="I1839" s="1">
        <f t="shared" si="173"/>
        <v>45131</v>
      </c>
      <c r="J1839" s="2">
        <v>79.3</v>
      </c>
      <c r="K1839" s="2">
        <v>348.67</v>
      </c>
      <c r="L1839" t="s">
        <v>15</v>
      </c>
      <c r="M1839" s="2">
        <v>2393</v>
      </c>
      <c r="N1839" s="2">
        <v>5</v>
      </c>
      <c r="O1839" s="2">
        <f t="shared" si="176"/>
        <v>478.6</v>
      </c>
      <c r="P1839" s="2">
        <f t="shared" si="177"/>
        <v>1.3726446209883272</v>
      </c>
      <c r="Q1839" s="3">
        <f t="shared" si="178"/>
        <v>0.14570413706644381</v>
      </c>
    </row>
    <row r="1840" spans="1:17" x14ac:dyDescent="0.25">
      <c r="A1840" t="s">
        <v>1923</v>
      </c>
      <c r="B1840" t="s">
        <v>35</v>
      </c>
      <c r="C1840" t="s">
        <v>81</v>
      </c>
      <c r="D1840" t="str">
        <f t="shared" si="174"/>
        <v>CO</v>
      </c>
      <c r="E1840" t="str">
        <f t="shared" si="175"/>
        <v>West</v>
      </c>
      <c r="F1840" t="s">
        <v>14</v>
      </c>
      <c r="G1840" s="1">
        <v>45224</v>
      </c>
      <c r="H1840" s="1">
        <v>45229</v>
      </c>
      <c r="I1840" s="1">
        <f t="shared" si="173"/>
        <v>45229</v>
      </c>
      <c r="J1840" s="2">
        <v>5.9</v>
      </c>
      <c r="K1840" s="2">
        <v>145.47</v>
      </c>
      <c r="L1840" t="s">
        <v>15</v>
      </c>
      <c r="M1840" s="2">
        <v>1000</v>
      </c>
      <c r="N1840" s="2">
        <v>5</v>
      </c>
      <c r="O1840" s="2">
        <f t="shared" si="176"/>
        <v>200</v>
      </c>
      <c r="P1840" s="2">
        <f t="shared" si="177"/>
        <v>1.3748539217708118</v>
      </c>
      <c r="Q1840" s="3">
        <f t="shared" si="178"/>
        <v>0.14546999999999999</v>
      </c>
    </row>
    <row r="1841" spans="1:17" hidden="1" x14ac:dyDescent="0.25">
      <c r="A1841" t="s">
        <v>1924</v>
      </c>
      <c r="B1841" t="s">
        <v>51</v>
      </c>
      <c r="C1841" t="s">
        <v>28</v>
      </c>
      <c r="D1841" t="str">
        <f t="shared" si="174"/>
        <v>TX</v>
      </c>
      <c r="E1841" t="str">
        <f t="shared" si="175"/>
        <v>Southwest</v>
      </c>
      <c r="F1841" t="s">
        <v>18</v>
      </c>
      <c r="G1841" s="1">
        <v>45033</v>
      </c>
      <c r="H1841" s="1">
        <v>45034</v>
      </c>
      <c r="I1841" s="1">
        <f t="shared" si="173"/>
        <v>45034</v>
      </c>
      <c r="J1841" s="2">
        <v>26.2</v>
      </c>
      <c r="K1841" s="2">
        <v>86.35</v>
      </c>
      <c r="L1841" t="s">
        <v>15</v>
      </c>
      <c r="M1841" s="2">
        <v>351</v>
      </c>
      <c r="N1841" s="2">
        <v>1</v>
      </c>
      <c r="O1841" s="2">
        <f t="shared" si="176"/>
        <v>351</v>
      </c>
      <c r="P1841" s="2">
        <f t="shared" si="177"/>
        <v>4.0648523451071226</v>
      </c>
      <c r="Q1841" s="3">
        <f t="shared" si="178"/>
        <v>0.24601139601139599</v>
      </c>
    </row>
    <row r="1842" spans="1:17" x14ac:dyDescent="0.25">
      <c r="A1842" t="s">
        <v>1925</v>
      </c>
      <c r="B1842" t="s">
        <v>20</v>
      </c>
      <c r="C1842" t="s">
        <v>24</v>
      </c>
      <c r="D1842" t="str">
        <f t="shared" si="174"/>
        <v>WA</v>
      </c>
      <c r="E1842" t="str">
        <f t="shared" si="175"/>
        <v>West</v>
      </c>
      <c r="F1842" t="s">
        <v>14</v>
      </c>
      <c r="G1842" s="1">
        <v>44929</v>
      </c>
      <c r="H1842" s="1">
        <v>44934</v>
      </c>
      <c r="I1842" s="1">
        <f t="shared" si="173"/>
        <v>44934</v>
      </c>
      <c r="J1842" s="2">
        <v>16.8</v>
      </c>
      <c r="K1842" s="2">
        <v>174.76</v>
      </c>
      <c r="L1842" t="s">
        <v>15</v>
      </c>
      <c r="M1842" s="2">
        <v>1135</v>
      </c>
      <c r="N1842" s="2">
        <v>5</v>
      </c>
      <c r="O1842" s="2">
        <f t="shared" si="176"/>
        <v>227</v>
      </c>
      <c r="P1842" s="2">
        <f t="shared" si="177"/>
        <v>1.298924238956283</v>
      </c>
      <c r="Q1842" s="3">
        <f t="shared" si="178"/>
        <v>0.15397356828193831</v>
      </c>
    </row>
    <row r="1843" spans="1:17" x14ac:dyDescent="0.25">
      <c r="A1843" t="s">
        <v>1926</v>
      </c>
      <c r="B1843" t="s">
        <v>23</v>
      </c>
      <c r="C1843" t="s">
        <v>24</v>
      </c>
      <c r="D1843" t="str">
        <f t="shared" si="174"/>
        <v>WA</v>
      </c>
      <c r="E1843" t="str">
        <f t="shared" si="175"/>
        <v>West</v>
      </c>
      <c r="F1843" t="s">
        <v>59</v>
      </c>
      <c r="G1843" s="1">
        <v>44989</v>
      </c>
      <c r="H1843" s="1">
        <v>44993</v>
      </c>
      <c r="I1843" s="1">
        <f t="shared" si="173"/>
        <v>44993</v>
      </c>
      <c r="J1843" s="2">
        <v>24.1</v>
      </c>
      <c r="K1843" s="2">
        <v>213.6</v>
      </c>
      <c r="L1843" t="s">
        <v>15</v>
      </c>
      <c r="M1843" s="2">
        <v>1794</v>
      </c>
      <c r="N1843" s="2">
        <v>4</v>
      </c>
      <c r="O1843" s="2">
        <f t="shared" si="176"/>
        <v>448.5</v>
      </c>
      <c r="P1843" s="2">
        <f t="shared" si="177"/>
        <v>2.0997191011235956</v>
      </c>
      <c r="Q1843" s="3">
        <f t="shared" si="178"/>
        <v>0.11906354515050167</v>
      </c>
    </row>
    <row r="1844" spans="1:17" x14ac:dyDescent="0.25">
      <c r="A1844" t="s">
        <v>1927</v>
      </c>
      <c r="B1844" t="s">
        <v>51</v>
      </c>
      <c r="C1844" t="s">
        <v>24</v>
      </c>
      <c r="D1844" t="str">
        <f t="shared" si="174"/>
        <v>WA</v>
      </c>
      <c r="E1844" t="str">
        <f t="shared" si="175"/>
        <v>West</v>
      </c>
      <c r="F1844" t="s">
        <v>18</v>
      </c>
      <c r="G1844" s="1">
        <v>45155</v>
      </c>
      <c r="H1844" s="1">
        <v>45159</v>
      </c>
      <c r="I1844" s="1">
        <f t="shared" si="173"/>
        <v>45159</v>
      </c>
      <c r="J1844" s="2">
        <v>10.199999999999999</v>
      </c>
      <c r="K1844" s="2">
        <v>286.07</v>
      </c>
      <c r="L1844" t="s">
        <v>15</v>
      </c>
      <c r="M1844" s="2">
        <v>1919</v>
      </c>
      <c r="N1844" s="2">
        <v>4</v>
      </c>
      <c r="O1844" s="2">
        <f t="shared" si="176"/>
        <v>479.75</v>
      </c>
      <c r="P1844" s="2">
        <f t="shared" si="177"/>
        <v>1.6770370888244137</v>
      </c>
      <c r="Q1844" s="3">
        <f t="shared" si="178"/>
        <v>0.14907243355914537</v>
      </c>
    </row>
    <row r="1845" spans="1:17" hidden="1" x14ac:dyDescent="0.25">
      <c r="A1845" t="s">
        <v>1928</v>
      </c>
      <c r="B1845" t="s">
        <v>51</v>
      </c>
      <c r="C1845" t="s">
        <v>57</v>
      </c>
      <c r="D1845" t="str">
        <f t="shared" si="174"/>
        <v>MN</v>
      </c>
      <c r="E1845" t="str">
        <f t="shared" si="175"/>
        <v>Midwest</v>
      </c>
      <c r="F1845" t="s">
        <v>25</v>
      </c>
      <c r="G1845" s="1">
        <v>45141</v>
      </c>
      <c r="H1845" s="1">
        <v>45144</v>
      </c>
      <c r="I1845" s="1">
        <f t="shared" si="173"/>
        <v>45144</v>
      </c>
      <c r="J1845" s="2">
        <v>25.6</v>
      </c>
      <c r="K1845" s="2">
        <v>114.68</v>
      </c>
      <c r="L1845" t="s">
        <v>15</v>
      </c>
      <c r="M1845" s="2">
        <v>801</v>
      </c>
      <c r="N1845" s="2">
        <v>3</v>
      </c>
      <c r="O1845" s="2">
        <f t="shared" si="176"/>
        <v>267</v>
      </c>
      <c r="P1845" s="2">
        <f t="shared" si="177"/>
        <v>2.3282176491105684</v>
      </c>
      <c r="Q1845" s="3">
        <f t="shared" si="178"/>
        <v>0.14317103620474408</v>
      </c>
    </row>
    <row r="1846" spans="1:17" hidden="1" x14ac:dyDescent="0.25">
      <c r="A1846" t="s">
        <v>1929</v>
      </c>
      <c r="B1846" t="s">
        <v>12</v>
      </c>
      <c r="C1846" t="s">
        <v>54</v>
      </c>
      <c r="D1846" t="str">
        <f t="shared" si="174"/>
        <v>FL</v>
      </c>
      <c r="E1846" t="str">
        <f t="shared" si="175"/>
        <v>Southeast</v>
      </c>
      <c r="F1846" t="s">
        <v>32</v>
      </c>
      <c r="G1846" s="1">
        <v>45242</v>
      </c>
      <c r="H1846" s="1">
        <v>45244</v>
      </c>
      <c r="I1846" s="1">
        <f t="shared" si="173"/>
        <v>45244</v>
      </c>
      <c r="J1846" s="2">
        <v>6.1</v>
      </c>
      <c r="K1846" s="2">
        <v>39.840000000000003</v>
      </c>
      <c r="L1846" t="s">
        <v>15</v>
      </c>
      <c r="M1846" s="2">
        <v>218</v>
      </c>
      <c r="N1846" s="2">
        <v>2</v>
      </c>
      <c r="O1846" s="2">
        <f t="shared" si="176"/>
        <v>109</v>
      </c>
      <c r="P1846" s="2">
        <f t="shared" si="177"/>
        <v>2.7359437751004014</v>
      </c>
      <c r="Q1846" s="3">
        <f t="shared" si="178"/>
        <v>0.18275229357798167</v>
      </c>
    </row>
    <row r="1847" spans="1:17" hidden="1" x14ac:dyDescent="0.25">
      <c r="A1847" t="s">
        <v>1930</v>
      </c>
      <c r="B1847" t="s">
        <v>20</v>
      </c>
      <c r="C1847" t="s">
        <v>52</v>
      </c>
      <c r="D1847" t="str">
        <f t="shared" si="174"/>
        <v>AZ</v>
      </c>
      <c r="E1847" t="str">
        <f t="shared" si="175"/>
        <v>Southwest</v>
      </c>
      <c r="F1847" t="s">
        <v>14</v>
      </c>
      <c r="G1847" s="1">
        <v>45138</v>
      </c>
      <c r="H1847" s="1">
        <v>45142</v>
      </c>
      <c r="I1847" s="1">
        <f t="shared" si="173"/>
        <v>45142</v>
      </c>
      <c r="J1847" s="2">
        <v>29.9</v>
      </c>
      <c r="K1847" s="2">
        <v>84.58</v>
      </c>
      <c r="L1847" t="s">
        <v>15</v>
      </c>
      <c r="M1847" s="2">
        <v>373</v>
      </c>
      <c r="N1847" s="2">
        <v>4</v>
      </c>
      <c r="O1847" s="2">
        <f t="shared" si="176"/>
        <v>93.25</v>
      </c>
      <c r="P1847" s="2">
        <f t="shared" si="177"/>
        <v>1.102506502719319</v>
      </c>
      <c r="Q1847" s="3">
        <f t="shared" si="178"/>
        <v>0.22675603217158177</v>
      </c>
    </row>
    <row r="1848" spans="1:17" hidden="1" x14ac:dyDescent="0.25">
      <c r="A1848" t="s">
        <v>1931</v>
      </c>
      <c r="B1848" t="s">
        <v>30</v>
      </c>
      <c r="C1848" t="s">
        <v>46</v>
      </c>
      <c r="D1848" t="str">
        <f t="shared" si="174"/>
        <v>MA</v>
      </c>
      <c r="E1848" t="str">
        <f t="shared" si="175"/>
        <v>Northeast</v>
      </c>
      <c r="F1848" t="s">
        <v>25</v>
      </c>
      <c r="G1848" s="1">
        <v>45255</v>
      </c>
      <c r="H1848" s="1">
        <v>45259</v>
      </c>
      <c r="I1848" s="1">
        <f t="shared" si="173"/>
        <v>45259</v>
      </c>
      <c r="J1848" s="2">
        <v>7.2</v>
      </c>
      <c r="K1848" s="2">
        <v>212.11</v>
      </c>
      <c r="L1848" t="s">
        <v>15</v>
      </c>
      <c r="M1848" s="2">
        <v>1306</v>
      </c>
      <c r="N1848" s="2">
        <v>4</v>
      </c>
      <c r="O1848" s="2">
        <f t="shared" si="176"/>
        <v>326.5</v>
      </c>
      <c r="P1848" s="2">
        <f t="shared" si="177"/>
        <v>1.539295648484277</v>
      </c>
      <c r="Q1848" s="3">
        <f t="shared" si="178"/>
        <v>0.16241194486983157</v>
      </c>
    </row>
    <row r="1849" spans="1:17" hidden="1" x14ac:dyDescent="0.25">
      <c r="A1849" t="s">
        <v>1932</v>
      </c>
      <c r="B1849" t="s">
        <v>35</v>
      </c>
      <c r="C1849" t="s">
        <v>57</v>
      </c>
      <c r="D1849" t="str">
        <f t="shared" si="174"/>
        <v>MN</v>
      </c>
      <c r="E1849" t="str">
        <f t="shared" si="175"/>
        <v>Midwest</v>
      </c>
      <c r="F1849" t="s">
        <v>37</v>
      </c>
      <c r="G1849" s="1">
        <v>45131</v>
      </c>
      <c r="H1849" s="1">
        <v>45138</v>
      </c>
      <c r="I1849" s="1">
        <f t="shared" si="173"/>
        <v>45138</v>
      </c>
      <c r="J1849" s="2">
        <v>40.700000000000003</v>
      </c>
      <c r="K1849" s="2">
        <v>292.44</v>
      </c>
      <c r="L1849" t="s">
        <v>15</v>
      </c>
      <c r="M1849" s="2">
        <v>2247</v>
      </c>
      <c r="N1849" s="2">
        <v>7</v>
      </c>
      <c r="O1849" s="2">
        <f t="shared" si="176"/>
        <v>321</v>
      </c>
      <c r="P1849" s="2">
        <f t="shared" si="177"/>
        <v>1.0976610586787032</v>
      </c>
      <c r="Q1849" s="3">
        <f t="shared" si="178"/>
        <v>0.13014686248331109</v>
      </c>
    </row>
    <row r="1850" spans="1:17" x14ac:dyDescent="0.25">
      <c r="A1850" t="s">
        <v>1933</v>
      </c>
      <c r="B1850" t="s">
        <v>35</v>
      </c>
      <c r="C1850" t="s">
        <v>70</v>
      </c>
      <c r="D1850" t="str">
        <f t="shared" si="174"/>
        <v>CA</v>
      </c>
      <c r="E1850" t="str">
        <f t="shared" si="175"/>
        <v>West</v>
      </c>
      <c r="F1850" t="s">
        <v>37</v>
      </c>
      <c r="G1850" s="1">
        <v>45179</v>
      </c>
      <c r="H1850" s="1">
        <v>45183</v>
      </c>
      <c r="I1850" s="1">
        <f t="shared" si="173"/>
        <v>45183</v>
      </c>
      <c r="J1850" s="2">
        <v>34.700000000000003</v>
      </c>
      <c r="K1850" s="2">
        <v>252.26</v>
      </c>
      <c r="L1850" t="s">
        <v>15</v>
      </c>
      <c r="M1850" s="2">
        <v>1603</v>
      </c>
      <c r="N1850" s="2">
        <v>4</v>
      </c>
      <c r="O1850" s="2">
        <f t="shared" si="176"/>
        <v>400.75</v>
      </c>
      <c r="P1850" s="2">
        <f t="shared" si="177"/>
        <v>1.5886387060968843</v>
      </c>
      <c r="Q1850" s="3">
        <f t="shared" si="178"/>
        <v>0.1573674360573924</v>
      </c>
    </row>
    <row r="1851" spans="1:17" hidden="1" x14ac:dyDescent="0.25">
      <c r="A1851" t="s">
        <v>1934</v>
      </c>
      <c r="B1851" t="s">
        <v>27</v>
      </c>
      <c r="C1851" t="s">
        <v>40</v>
      </c>
      <c r="D1851" t="str">
        <f t="shared" si="174"/>
        <v>MI</v>
      </c>
      <c r="E1851" t="str">
        <f t="shared" si="175"/>
        <v>Midwest</v>
      </c>
      <c r="F1851" t="s">
        <v>42</v>
      </c>
      <c r="G1851" s="1">
        <v>45242</v>
      </c>
      <c r="H1851" s="1">
        <v>45245</v>
      </c>
      <c r="I1851" s="1">
        <f t="shared" si="173"/>
        <v>45245</v>
      </c>
      <c r="J1851" s="2">
        <v>24.8</v>
      </c>
      <c r="K1851" s="2">
        <v>206.07</v>
      </c>
      <c r="L1851" t="s">
        <v>15</v>
      </c>
      <c r="M1851" s="2">
        <v>1099</v>
      </c>
      <c r="N1851" s="2">
        <v>3</v>
      </c>
      <c r="O1851" s="2">
        <f t="shared" si="176"/>
        <v>366.33333333333331</v>
      </c>
      <c r="P1851" s="2">
        <f t="shared" si="177"/>
        <v>1.7777130748451173</v>
      </c>
      <c r="Q1851" s="3">
        <f t="shared" si="178"/>
        <v>0.18750682438580527</v>
      </c>
    </row>
    <row r="1852" spans="1:17" hidden="1" x14ac:dyDescent="0.25">
      <c r="A1852" t="s">
        <v>1935</v>
      </c>
      <c r="B1852" t="s">
        <v>39</v>
      </c>
      <c r="C1852" t="s">
        <v>54</v>
      </c>
      <c r="D1852" t="str">
        <f t="shared" si="174"/>
        <v>FL</v>
      </c>
      <c r="E1852" t="str">
        <f t="shared" si="175"/>
        <v>Southeast</v>
      </c>
      <c r="F1852" t="s">
        <v>25</v>
      </c>
      <c r="G1852" s="1">
        <v>45257</v>
      </c>
      <c r="H1852" s="1">
        <v>45262</v>
      </c>
      <c r="I1852" s="1">
        <f t="shared" si="173"/>
        <v>45262</v>
      </c>
      <c r="J1852" s="2">
        <v>28.1</v>
      </c>
      <c r="K1852" s="2">
        <v>195.61</v>
      </c>
      <c r="L1852" t="s">
        <v>67</v>
      </c>
      <c r="M1852" s="2">
        <v>1012</v>
      </c>
      <c r="N1852" s="2">
        <v>5</v>
      </c>
      <c r="O1852" s="2">
        <f t="shared" si="176"/>
        <v>202.4</v>
      </c>
      <c r="P1852" s="2">
        <f t="shared" si="177"/>
        <v>1.0347119267931086</v>
      </c>
      <c r="Q1852" s="3">
        <f t="shared" si="178"/>
        <v>0.19329051383399209</v>
      </c>
    </row>
    <row r="1853" spans="1:17" hidden="1" x14ac:dyDescent="0.25">
      <c r="A1853" t="s">
        <v>1937</v>
      </c>
      <c r="B1853" t="s">
        <v>12</v>
      </c>
      <c r="C1853" t="s">
        <v>40</v>
      </c>
      <c r="D1853" t="str">
        <f t="shared" si="174"/>
        <v>MI</v>
      </c>
      <c r="E1853" t="str">
        <f t="shared" si="175"/>
        <v>Midwest</v>
      </c>
      <c r="F1853" t="s">
        <v>18</v>
      </c>
      <c r="G1853" s="1">
        <v>45071</v>
      </c>
      <c r="H1853" s="1">
        <v>45078</v>
      </c>
      <c r="I1853" s="1">
        <f t="shared" si="173"/>
        <v>45078</v>
      </c>
      <c r="J1853" s="2">
        <v>32.799999999999997</v>
      </c>
      <c r="K1853" s="2">
        <v>303.32</v>
      </c>
      <c r="L1853" t="s">
        <v>15</v>
      </c>
      <c r="M1853" s="2">
        <v>2012</v>
      </c>
      <c r="N1853" s="2">
        <v>7</v>
      </c>
      <c r="O1853" s="2">
        <f t="shared" si="176"/>
        <v>287.42857142857144</v>
      </c>
      <c r="P1853" s="2">
        <f t="shared" si="177"/>
        <v>0.94760837211054816</v>
      </c>
      <c r="Q1853" s="3">
        <f t="shared" si="178"/>
        <v>0.15075546719681909</v>
      </c>
    </row>
    <row r="1854" spans="1:17" x14ac:dyDescent="0.25">
      <c r="A1854" t="s">
        <v>1938</v>
      </c>
      <c r="B1854" t="s">
        <v>27</v>
      </c>
      <c r="C1854" t="s">
        <v>24</v>
      </c>
      <c r="D1854" t="str">
        <f t="shared" si="174"/>
        <v>WA</v>
      </c>
      <c r="E1854" t="str">
        <f t="shared" si="175"/>
        <v>West</v>
      </c>
      <c r="F1854" t="s">
        <v>18</v>
      </c>
      <c r="G1854" s="1">
        <v>45067</v>
      </c>
      <c r="H1854" s="1">
        <v>45074</v>
      </c>
      <c r="I1854" s="1">
        <f t="shared" si="173"/>
        <v>45074</v>
      </c>
      <c r="J1854" s="2">
        <v>29.5</v>
      </c>
      <c r="K1854" s="2">
        <v>326.18</v>
      </c>
      <c r="L1854" t="s">
        <v>15</v>
      </c>
      <c r="M1854" s="2">
        <v>2273</v>
      </c>
      <c r="N1854" s="2">
        <v>7</v>
      </c>
      <c r="O1854" s="2">
        <f t="shared" si="176"/>
        <v>324.71428571428572</v>
      </c>
      <c r="P1854" s="2">
        <f t="shared" si="177"/>
        <v>0.99550642502386943</v>
      </c>
      <c r="Q1854" s="3">
        <f t="shared" si="178"/>
        <v>0.14350197976242851</v>
      </c>
    </row>
    <row r="1855" spans="1:17" hidden="1" x14ac:dyDescent="0.25">
      <c r="A1855" t="s">
        <v>1939</v>
      </c>
      <c r="B1855" t="s">
        <v>20</v>
      </c>
      <c r="C1855" t="s">
        <v>31</v>
      </c>
      <c r="D1855" t="str">
        <f t="shared" si="174"/>
        <v>NY</v>
      </c>
      <c r="E1855" t="str">
        <f t="shared" si="175"/>
        <v>Northeast</v>
      </c>
      <c r="F1855" t="s">
        <v>25</v>
      </c>
      <c r="G1855" s="1">
        <v>45281</v>
      </c>
      <c r="H1855" s="1">
        <v>45286</v>
      </c>
      <c r="I1855" s="1">
        <f t="shared" si="173"/>
        <v>45286</v>
      </c>
      <c r="J1855" s="2">
        <v>66.3</v>
      </c>
      <c r="K1855" s="2">
        <v>337.55</v>
      </c>
      <c r="L1855" t="s">
        <v>62</v>
      </c>
      <c r="M1855" s="2">
        <v>1743</v>
      </c>
      <c r="N1855" s="2">
        <v>5</v>
      </c>
      <c r="O1855" s="2">
        <f t="shared" si="176"/>
        <v>348.6</v>
      </c>
      <c r="P1855" s="2">
        <f t="shared" si="177"/>
        <v>1.0327358909791142</v>
      </c>
      <c r="Q1855" s="3">
        <f t="shared" si="178"/>
        <v>0.19366035570854848</v>
      </c>
    </row>
    <row r="1856" spans="1:17" hidden="1" x14ac:dyDescent="0.25">
      <c r="A1856" t="s">
        <v>1940</v>
      </c>
      <c r="B1856" t="s">
        <v>49</v>
      </c>
      <c r="C1856" t="s">
        <v>17</v>
      </c>
      <c r="D1856" t="str">
        <f t="shared" si="174"/>
        <v>GA</v>
      </c>
      <c r="E1856" t="str">
        <f t="shared" si="175"/>
        <v>Southeast</v>
      </c>
      <c r="F1856" t="s">
        <v>14</v>
      </c>
      <c r="G1856" s="1">
        <v>45101</v>
      </c>
      <c r="H1856" s="1">
        <v>45105</v>
      </c>
      <c r="I1856" s="1">
        <f t="shared" si="173"/>
        <v>45105</v>
      </c>
      <c r="J1856" s="2">
        <v>21.7</v>
      </c>
      <c r="K1856" s="2">
        <v>291.81</v>
      </c>
      <c r="L1856" t="s">
        <v>15</v>
      </c>
      <c r="M1856" s="2">
        <v>1919</v>
      </c>
      <c r="N1856" s="2">
        <v>4</v>
      </c>
      <c r="O1856" s="2">
        <f t="shared" si="176"/>
        <v>479.75</v>
      </c>
      <c r="P1856" s="2">
        <f t="shared" si="177"/>
        <v>1.644049210102464</v>
      </c>
      <c r="Q1856" s="3">
        <f t="shared" si="178"/>
        <v>0.1520635747785305</v>
      </c>
    </row>
    <row r="1857" spans="1:17" hidden="1" x14ac:dyDescent="0.25">
      <c r="A1857" t="s">
        <v>1941</v>
      </c>
      <c r="B1857" t="s">
        <v>30</v>
      </c>
      <c r="C1857" t="s">
        <v>44</v>
      </c>
      <c r="D1857" t="str">
        <f t="shared" si="174"/>
        <v>IL</v>
      </c>
      <c r="E1857" t="str">
        <f t="shared" si="175"/>
        <v>Midwest</v>
      </c>
      <c r="F1857" t="s">
        <v>18</v>
      </c>
      <c r="G1857" s="1">
        <v>45090</v>
      </c>
      <c r="H1857" s="1">
        <v>45094</v>
      </c>
      <c r="I1857" s="1">
        <f t="shared" si="173"/>
        <v>45094</v>
      </c>
      <c r="J1857" s="2">
        <v>37</v>
      </c>
      <c r="K1857" s="2">
        <v>279.2</v>
      </c>
      <c r="L1857" t="s">
        <v>15</v>
      </c>
      <c r="M1857" s="2">
        <v>1506</v>
      </c>
      <c r="N1857" s="2">
        <v>4</v>
      </c>
      <c r="O1857" s="2">
        <f t="shared" si="176"/>
        <v>376.5</v>
      </c>
      <c r="P1857" s="2">
        <f t="shared" si="177"/>
        <v>1.3484957020057307</v>
      </c>
      <c r="Q1857" s="3">
        <f t="shared" si="178"/>
        <v>0.18539176626826029</v>
      </c>
    </row>
    <row r="1858" spans="1:17" hidden="1" x14ac:dyDescent="0.25">
      <c r="A1858" t="s">
        <v>1942</v>
      </c>
      <c r="B1858" t="s">
        <v>39</v>
      </c>
      <c r="C1858" t="s">
        <v>54</v>
      </c>
      <c r="D1858" t="str">
        <f t="shared" si="174"/>
        <v>FL</v>
      </c>
      <c r="E1858" t="str">
        <f t="shared" si="175"/>
        <v>Southeast</v>
      </c>
      <c r="F1858" t="s">
        <v>18</v>
      </c>
      <c r="G1858" s="1">
        <v>45213</v>
      </c>
      <c r="H1858" s="1">
        <v>45219</v>
      </c>
      <c r="I1858" s="1">
        <f t="shared" ref="I1858:I1921" si="179">IF(H1858="", G1858 + N1858, H1858)</f>
        <v>45219</v>
      </c>
      <c r="J1858" s="2">
        <v>21.6</v>
      </c>
      <c r="K1858" s="2">
        <v>334.73</v>
      </c>
      <c r="L1858" t="s">
        <v>15</v>
      </c>
      <c r="M1858" s="2">
        <v>2053</v>
      </c>
      <c r="N1858" s="2">
        <v>6</v>
      </c>
      <c r="O1858" s="2">
        <f t="shared" si="176"/>
        <v>342.16666666666669</v>
      </c>
      <c r="P1858" s="2">
        <f t="shared" si="177"/>
        <v>1.0222169111423136</v>
      </c>
      <c r="Q1858" s="3">
        <f t="shared" si="178"/>
        <v>0.16304432537749636</v>
      </c>
    </row>
    <row r="1859" spans="1:17" x14ac:dyDescent="0.25">
      <c r="A1859" t="s">
        <v>1943</v>
      </c>
      <c r="B1859" t="s">
        <v>35</v>
      </c>
      <c r="C1859" t="s">
        <v>81</v>
      </c>
      <c r="D1859" t="str">
        <f t="shared" si="174"/>
        <v>CO</v>
      </c>
      <c r="E1859" t="str">
        <f t="shared" si="175"/>
        <v>West</v>
      </c>
      <c r="F1859" t="s">
        <v>14</v>
      </c>
      <c r="G1859" s="1">
        <v>45166</v>
      </c>
      <c r="H1859" s="1">
        <v>45169</v>
      </c>
      <c r="I1859" s="1">
        <f t="shared" si="179"/>
        <v>45169</v>
      </c>
      <c r="J1859" s="2">
        <v>40.700000000000003</v>
      </c>
      <c r="K1859" s="2">
        <v>175.45</v>
      </c>
      <c r="L1859" t="s">
        <v>15</v>
      </c>
      <c r="M1859" s="2">
        <v>1000</v>
      </c>
      <c r="N1859" s="2">
        <v>3</v>
      </c>
      <c r="O1859" s="2">
        <f t="shared" si="176"/>
        <v>333.33333333333331</v>
      </c>
      <c r="P1859" s="2">
        <f t="shared" si="177"/>
        <v>1.8998765080269782</v>
      </c>
      <c r="Q1859" s="3">
        <f t="shared" si="178"/>
        <v>0.17544999999999999</v>
      </c>
    </row>
    <row r="1860" spans="1:17" hidden="1" x14ac:dyDescent="0.25">
      <c r="A1860" t="s">
        <v>1944</v>
      </c>
      <c r="B1860" t="s">
        <v>51</v>
      </c>
      <c r="C1860" t="s">
        <v>57</v>
      </c>
      <c r="D1860" t="str">
        <f t="shared" si="174"/>
        <v>MN</v>
      </c>
      <c r="E1860" t="str">
        <f t="shared" si="175"/>
        <v>Midwest</v>
      </c>
      <c r="F1860" t="s">
        <v>32</v>
      </c>
      <c r="G1860" s="1">
        <v>45168</v>
      </c>
      <c r="H1860" s="1">
        <v>45176</v>
      </c>
      <c r="I1860" s="1">
        <f t="shared" si="179"/>
        <v>45176</v>
      </c>
      <c r="J1860" s="2">
        <v>84.8</v>
      </c>
      <c r="K1860" s="2">
        <v>383.33</v>
      </c>
      <c r="L1860" t="s">
        <v>15</v>
      </c>
      <c r="M1860" s="2">
        <v>2141</v>
      </c>
      <c r="N1860" s="2">
        <v>8</v>
      </c>
      <c r="O1860" s="2">
        <f t="shared" si="176"/>
        <v>267.625</v>
      </c>
      <c r="P1860" s="2">
        <f t="shared" si="177"/>
        <v>0.69815824485430311</v>
      </c>
      <c r="Q1860" s="3">
        <f t="shared" si="178"/>
        <v>0.17904250350303597</v>
      </c>
    </row>
    <row r="1861" spans="1:17" x14ac:dyDescent="0.25">
      <c r="A1861" t="s">
        <v>1945</v>
      </c>
      <c r="B1861" t="s">
        <v>39</v>
      </c>
      <c r="C1861" t="s">
        <v>24</v>
      </c>
      <c r="D1861" t="str">
        <f t="shared" si="174"/>
        <v>WA</v>
      </c>
      <c r="E1861" t="str">
        <f t="shared" si="175"/>
        <v>West</v>
      </c>
      <c r="F1861" t="s">
        <v>37</v>
      </c>
      <c r="G1861" s="1">
        <v>45284</v>
      </c>
      <c r="H1861" s="1">
        <v>45289</v>
      </c>
      <c r="I1861" s="1">
        <f t="shared" si="179"/>
        <v>45289</v>
      </c>
      <c r="J1861" s="2">
        <v>13.7</v>
      </c>
      <c r="K1861" s="2">
        <v>328.21</v>
      </c>
      <c r="L1861" t="s">
        <v>15</v>
      </c>
      <c r="M1861" s="2">
        <v>2225</v>
      </c>
      <c r="N1861" s="2">
        <v>5</v>
      </c>
      <c r="O1861" s="2">
        <f t="shared" si="176"/>
        <v>445</v>
      </c>
      <c r="P1861" s="2">
        <f t="shared" si="177"/>
        <v>1.355839249261144</v>
      </c>
      <c r="Q1861" s="3">
        <f t="shared" si="178"/>
        <v>0.14751011235955055</v>
      </c>
    </row>
    <row r="1862" spans="1:17" hidden="1" x14ac:dyDescent="0.25">
      <c r="A1862" t="s">
        <v>1946</v>
      </c>
      <c r="B1862" t="s">
        <v>35</v>
      </c>
      <c r="C1862" t="s">
        <v>54</v>
      </c>
      <c r="D1862" t="str">
        <f t="shared" si="174"/>
        <v>FL</v>
      </c>
      <c r="E1862" t="str">
        <f t="shared" si="175"/>
        <v>Southeast</v>
      </c>
      <c r="F1862" t="s">
        <v>42</v>
      </c>
      <c r="G1862" s="1">
        <v>45048</v>
      </c>
      <c r="H1862" s="1">
        <v>45051</v>
      </c>
      <c r="I1862" s="1">
        <f t="shared" si="179"/>
        <v>45051</v>
      </c>
      <c r="J1862" s="2">
        <v>20.5</v>
      </c>
      <c r="K1862" s="2">
        <v>171.02</v>
      </c>
      <c r="L1862" t="s">
        <v>15</v>
      </c>
      <c r="M1862" s="2">
        <v>1350</v>
      </c>
      <c r="N1862" s="2">
        <v>3</v>
      </c>
      <c r="O1862" s="2">
        <f t="shared" si="176"/>
        <v>450</v>
      </c>
      <c r="P1862" s="2">
        <f t="shared" si="177"/>
        <v>2.6312711963513036</v>
      </c>
      <c r="Q1862" s="3">
        <f t="shared" si="178"/>
        <v>0.12668148148148148</v>
      </c>
    </row>
    <row r="1863" spans="1:17" hidden="1" x14ac:dyDescent="0.25">
      <c r="A1863" t="s">
        <v>1948</v>
      </c>
      <c r="B1863" t="s">
        <v>49</v>
      </c>
      <c r="C1863" t="s">
        <v>17</v>
      </c>
      <c r="D1863" t="str">
        <f t="shared" si="174"/>
        <v>GA</v>
      </c>
      <c r="E1863" t="str">
        <f t="shared" si="175"/>
        <v>Southeast</v>
      </c>
      <c r="F1863" t="s">
        <v>18</v>
      </c>
      <c r="G1863" s="1">
        <v>45272</v>
      </c>
      <c r="H1863" s="1">
        <v>45282</v>
      </c>
      <c r="I1863" s="1">
        <f t="shared" si="179"/>
        <v>45282</v>
      </c>
      <c r="J1863" s="2">
        <v>78.2</v>
      </c>
      <c r="K1863" s="2">
        <v>211.42</v>
      </c>
      <c r="L1863" t="s">
        <v>47</v>
      </c>
      <c r="M1863" s="2">
        <v>620</v>
      </c>
      <c r="N1863" s="2">
        <v>2</v>
      </c>
      <c r="O1863" s="2">
        <f t="shared" si="176"/>
        <v>310</v>
      </c>
      <c r="P1863" s="2">
        <f t="shared" si="177"/>
        <v>1.466275659824047</v>
      </c>
      <c r="Q1863" s="3">
        <f t="shared" si="178"/>
        <v>0.34099999999999997</v>
      </c>
    </row>
    <row r="1864" spans="1:17" x14ac:dyDescent="0.25">
      <c r="A1864" t="s">
        <v>1949</v>
      </c>
      <c r="B1864" t="s">
        <v>30</v>
      </c>
      <c r="C1864" t="s">
        <v>24</v>
      </c>
      <c r="D1864" t="str">
        <f t="shared" si="174"/>
        <v>WA</v>
      </c>
      <c r="E1864" t="str">
        <f t="shared" si="175"/>
        <v>West</v>
      </c>
      <c r="F1864" t="s">
        <v>37</v>
      </c>
      <c r="G1864" s="1">
        <v>45059</v>
      </c>
      <c r="H1864" s="1">
        <v>45064</v>
      </c>
      <c r="I1864" s="1">
        <f t="shared" si="179"/>
        <v>45064</v>
      </c>
      <c r="J1864" s="2">
        <v>17.2</v>
      </c>
      <c r="K1864" s="2">
        <v>247.67</v>
      </c>
      <c r="L1864" t="s">
        <v>15</v>
      </c>
      <c r="M1864" s="2">
        <v>2018</v>
      </c>
      <c r="N1864" s="2">
        <v>5</v>
      </c>
      <c r="O1864" s="2">
        <f t="shared" si="176"/>
        <v>403.6</v>
      </c>
      <c r="P1864" s="2">
        <f t="shared" si="177"/>
        <v>1.6295877579036624</v>
      </c>
      <c r="Q1864" s="3">
        <f t="shared" si="178"/>
        <v>0.12273042616451932</v>
      </c>
    </row>
    <row r="1865" spans="1:17" hidden="1" x14ac:dyDescent="0.25">
      <c r="A1865" t="s">
        <v>1950</v>
      </c>
      <c r="B1865" t="s">
        <v>56</v>
      </c>
      <c r="C1865" t="s">
        <v>57</v>
      </c>
      <c r="D1865" t="str">
        <f t="shared" si="174"/>
        <v>MN</v>
      </c>
      <c r="E1865" t="str">
        <f t="shared" si="175"/>
        <v>Midwest</v>
      </c>
      <c r="F1865" t="s">
        <v>37</v>
      </c>
      <c r="G1865" s="1">
        <v>45115</v>
      </c>
      <c r="H1865" s="1">
        <v>45119</v>
      </c>
      <c r="I1865" s="1">
        <f t="shared" si="179"/>
        <v>45119</v>
      </c>
      <c r="J1865" s="2">
        <v>14.7</v>
      </c>
      <c r="K1865" s="2">
        <v>243.7</v>
      </c>
      <c r="L1865" t="s">
        <v>15</v>
      </c>
      <c r="M1865" s="2">
        <v>1949</v>
      </c>
      <c r="N1865" s="2">
        <v>4</v>
      </c>
      <c r="O1865" s="2">
        <f t="shared" si="176"/>
        <v>487.25</v>
      </c>
      <c r="P1865" s="2">
        <f t="shared" si="177"/>
        <v>1.9993844891259747</v>
      </c>
      <c r="Q1865" s="3">
        <f t="shared" si="178"/>
        <v>0.1250384812724474</v>
      </c>
    </row>
    <row r="1866" spans="1:17" hidden="1" x14ac:dyDescent="0.25">
      <c r="A1866" t="s">
        <v>1951</v>
      </c>
      <c r="B1866" t="s">
        <v>39</v>
      </c>
      <c r="C1866" t="s">
        <v>17</v>
      </c>
      <c r="D1866" t="str">
        <f t="shared" si="174"/>
        <v>GA</v>
      </c>
      <c r="E1866" t="str">
        <f t="shared" si="175"/>
        <v>Southeast</v>
      </c>
      <c r="F1866" t="s">
        <v>32</v>
      </c>
      <c r="G1866" s="1">
        <v>45058</v>
      </c>
      <c r="H1866" s="1">
        <v>45061</v>
      </c>
      <c r="I1866" s="1">
        <f t="shared" si="179"/>
        <v>45061</v>
      </c>
      <c r="J1866" s="2">
        <v>18.899999999999999</v>
      </c>
      <c r="K1866" s="2">
        <v>122.95</v>
      </c>
      <c r="L1866" t="s">
        <v>15</v>
      </c>
      <c r="M1866" s="2">
        <v>800</v>
      </c>
      <c r="N1866" s="2">
        <v>3</v>
      </c>
      <c r="O1866" s="2">
        <f t="shared" si="176"/>
        <v>266.66666666666669</v>
      </c>
      <c r="P1866" s="2">
        <f t="shared" si="177"/>
        <v>2.1689033482445441</v>
      </c>
      <c r="Q1866" s="3">
        <f t="shared" si="178"/>
        <v>0.1536875</v>
      </c>
    </row>
    <row r="1867" spans="1:17" hidden="1" x14ac:dyDescent="0.25">
      <c r="A1867" t="s">
        <v>1952</v>
      </c>
      <c r="B1867" t="s">
        <v>39</v>
      </c>
      <c r="C1867" t="s">
        <v>40</v>
      </c>
      <c r="D1867" t="str">
        <f t="shared" si="174"/>
        <v>MI</v>
      </c>
      <c r="E1867" t="str">
        <f t="shared" si="175"/>
        <v>Midwest</v>
      </c>
      <c r="F1867" t="s">
        <v>32</v>
      </c>
      <c r="G1867" s="1">
        <v>44993</v>
      </c>
      <c r="H1867" s="1">
        <v>44998</v>
      </c>
      <c r="I1867" s="1">
        <f t="shared" si="179"/>
        <v>44998</v>
      </c>
      <c r="J1867" s="2">
        <v>8.1</v>
      </c>
      <c r="K1867" s="2">
        <v>290.02</v>
      </c>
      <c r="L1867" t="s">
        <v>15</v>
      </c>
      <c r="M1867" s="2">
        <v>2307</v>
      </c>
      <c r="N1867" s="2">
        <v>5</v>
      </c>
      <c r="O1867" s="2">
        <f t="shared" si="176"/>
        <v>461.4</v>
      </c>
      <c r="P1867" s="2">
        <f t="shared" si="177"/>
        <v>1.5909247638093924</v>
      </c>
      <c r="Q1867" s="3">
        <f t="shared" si="178"/>
        <v>0.12571304724750756</v>
      </c>
    </row>
    <row r="1868" spans="1:17" hidden="1" x14ac:dyDescent="0.25">
      <c r="A1868" t="s">
        <v>1953</v>
      </c>
      <c r="B1868" t="s">
        <v>49</v>
      </c>
      <c r="C1868" t="s">
        <v>40</v>
      </c>
      <c r="D1868" t="str">
        <f t="shared" si="174"/>
        <v>MI</v>
      </c>
      <c r="E1868" t="str">
        <f t="shared" si="175"/>
        <v>Midwest</v>
      </c>
      <c r="F1868" t="s">
        <v>42</v>
      </c>
      <c r="G1868" s="1">
        <v>44938</v>
      </c>
      <c r="H1868" s="1">
        <v>44944</v>
      </c>
      <c r="I1868" s="1">
        <f t="shared" si="179"/>
        <v>44944</v>
      </c>
      <c r="J1868" s="2">
        <v>44.3</v>
      </c>
      <c r="K1868" s="2">
        <v>311.3</v>
      </c>
      <c r="L1868" t="s">
        <v>15</v>
      </c>
      <c r="M1868" s="2">
        <v>2041</v>
      </c>
      <c r="N1868" s="2">
        <v>6</v>
      </c>
      <c r="O1868" s="2">
        <f t="shared" si="176"/>
        <v>340.16666666666669</v>
      </c>
      <c r="P1868" s="2">
        <f t="shared" si="177"/>
        <v>1.0927294142841846</v>
      </c>
      <c r="Q1868" s="3">
        <f t="shared" si="178"/>
        <v>0.15252327290543852</v>
      </c>
    </row>
    <row r="1869" spans="1:17" hidden="1" x14ac:dyDescent="0.25">
      <c r="A1869" t="s">
        <v>1954</v>
      </c>
      <c r="B1869" t="s">
        <v>35</v>
      </c>
      <c r="C1869" t="s">
        <v>31</v>
      </c>
      <c r="D1869" t="str">
        <f t="shared" si="174"/>
        <v>NY</v>
      </c>
      <c r="E1869" t="str">
        <f t="shared" si="175"/>
        <v>Northeast</v>
      </c>
      <c r="F1869" t="s">
        <v>18</v>
      </c>
      <c r="G1869" s="1">
        <v>45096</v>
      </c>
      <c r="H1869" s="1">
        <v>45099</v>
      </c>
      <c r="I1869" s="1">
        <f t="shared" si="179"/>
        <v>45099</v>
      </c>
      <c r="J1869" s="2">
        <v>59.9</v>
      </c>
      <c r="K1869" s="2">
        <v>183.69</v>
      </c>
      <c r="L1869" t="s">
        <v>15</v>
      </c>
      <c r="M1869" s="2">
        <v>628</v>
      </c>
      <c r="N1869" s="2">
        <v>3</v>
      </c>
      <c r="O1869" s="2">
        <f t="shared" si="176"/>
        <v>209.33333333333334</v>
      </c>
      <c r="P1869" s="2">
        <f t="shared" si="177"/>
        <v>1.1396011396011396</v>
      </c>
      <c r="Q1869" s="3">
        <f t="shared" si="178"/>
        <v>0.29249999999999998</v>
      </c>
    </row>
    <row r="1870" spans="1:17" x14ac:dyDescent="0.25">
      <c r="A1870" t="s">
        <v>1955</v>
      </c>
      <c r="B1870" t="s">
        <v>56</v>
      </c>
      <c r="C1870" t="s">
        <v>36</v>
      </c>
      <c r="D1870" t="str">
        <f t="shared" si="174"/>
        <v>OR</v>
      </c>
      <c r="E1870" t="str">
        <f t="shared" si="175"/>
        <v>West</v>
      </c>
      <c r="F1870" t="s">
        <v>42</v>
      </c>
      <c r="G1870" s="1">
        <v>44941</v>
      </c>
      <c r="H1870" s="1">
        <v>44948</v>
      </c>
      <c r="I1870" s="1">
        <f t="shared" si="179"/>
        <v>44948</v>
      </c>
      <c r="J1870" s="2">
        <v>8.8000000000000007</v>
      </c>
      <c r="K1870" s="2">
        <v>210.56</v>
      </c>
      <c r="L1870" t="s">
        <v>60</v>
      </c>
      <c r="M1870" s="2">
        <v>1852</v>
      </c>
      <c r="N1870" s="2">
        <v>7</v>
      </c>
      <c r="O1870" s="2">
        <f t="shared" si="176"/>
        <v>264.57142857142856</v>
      </c>
      <c r="P1870" s="2">
        <f t="shared" si="177"/>
        <v>1.2565132435953104</v>
      </c>
      <c r="Q1870" s="3">
        <f t="shared" si="178"/>
        <v>0.11369330453563715</v>
      </c>
    </row>
    <row r="1871" spans="1:17" x14ac:dyDescent="0.25">
      <c r="A1871" t="s">
        <v>1956</v>
      </c>
      <c r="B1871" t="s">
        <v>35</v>
      </c>
      <c r="C1871" t="s">
        <v>70</v>
      </c>
      <c r="D1871" t="str">
        <f t="shared" si="174"/>
        <v>CA</v>
      </c>
      <c r="E1871" t="str">
        <f t="shared" si="175"/>
        <v>West</v>
      </c>
      <c r="F1871" t="s">
        <v>32</v>
      </c>
      <c r="G1871" s="1">
        <v>44987</v>
      </c>
      <c r="H1871" s="1">
        <v>44989</v>
      </c>
      <c r="I1871" s="1">
        <f t="shared" si="179"/>
        <v>44989</v>
      </c>
      <c r="J1871" s="2">
        <v>10.5</v>
      </c>
      <c r="K1871" s="2">
        <v>33.67</v>
      </c>
      <c r="L1871" t="s">
        <v>15</v>
      </c>
      <c r="M1871" s="2">
        <v>162</v>
      </c>
      <c r="N1871" s="2">
        <v>2</v>
      </c>
      <c r="O1871" s="2">
        <f t="shared" si="176"/>
        <v>81</v>
      </c>
      <c r="P1871" s="2">
        <f t="shared" si="177"/>
        <v>2.4057024057024057</v>
      </c>
      <c r="Q1871" s="3">
        <f t="shared" si="178"/>
        <v>0.20783950617283953</v>
      </c>
    </row>
    <row r="1872" spans="1:17" hidden="1" x14ac:dyDescent="0.25">
      <c r="A1872" t="s">
        <v>1957</v>
      </c>
      <c r="B1872" t="s">
        <v>35</v>
      </c>
      <c r="C1872" t="s">
        <v>44</v>
      </c>
      <c r="D1872" t="str">
        <f t="shared" si="174"/>
        <v>IL</v>
      </c>
      <c r="E1872" t="str">
        <f t="shared" si="175"/>
        <v>Midwest</v>
      </c>
      <c r="F1872" t="s">
        <v>37</v>
      </c>
      <c r="G1872" s="1">
        <v>45063</v>
      </c>
      <c r="H1872" s="1">
        <v>45069</v>
      </c>
      <c r="I1872" s="1">
        <f t="shared" si="179"/>
        <v>45069</v>
      </c>
      <c r="J1872" s="2">
        <v>16.600000000000001</v>
      </c>
      <c r="K1872" s="2">
        <v>256.68</v>
      </c>
      <c r="L1872" t="s">
        <v>67</v>
      </c>
      <c r="M1872" s="2">
        <v>1995</v>
      </c>
      <c r="N1872" s="2">
        <v>6</v>
      </c>
      <c r="O1872" s="2">
        <f t="shared" si="176"/>
        <v>332.5</v>
      </c>
      <c r="P1872" s="2">
        <f t="shared" si="177"/>
        <v>1.2953872526102539</v>
      </c>
      <c r="Q1872" s="3">
        <f t="shared" si="178"/>
        <v>0.12866165413533834</v>
      </c>
    </row>
    <row r="1873" spans="1:17" hidden="1" x14ac:dyDescent="0.25">
      <c r="A1873" t="s">
        <v>1958</v>
      </c>
      <c r="B1873" t="s">
        <v>12</v>
      </c>
      <c r="C1873" t="s">
        <v>57</v>
      </c>
      <c r="D1873" t="str">
        <f t="shared" si="174"/>
        <v>MN</v>
      </c>
      <c r="E1873" t="str">
        <f t="shared" si="175"/>
        <v>Midwest</v>
      </c>
      <c r="F1873" t="s">
        <v>18</v>
      </c>
      <c r="G1873" s="1">
        <v>45184</v>
      </c>
      <c r="H1873" s="1">
        <v>45193</v>
      </c>
      <c r="I1873" s="1">
        <f t="shared" si="179"/>
        <v>45193</v>
      </c>
      <c r="J1873" s="2">
        <v>23.5</v>
      </c>
      <c r="K1873" s="2">
        <v>213.18</v>
      </c>
      <c r="L1873" t="s">
        <v>15</v>
      </c>
      <c r="M1873" s="2">
        <v>1469</v>
      </c>
      <c r="N1873" s="2">
        <v>9</v>
      </c>
      <c r="O1873" s="2">
        <f t="shared" si="176"/>
        <v>163.22222222222223</v>
      </c>
      <c r="P1873" s="2">
        <f t="shared" si="177"/>
        <v>0.76565448082475951</v>
      </c>
      <c r="Q1873" s="3">
        <f t="shared" si="178"/>
        <v>0.14511912865895168</v>
      </c>
    </row>
    <row r="1874" spans="1:17" x14ac:dyDescent="0.25">
      <c r="A1874" t="s">
        <v>1959</v>
      </c>
      <c r="B1874" t="s">
        <v>35</v>
      </c>
      <c r="C1874" t="s">
        <v>81</v>
      </c>
      <c r="D1874" t="str">
        <f t="shared" si="174"/>
        <v>CO</v>
      </c>
      <c r="E1874" t="str">
        <f t="shared" si="175"/>
        <v>West</v>
      </c>
      <c r="F1874" t="s">
        <v>32</v>
      </c>
      <c r="G1874" s="1">
        <v>44955</v>
      </c>
      <c r="H1874" s="1">
        <v>44959</v>
      </c>
      <c r="I1874" s="1">
        <f t="shared" si="179"/>
        <v>44959</v>
      </c>
      <c r="J1874" s="2">
        <v>34.9</v>
      </c>
      <c r="K1874" s="2">
        <v>162.44</v>
      </c>
      <c r="L1874" t="s">
        <v>15</v>
      </c>
      <c r="M1874" s="2">
        <v>1000</v>
      </c>
      <c r="N1874" s="2">
        <v>4</v>
      </c>
      <c r="O1874" s="2">
        <f t="shared" si="176"/>
        <v>250</v>
      </c>
      <c r="P1874" s="2">
        <f t="shared" si="177"/>
        <v>1.5390297956168431</v>
      </c>
      <c r="Q1874" s="3">
        <f t="shared" si="178"/>
        <v>0.16244</v>
      </c>
    </row>
    <row r="1875" spans="1:17" x14ac:dyDescent="0.25">
      <c r="A1875" t="s">
        <v>1960</v>
      </c>
      <c r="B1875" t="s">
        <v>20</v>
      </c>
      <c r="C1875" t="s">
        <v>36</v>
      </c>
      <c r="D1875" t="str">
        <f t="shared" si="174"/>
        <v>OR</v>
      </c>
      <c r="E1875" t="str">
        <f t="shared" si="175"/>
        <v>West</v>
      </c>
      <c r="F1875" t="s">
        <v>14</v>
      </c>
      <c r="G1875" s="1">
        <v>45067</v>
      </c>
      <c r="H1875" s="1">
        <v>45074</v>
      </c>
      <c r="I1875" s="1">
        <f t="shared" si="179"/>
        <v>45074</v>
      </c>
      <c r="J1875" s="2">
        <v>14.6</v>
      </c>
      <c r="K1875" s="2">
        <v>1597.99</v>
      </c>
      <c r="L1875" t="s">
        <v>15</v>
      </c>
      <c r="M1875" s="2">
        <v>2187</v>
      </c>
      <c r="N1875" s="2">
        <v>7</v>
      </c>
      <c r="O1875" s="2">
        <f t="shared" si="176"/>
        <v>312.42857142857144</v>
      </c>
      <c r="P1875" s="2">
        <f t="shared" si="177"/>
        <v>0.19551347094072644</v>
      </c>
      <c r="Q1875" s="3">
        <f t="shared" si="178"/>
        <v>0.73067672610882484</v>
      </c>
    </row>
    <row r="1876" spans="1:17" hidden="1" x14ac:dyDescent="0.25">
      <c r="A1876" t="s">
        <v>1961</v>
      </c>
      <c r="B1876" t="s">
        <v>51</v>
      </c>
      <c r="C1876" t="s">
        <v>54</v>
      </c>
      <c r="D1876" t="str">
        <f t="shared" si="174"/>
        <v>FL</v>
      </c>
      <c r="E1876" t="str">
        <f t="shared" si="175"/>
        <v>Southeast</v>
      </c>
      <c r="F1876" t="s">
        <v>42</v>
      </c>
      <c r="G1876" s="1">
        <v>44963</v>
      </c>
      <c r="H1876" s="1">
        <v>44967</v>
      </c>
      <c r="I1876" s="1">
        <f t="shared" si="179"/>
        <v>44967</v>
      </c>
      <c r="J1876" s="2">
        <v>49</v>
      </c>
      <c r="K1876" s="2">
        <v>265.52</v>
      </c>
      <c r="L1876" t="s">
        <v>15</v>
      </c>
      <c r="M1876" s="2">
        <v>1875</v>
      </c>
      <c r="N1876" s="2">
        <v>4</v>
      </c>
      <c r="O1876" s="2">
        <f t="shared" si="176"/>
        <v>468.75</v>
      </c>
      <c r="P1876" s="2">
        <f t="shared" si="177"/>
        <v>1.7654037360650801</v>
      </c>
      <c r="Q1876" s="3">
        <f t="shared" si="178"/>
        <v>0.14161066666666666</v>
      </c>
    </row>
    <row r="1877" spans="1:17" hidden="1" x14ac:dyDescent="0.25">
      <c r="A1877" t="s">
        <v>1962</v>
      </c>
      <c r="B1877" t="s">
        <v>39</v>
      </c>
      <c r="C1877" t="s">
        <v>21</v>
      </c>
      <c r="D1877" t="str">
        <f t="shared" si="174"/>
        <v>TX</v>
      </c>
      <c r="E1877" t="str">
        <f t="shared" si="175"/>
        <v>Southwest</v>
      </c>
      <c r="F1877" t="s">
        <v>37</v>
      </c>
      <c r="G1877" s="1">
        <v>45205</v>
      </c>
      <c r="H1877" s="1">
        <v>45209</v>
      </c>
      <c r="I1877" s="1">
        <f t="shared" si="179"/>
        <v>45209</v>
      </c>
      <c r="J1877" s="2">
        <v>82.4</v>
      </c>
      <c r="K1877" s="2">
        <v>279.42</v>
      </c>
      <c r="L1877" t="s">
        <v>15</v>
      </c>
      <c r="M1877" s="2">
        <v>1705</v>
      </c>
      <c r="N1877" s="2">
        <v>4</v>
      </c>
      <c r="O1877" s="2">
        <f t="shared" si="176"/>
        <v>426.25</v>
      </c>
      <c r="P1877" s="2">
        <f t="shared" si="177"/>
        <v>1.52548135423377</v>
      </c>
      <c r="Q1877" s="3">
        <f t="shared" si="178"/>
        <v>0.16388269794721408</v>
      </c>
    </row>
    <row r="1878" spans="1:17" hidden="1" x14ac:dyDescent="0.25">
      <c r="A1878" t="s">
        <v>1963</v>
      </c>
      <c r="B1878" t="s">
        <v>27</v>
      </c>
      <c r="C1878" t="s">
        <v>31</v>
      </c>
      <c r="D1878" t="str">
        <f t="shared" si="174"/>
        <v>NY</v>
      </c>
      <c r="E1878" t="str">
        <f t="shared" si="175"/>
        <v>Northeast</v>
      </c>
      <c r="F1878" t="s">
        <v>59</v>
      </c>
      <c r="G1878" s="1">
        <v>45147</v>
      </c>
      <c r="H1878" s="1">
        <v>45151</v>
      </c>
      <c r="I1878" s="1">
        <f t="shared" si="179"/>
        <v>45151</v>
      </c>
      <c r="J1878" s="2">
        <v>23.5</v>
      </c>
      <c r="K1878" s="2">
        <v>79.709999999999994</v>
      </c>
      <c r="L1878" t="s">
        <v>15</v>
      </c>
      <c r="M1878" s="2">
        <v>409</v>
      </c>
      <c r="N1878" s="2">
        <v>4</v>
      </c>
      <c r="O1878" s="2">
        <f t="shared" si="176"/>
        <v>102.25</v>
      </c>
      <c r="P1878" s="2">
        <f t="shared" si="177"/>
        <v>1.2827750595910175</v>
      </c>
      <c r="Q1878" s="3">
        <f t="shared" si="178"/>
        <v>0.19488997555012225</v>
      </c>
    </row>
    <row r="1879" spans="1:17" x14ac:dyDescent="0.25">
      <c r="A1879" t="s">
        <v>1964</v>
      </c>
      <c r="B1879" t="s">
        <v>49</v>
      </c>
      <c r="C1879" t="s">
        <v>24</v>
      </c>
      <c r="D1879" t="str">
        <f t="shared" si="174"/>
        <v>WA</v>
      </c>
      <c r="E1879" t="str">
        <f t="shared" si="175"/>
        <v>West</v>
      </c>
      <c r="F1879" t="s">
        <v>59</v>
      </c>
      <c r="G1879" s="1">
        <v>45092</v>
      </c>
      <c r="H1879" s="1">
        <v>45094</v>
      </c>
      <c r="I1879" s="1">
        <f t="shared" si="179"/>
        <v>45094</v>
      </c>
      <c r="J1879" s="2">
        <v>17.2</v>
      </c>
      <c r="K1879" s="2">
        <v>84.6</v>
      </c>
      <c r="L1879" t="s">
        <v>15</v>
      </c>
      <c r="M1879" s="2">
        <v>513</v>
      </c>
      <c r="N1879" s="2">
        <v>2</v>
      </c>
      <c r="O1879" s="2">
        <f t="shared" si="176"/>
        <v>256.5</v>
      </c>
      <c r="P1879" s="2">
        <f t="shared" si="177"/>
        <v>3.0319148936170213</v>
      </c>
      <c r="Q1879" s="3">
        <f t="shared" si="178"/>
        <v>0.16491228070175437</v>
      </c>
    </row>
    <row r="1880" spans="1:17" x14ac:dyDescent="0.25">
      <c r="A1880" t="s">
        <v>1965</v>
      </c>
      <c r="B1880" t="s">
        <v>23</v>
      </c>
      <c r="C1880" t="s">
        <v>81</v>
      </c>
      <c r="D1880" t="str">
        <f t="shared" si="174"/>
        <v>CO</v>
      </c>
      <c r="E1880" t="str">
        <f t="shared" si="175"/>
        <v>West</v>
      </c>
      <c r="F1880" t="s">
        <v>42</v>
      </c>
      <c r="G1880" s="1">
        <v>45033</v>
      </c>
      <c r="H1880" s="1">
        <v>45040</v>
      </c>
      <c r="I1880" s="1">
        <f t="shared" si="179"/>
        <v>45040</v>
      </c>
      <c r="J1880" s="2">
        <v>21.1</v>
      </c>
      <c r="K1880" s="2">
        <v>256.12</v>
      </c>
      <c r="L1880" t="s">
        <v>15</v>
      </c>
      <c r="M1880" s="2">
        <v>1974</v>
      </c>
      <c r="N1880" s="2">
        <v>7</v>
      </c>
      <c r="O1880" s="2">
        <f t="shared" si="176"/>
        <v>282</v>
      </c>
      <c r="P1880" s="2">
        <f t="shared" si="177"/>
        <v>1.1010463845072622</v>
      </c>
      <c r="Q1880" s="3">
        <f t="shared" si="178"/>
        <v>0.12974670719351572</v>
      </c>
    </row>
    <row r="1881" spans="1:17" hidden="1" x14ac:dyDescent="0.25">
      <c r="A1881" t="s">
        <v>1966</v>
      </c>
      <c r="B1881" t="s">
        <v>51</v>
      </c>
      <c r="C1881" t="s">
        <v>46</v>
      </c>
      <c r="D1881" t="str">
        <f t="shared" si="174"/>
        <v>MA</v>
      </c>
      <c r="E1881" t="str">
        <f t="shared" si="175"/>
        <v>Northeast</v>
      </c>
      <c r="F1881" t="s">
        <v>59</v>
      </c>
      <c r="G1881" s="1">
        <v>45268</v>
      </c>
      <c r="H1881" s="1">
        <v>45271</v>
      </c>
      <c r="I1881" s="1">
        <f t="shared" si="179"/>
        <v>45271</v>
      </c>
      <c r="J1881" s="2">
        <v>6.7</v>
      </c>
      <c r="K1881" s="2">
        <v>42.11</v>
      </c>
      <c r="L1881" t="s">
        <v>47</v>
      </c>
      <c r="M1881" s="2">
        <v>215</v>
      </c>
      <c r="N1881" s="2">
        <v>1</v>
      </c>
      <c r="O1881" s="2">
        <f t="shared" si="176"/>
        <v>215</v>
      </c>
      <c r="P1881" s="2">
        <f t="shared" si="177"/>
        <v>5.105675611493707</v>
      </c>
      <c r="Q1881" s="3">
        <f t="shared" si="178"/>
        <v>0.19586046511627905</v>
      </c>
    </row>
    <row r="1882" spans="1:17" x14ac:dyDescent="0.25">
      <c r="A1882" t="s">
        <v>1967</v>
      </c>
      <c r="B1882" t="s">
        <v>56</v>
      </c>
      <c r="C1882" t="s">
        <v>24</v>
      </c>
      <c r="D1882" t="str">
        <f t="shared" si="174"/>
        <v>WA</v>
      </c>
      <c r="E1882" t="str">
        <f t="shared" si="175"/>
        <v>West</v>
      </c>
      <c r="F1882" t="s">
        <v>25</v>
      </c>
      <c r="G1882" s="1">
        <v>45037</v>
      </c>
      <c r="H1882" s="1">
        <v>45039</v>
      </c>
      <c r="I1882" s="1">
        <f t="shared" si="179"/>
        <v>45039</v>
      </c>
      <c r="J1882" s="2">
        <v>17.399999999999999</v>
      </c>
      <c r="K1882" s="2">
        <v>59.13</v>
      </c>
      <c r="L1882" t="s">
        <v>15</v>
      </c>
      <c r="M1882" s="2">
        <v>284</v>
      </c>
      <c r="N1882" s="2">
        <v>2</v>
      </c>
      <c r="O1882" s="2">
        <f t="shared" si="176"/>
        <v>142</v>
      </c>
      <c r="P1882" s="2">
        <f t="shared" si="177"/>
        <v>2.4014882462371046</v>
      </c>
      <c r="Q1882" s="3">
        <f t="shared" si="178"/>
        <v>0.20820422535211269</v>
      </c>
    </row>
    <row r="1883" spans="1:17" x14ac:dyDescent="0.25">
      <c r="A1883" t="s">
        <v>1968</v>
      </c>
      <c r="B1883" t="s">
        <v>20</v>
      </c>
      <c r="C1883" t="s">
        <v>36</v>
      </c>
      <c r="D1883" t="str">
        <f t="shared" si="174"/>
        <v>OR</v>
      </c>
      <c r="E1883" t="str">
        <f t="shared" si="175"/>
        <v>West</v>
      </c>
      <c r="F1883" t="s">
        <v>32</v>
      </c>
      <c r="G1883" s="1">
        <v>45231</v>
      </c>
      <c r="H1883" s="1">
        <v>45234</v>
      </c>
      <c r="I1883" s="1">
        <f t="shared" si="179"/>
        <v>45234</v>
      </c>
      <c r="J1883" s="2">
        <v>31.2</v>
      </c>
      <c r="K1883" s="2">
        <v>228.61</v>
      </c>
      <c r="L1883" t="s">
        <v>60</v>
      </c>
      <c r="M1883" s="2">
        <v>1128</v>
      </c>
      <c r="N1883" s="2">
        <v>3</v>
      </c>
      <c r="O1883" s="2">
        <f t="shared" si="176"/>
        <v>376</v>
      </c>
      <c r="P1883" s="2">
        <f t="shared" si="177"/>
        <v>1.6447224530860416</v>
      </c>
      <c r="Q1883" s="3">
        <f t="shared" si="178"/>
        <v>0.20266843971631207</v>
      </c>
    </row>
    <row r="1884" spans="1:17" x14ac:dyDescent="0.25">
      <c r="A1884" t="s">
        <v>1969</v>
      </c>
      <c r="B1884" t="s">
        <v>39</v>
      </c>
      <c r="C1884" t="s">
        <v>13</v>
      </c>
      <c r="D1884" t="str">
        <f t="shared" ref="D1884:D1945" si="180">IF(C1884="Atlanta","GA",
IF(C1884="Boston","MA",
IF(C1884="Chicago","IL",
IF(C1884="Dallas","TX",
IF(C1884="Denver","CO",
IF(C1884="Detroit","MI",
IF(C1884="Houston","TX",
IF(C1884="Los Angeles","CA",
IF(C1884="Miami","FL",
IF(C1884="Minneapolis","MN",
IF(C1884="New York","NY",
IF(C1884="Phoenix","AZ",
IF(C1884="Portland","OR",
IF(C1884="San Francisco","CA",
IF(C1884="Seattle","WA","Unknown")))))))))))))))</f>
        <v>CA</v>
      </c>
      <c r="E1884" t="str">
        <f t="shared" ref="E1884:E1945" si="181">IF(OR(D1884="NY",D1884="NJ",D1884="PA",D1884="MA",D1884="CT",D1884="RI",D1884="VT",D1884="NH",D1884="ME"),"Northeast",
IF(OR(D1884="FL",D1884="GA",D1884="AL",D1884="MS",D1884="SC",D1884="NC",D1884="TN",D1884="KY"),"Southeast",
IF(OR(D1884="IL",D1884="IN",D1884="OH",D1884="MI",D1884="WI",D1884="MN",D1884="IA",D1884="MO",D1884="KS",D1884="NE",D1884="ND",D1884="SD"),"Midwest",
IF(OR(D1884="TX",D1884="OK",D1884="NM",D1884="AZ"),"Southwest",
IF(OR(D1884="CA",D1884="OR",D1884="WA",D1884="NV",D1884="CO",D1884="UT",D1884="ID",D1884="MT",D1884="WY",D1884="AK",D1884="HI"),"West","Other")))))</f>
        <v>West</v>
      </c>
      <c r="F1884" t="s">
        <v>42</v>
      </c>
      <c r="G1884" s="1">
        <v>45179</v>
      </c>
      <c r="H1884" s="1">
        <v>45180</v>
      </c>
      <c r="I1884" s="1">
        <f t="shared" si="179"/>
        <v>45180</v>
      </c>
      <c r="J1884" s="2">
        <v>25.7</v>
      </c>
      <c r="K1884" s="2">
        <v>55.3</v>
      </c>
      <c r="L1884" t="s">
        <v>15</v>
      </c>
      <c r="M1884" s="2">
        <v>231</v>
      </c>
      <c r="N1884" s="2">
        <v>1</v>
      </c>
      <c r="O1884" s="2">
        <f t="shared" ref="O1884:O1945" si="182">M1884/N1884</f>
        <v>231</v>
      </c>
      <c r="P1884" s="2">
        <f t="shared" ref="P1884:P1945" si="183">O1884/K1884</f>
        <v>4.1772151898734178</v>
      </c>
      <c r="Q1884" s="3">
        <f t="shared" ref="Q1884:Q1945" si="184">K1884/M1884</f>
        <v>0.23939393939393938</v>
      </c>
    </row>
    <row r="1885" spans="1:17" x14ac:dyDescent="0.25">
      <c r="A1885" t="s">
        <v>1970</v>
      </c>
      <c r="B1885" t="s">
        <v>12</v>
      </c>
      <c r="C1885" t="s">
        <v>81</v>
      </c>
      <c r="D1885" t="str">
        <f t="shared" si="180"/>
        <v>CO</v>
      </c>
      <c r="E1885" t="str">
        <f t="shared" si="181"/>
        <v>West</v>
      </c>
      <c r="F1885" t="s">
        <v>25</v>
      </c>
      <c r="G1885" s="1">
        <v>44955</v>
      </c>
      <c r="H1885" s="1">
        <v>44959</v>
      </c>
      <c r="I1885" s="1">
        <f t="shared" si="179"/>
        <v>44959</v>
      </c>
      <c r="J1885" s="2">
        <v>35.6</v>
      </c>
      <c r="K1885" s="2">
        <v>107.89</v>
      </c>
      <c r="L1885" t="s">
        <v>15</v>
      </c>
      <c r="M1885" s="2">
        <v>542</v>
      </c>
      <c r="N1885" s="2">
        <v>4</v>
      </c>
      <c r="O1885" s="2">
        <f t="shared" si="182"/>
        <v>135.5</v>
      </c>
      <c r="P1885" s="2">
        <f t="shared" si="183"/>
        <v>1.2559087959959219</v>
      </c>
      <c r="Q1885" s="3">
        <f t="shared" si="184"/>
        <v>0.19905904059040591</v>
      </c>
    </row>
    <row r="1886" spans="1:17" hidden="1" x14ac:dyDescent="0.25">
      <c r="A1886" t="s">
        <v>1971</v>
      </c>
      <c r="B1886" t="s">
        <v>56</v>
      </c>
      <c r="C1886" t="s">
        <v>31</v>
      </c>
      <c r="D1886" t="str">
        <f t="shared" si="180"/>
        <v>NY</v>
      </c>
      <c r="E1886" t="str">
        <f t="shared" si="181"/>
        <v>Northeast</v>
      </c>
      <c r="F1886" t="s">
        <v>25</v>
      </c>
      <c r="G1886" s="1">
        <v>45092</v>
      </c>
      <c r="H1886" s="1">
        <v>45093</v>
      </c>
      <c r="I1886" s="1">
        <f t="shared" si="179"/>
        <v>45093</v>
      </c>
      <c r="J1886" s="2">
        <v>29.4</v>
      </c>
      <c r="K1886" s="2">
        <v>116.46</v>
      </c>
      <c r="L1886" t="s">
        <v>15</v>
      </c>
      <c r="M1886" s="2">
        <v>636</v>
      </c>
      <c r="N1886" s="2">
        <v>1</v>
      </c>
      <c r="O1886" s="2">
        <f t="shared" si="182"/>
        <v>636</v>
      </c>
      <c r="P1886" s="2">
        <f t="shared" si="183"/>
        <v>5.4611025244719222</v>
      </c>
      <c r="Q1886" s="3">
        <f t="shared" si="184"/>
        <v>0.18311320754716981</v>
      </c>
    </row>
    <row r="1887" spans="1:17" x14ac:dyDescent="0.25">
      <c r="A1887" t="s">
        <v>1972</v>
      </c>
      <c r="B1887" t="s">
        <v>51</v>
      </c>
      <c r="C1887" t="s">
        <v>36</v>
      </c>
      <c r="D1887" t="str">
        <f t="shared" si="180"/>
        <v>OR</v>
      </c>
      <c r="E1887" t="str">
        <f t="shared" si="181"/>
        <v>West</v>
      </c>
      <c r="F1887" t="s">
        <v>59</v>
      </c>
      <c r="G1887" s="1">
        <v>45140</v>
      </c>
      <c r="H1887" s="1">
        <v>45145</v>
      </c>
      <c r="I1887" s="1">
        <f t="shared" si="179"/>
        <v>45145</v>
      </c>
      <c r="J1887" s="2">
        <v>16.7</v>
      </c>
      <c r="K1887" s="2">
        <v>179.65</v>
      </c>
      <c r="L1887" t="s">
        <v>15</v>
      </c>
      <c r="M1887" s="2">
        <v>1438</v>
      </c>
      <c r="N1887" s="2">
        <v>5</v>
      </c>
      <c r="O1887" s="2">
        <f t="shared" si="182"/>
        <v>287.60000000000002</v>
      </c>
      <c r="P1887" s="2">
        <f t="shared" si="183"/>
        <v>1.6008906206512665</v>
      </c>
      <c r="Q1887" s="3">
        <f t="shared" si="184"/>
        <v>0.12493045897079277</v>
      </c>
    </row>
    <row r="1888" spans="1:17" hidden="1" x14ac:dyDescent="0.25">
      <c r="A1888" t="s">
        <v>1973</v>
      </c>
      <c r="B1888" t="s">
        <v>23</v>
      </c>
      <c r="C1888" t="s">
        <v>52</v>
      </c>
      <c r="D1888" t="str">
        <f t="shared" si="180"/>
        <v>AZ</v>
      </c>
      <c r="E1888" t="str">
        <f t="shared" si="181"/>
        <v>Southwest</v>
      </c>
      <c r="F1888" t="s">
        <v>37</v>
      </c>
      <c r="G1888" s="1">
        <v>45100</v>
      </c>
      <c r="H1888" s="1">
        <v>45102</v>
      </c>
      <c r="I1888" s="1">
        <f t="shared" si="179"/>
        <v>45102</v>
      </c>
      <c r="J1888" s="2">
        <v>7.2</v>
      </c>
      <c r="K1888" s="2">
        <v>97.04</v>
      </c>
      <c r="L1888" t="s">
        <v>15</v>
      </c>
      <c r="M1888" s="2">
        <v>822</v>
      </c>
      <c r="N1888" s="2">
        <v>2</v>
      </c>
      <c r="O1888" s="2">
        <f t="shared" si="182"/>
        <v>411</v>
      </c>
      <c r="P1888" s="2">
        <f t="shared" si="183"/>
        <v>4.2353668590272049</v>
      </c>
      <c r="Q1888" s="3">
        <f t="shared" si="184"/>
        <v>0.11805352798053528</v>
      </c>
    </row>
    <row r="1889" spans="1:17" hidden="1" x14ac:dyDescent="0.25">
      <c r="A1889" t="s">
        <v>1974</v>
      </c>
      <c r="B1889" t="s">
        <v>39</v>
      </c>
      <c r="C1889" t="s">
        <v>52</v>
      </c>
      <c r="D1889" t="str">
        <f t="shared" si="180"/>
        <v>AZ</v>
      </c>
      <c r="E1889" t="str">
        <f t="shared" si="181"/>
        <v>Southwest</v>
      </c>
      <c r="F1889" t="s">
        <v>37</v>
      </c>
      <c r="G1889" s="1">
        <v>45210</v>
      </c>
      <c r="H1889" s="1">
        <v>45213</v>
      </c>
      <c r="I1889" s="1">
        <f t="shared" si="179"/>
        <v>45213</v>
      </c>
      <c r="J1889" s="2">
        <v>11.7</v>
      </c>
      <c r="K1889" s="2">
        <v>94.37</v>
      </c>
      <c r="L1889" t="s">
        <v>15</v>
      </c>
      <c r="M1889" s="2">
        <v>744</v>
      </c>
      <c r="N1889" s="2">
        <v>3</v>
      </c>
      <c r="O1889" s="2">
        <f t="shared" si="182"/>
        <v>248</v>
      </c>
      <c r="P1889" s="2">
        <f t="shared" si="183"/>
        <v>2.6279537988767614</v>
      </c>
      <c r="Q1889" s="3">
        <f t="shared" si="184"/>
        <v>0.12684139784946238</v>
      </c>
    </row>
    <row r="1890" spans="1:17" x14ac:dyDescent="0.25">
      <c r="A1890" t="s">
        <v>1975</v>
      </c>
      <c r="B1890" t="s">
        <v>12</v>
      </c>
      <c r="C1890" t="s">
        <v>36</v>
      </c>
      <c r="D1890" t="str">
        <f t="shared" si="180"/>
        <v>OR</v>
      </c>
      <c r="E1890" t="str">
        <f t="shared" si="181"/>
        <v>West</v>
      </c>
      <c r="F1890" t="s">
        <v>14</v>
      </c>
      <c r="G1890" s="1">
        <v>45133</v>
      </c>
      <c r="H1890" s="1">
        <v>45138</v>
      </c>
      <c r="I1890" s="1">
        <f t="shared" si="179"/>
        <v>45138</v>
      </c>
      <c r="J1890" s="2">
        <v>27.6</v>
      </c>
      <c r="K1890" s="2">
        <v>242.8</v>
      </c>
      <c r="L1890" t="s">
        <v>15</v>
      </c>
      <c r="M1890" s="2">
        <v>1549</v>
      </c>
      <c r="N1890" s="2">
        <v>5</v>
      </c>
      <c r="O1890" s="2">
        <f t="shared" si="182"/>
        <v>309.8</v>
      </c>
      <c r="P1890" s="2">
        <f t="shared" si="183"/>
        <v>1.2759472817133444</v>
      </c>
      <c r="Q1890" s="3">
        <f t="shared" si="184"/>
        <v>0.15674628792769529</v>
      </c>
    </row>
    <row r="1891" spans="1:17" hidden="1" x14ac:dyDescent="0.25">
      <c r="A1891" t="s">
        <v>1976</v>
      </c>
      <c r="B1891" t="s">
        <v>20</v>
      </c>
      <c r="C1891" t="s">
        <v>52</v>
      </c>
      <c r="D1891" t="str">
        <f t="shared" si="180"/>
        <v>AZ</v>
      </c>
      <c r="E1891" t="str">
        <f t="shared" si="181"/>
        <v>Southwest</v>
      </c>
      <c r="F1891" t="s">
        <v>42</v>
      </c>
      <c r="G1891" s="1">
        <v>44957</v>
      </c>
      <c r="H1891" s="1">
        <v>44960</v>
      </c>
      <c r="I1891" s="1">
        <f t="shared" si="179"/>
        <v>44960</v>
      </c>
      <c r="J1891" s="2">
        <v>20.5</v>
      </c>
      <c r="K1891" s="2">
        <v>75.98</v>
      </c>
      <c r="L1891" t="s">
        <v>15</v>
      </c>
      <c r="M1891" s="2">
        <v>373</v>
      </c>
      <c r="N1891" s="2">
        <v>3</v>
      </c>
      <c r="O1891" s="2">
        <f t="shared" si="182"/>
        <v>124.33333333333333</v>
      </c>
      <c r="P1891" s="2">
        <f t="shared" si="183"/>
        <v>1.6363955426866719</v>
      </c>
      <c r="Q1891" s="3">
        <f t="shared" si="184"/>
        <v>0.20369973190348525</v>
      </c>
    </row>
    <row r="1892" spans="1:17" hidden="1" x14ac:dyDescent="0.25">
      <c r="A1892" t="s">
        <v>1977</v>
      </c>
      <c r="B1892" t="s">
        <v>27</v>
      </c>
      <c r="C1892" t="s">
        <v>54</v>
      </c>
      <c r="D1892" t="str">
        <f t="shared" si="180"/>
        <v>FL</v>
      </c>
      <c r="E1892" t="str">
        <f t="shared" si="181"/>
        <v>Southeast</v>
      </c>
      <c r="F1892" t="s">
        <v>42</v>
      </c>
      <c r="G1892" s="1">
        <v>45038</v>
      </c>
      <c r="H1892" s="1">
        <v>45044</v>
      </c>
      <c r="I1892" s="1">
        <f t="shared" si="179"/>
        <v>45044</v>
      </c>
      <c r="J1892" s="2">
        <v>41</v>
      </c>
      <c r="K1892" s="2">
        <v>321.14999999999998</v>
      </c>
      <c r="L1892" t="s">
        <v>15</v>
      </c>
      <c r="M1892" s="2">
        <v>2478</v>
      </c>
      <c r="N1892" s="2">
        <v>6</v>
      </c>
      <c r="O1892" s="2">
        <f t="shared" si="182"/>
        <v>413</v>
      </c>
      <c r="P1892" s="2">
        <f t="shared" si="183"/>
        <v>1.2860034251907209</v>
      </c>
      <c r="Q1892" s="3">
        <f t="shared" si="184"/>
        <v>0.1296004842615012</v>
      </c>
    </row>
    <row r="1893" spans="1:17" x14ac:dyDescent="0.25">
      <c r="A1893" t="s">
        <v>1978</v>
      </c>
      <c r="B1893" t="s">
        <v>12</v>
      </c>
      <c r="C1893" t="s">
        <v>24</v>
      </c>
      <c r="D1893" t="str">
        <f t="shared" si="180"/>
        <v>WA</v>
      </c>
      <c r="E1893" t="str">
        <f t="shared" si="181"/>
        <v>West</v>
      </c>
      <c r="F1893" t="s">
        <v>25</v>
      </c>
      <c r="G1893" s="1">
        <v>45020</v>
      </c>
      <c r="H1893" s="1">
        <v>45021</v>
      </c>
      <c r="I1893" s="1">
        <f t="shared" si="179"/>
        <v>45021</v>
      </c>
      <c r="J1893" s="2">
        <v>13.8</v>
      </c>
      <c r="K1893" s="2">
        <v>30.2</v>
      </c>
      <c r="L1893" t="s">
        <v>15</v>
      </c>
      <c r="M1893" s="2">
        <v>142</v>
      </c>
      <c r="N1893" s="2">
        <v>1</v>
      </c>
      <c r="O1893" s="2">
        <f t="shared" si="182"/>
        <v>142</v>
      </c>
      <c r="P1893" s="2">
        <f t="shared" si="183"/>
        <v>4.7019867549668879</v>
      </c>
      <c r="Q1893" s="3">
        <f t="shared" si="184"/>
        <v>0.21267605633802816</v>
      </c>
    </row>
    <row r="1894" spans="1:17" x14ac:dyDescent="0.25">
      <c r="A1894" t="s">
        <v>1979</v>
      </c>
      <c r="B1894" t="s">
        <v>20</v>
      </c>
      <c r="C1894" t="s">
        <v>24</v>
      </c>
      <c r="D1894" t="str">
        <f t="shared" si="180"/>
        <v>WA</v>
      </c>
      <c r="E1894" t="str">
        <f t="shared" si="181"/>
        <v>West</v>
      </c>
      <c r="F1894" t="s">
        <v>59</v>
      </c>
      <c r="G1894" s="1">
        <v>45180</v>
      </c>
      <c r="H1894" s="1">
        <v>45183</v>
      </c>
      <c r="I1894" s="1">
        <f t="shared" si="179"/>
        <v>45183</v>
      </c>
      <c r="J1894" s="2">
        <v>34.200000000000003</v>
      </c>
      <c r="K1894" s="2">
        <v>156.85</v>
      </c>
      <c r="L1894" t="s">
        <v>15</v>
      </c>
      <c r="M1894" s="2">
        <v>1135</v>
      </c>
      <c r="N1894" s="2">
        <v>3</v>
      </c>
      <c r="O1894" s="2">
        <f t="shared" si="182"/>
        <v>378.33333333333331</v>
      </c>
      <c r="P1894" s="2">
        <f t="shared" si="183"/>
        <v>2.4120709807671874</v>
      </c>
      <c r="Q1894" s="3">
        <f t="shared" si="184"/>
        <v>0.13819383259911894</v>
      </c>
    </row>
    <row r="1895" spans="1:17" hidden="1" x14ac:dyDescent="0.25">
      <c r="A1895" t="s">
        <v>1981</v>
      </c>
      <c r="B1895" t="s">
        <v>56</v>
      </c>
      <c r="C1895" t="s">
        <v>54</v>
      </c>
      <c r="D1895" t="str">
        <f t="shared" si="180"/>
        <v>FL</v>
      </c>
      <c r="E1895" t="str">
        <f t="shared" si="181"/>
        <v>Southeast</v>
      </c>
      <c r="F1895" t="s">
        <v>59</v>
      </c>
      <c r="G1895" s="1">
        <v>45142</v>
      </c>
      <c r="H1895" s="1">
        <v>45148</v>
      </c>
      <c r="I1895" s="1">
        <f t="shared" si="179"/>
        <v>45148</v>
      </c>
      <c r="J1895" s="2">
        <v>20.3</v>
      </c>
      <c r="K1895" s="2">
        <v>295.36</v>
      </c>
      <c r="L1895" t="s">
        <v>15</v>
      </c>
      <c r="M1895" s="2">
        <v>2353</v>
      </c>
      <c r="N1895" s="2">
        <v>6</v>
      </c>
      <c r="O1895" s="2">
        <f t="shared" si="182"/>
        <v>392.16666666666669</v>
      </c>
      <c r="P1895" s="2">
        <f t="shared" si="183"/>
        <v>1.3277582159624413</v>
      </c>
      <c r="Q1895" s="3">
        <f t="shared" si="184"/>
        <v>0.12552486187845305</v>
      </c>
    </row>
    <row r="1896" spans="1:17" hidden="1" x14ac:dyDescent="0.25">
      <c r="A1896" t="s">
        <v>1982</v>
      </c>
      <c r="B1896" t="s">
        <v>39</v>
      </c>
      <c r="C1896" t="s">
        <v>40</v>
      </c>
      <c r="D1896" t="str">
        <f t="shared" si="180"/>
        <v>MI</v>
      </c>
      <c r="E1896" t="str">
        <f t="shared" si="181"/>
        <v>Midwest</v>
      </c>
      <c r="F1896" t="s">
        <v>42</v>
      </c>
      <c r="G1896" s="1">
        <v>44988</v>
      </c>
      <c r="H1896" s="1">
        <v>44991</v>
      </c>
      <c r="I1896" s="1">
        <f t="shared" si="179"/>
        <v>44991</v>
      </c>
      <c r="J1896" s="2">
        <v>9.9</v>
      </c>
      <c r="K1896" s="2">
        <v>161.25</v>
      </c>
      <c r="L1896" t="s">
        <v>15</v>
      </c>
      <c r="M1896" s="2">
        <v>1163</v>
      </c>
      <c r="N1896" s="2">
        <v>3</v>
      </c>
      <c r="O1896" s="2">
        <f t="shared" si="182"/>
        <v>387.66666666666669</v>
      </c>
      <c r="P1896" s="2">
        <f t="shared" si="183"/>
        <v>2.4041343669250645</v>
      </c>
      <c r="Q1896" s="3">
        <f t="shared" si="184"/>
        <v>0.13865004299226139</v>
      </c>
    </row>
    <row r="1897" spans="1:17" hidden="1" x14ac:dyDescent="0.25">
      <c r="A1897" t="s">
        <v>1983</v>
      </c>
      <c r="B1897" t="s">
        <v>35</v>
      </c>
      <c r="C1897" t="s">
        <v>40</v>
      </c>
      <c r="D1897" t="str">
        <f t="shared" si="180"/>
        <v>MI</v>
      </c>
      <c r="E1897" t="str">
        <f t="shared" si="181"/>
        <v>Midwest</v>
      </c>
      <c r="F1897" t="s">
        <v>37</v>
      </c>
      <c r="G1897" s="1">
        <v>45103</v>
      </c>
      <c r="H1897" s="1">
        <v>45104</v>
      </c>
      <c r="I1897" s="1">
        <f t="shared" si="179"/>
        <v>45104</v>
      </c>
      <c r="J1897" s="2">
        <v>9.5</v>
      </c>
      <c r="K1897" s="2">
        <v>43.35</v>
      </c>
      <c r="L1897" t="s">
        <v>15</v>
      </c>
      <c r="M1897" s="2">
        <v>283</v>
      </c>
      <c r="N1897" s="2">
        <v>1</v>
      </c>
      <c r="O1897" s="2">
        <f t="shared" si="182"/>
        <v>283</v>
      </c>
      <c r="P1897" s="2">
        <f t="shared" si="183"/>
        <v>6.5282583621683967</v>
      </c>
      <c r="Q1897" s="3">
        <f t="shared" si="184"/>
        <v>0.15318021201413429</v>
      </c>
    </row>
    <row r="1898" spans="1:17" hidden="1" x14ac:dyDescent="0.25">
      <c r="A1898" t="s">
        <v>1984</v>
      </c>
      <c r="B1898" t="s">
        <v>30</v>
      </c>
      <c r="C1898" t="s">
        <v>28</v>
      </c>
      <c r="D1898" t="str">
        <f t="shared" si="180"/>
        <v>TX</v>
      </c>
      <c r="E1898" t="str">
        <f t="shared" si="181"/>
        <v>Southwest</v>
      </c>
      <c r="F1898" t="s">
        <v>37</v>
      </c>
      <c r="G1898" s="1">
        <v>45260</v>
      </c>
      <c r="H1898" s="1">
        <v>45263</v>
      </c>
      <c r="I1898" s="1">
        <f t="shared" si="179"/>
        <v>45263</v>
      </c>
      <c r="J1898" s="2">
        <v>27</v>
      </c>
      <c r="K1898" s="2">
        <v>188.63</v>
      </c>
      <c r="L1898" t="s">
        <v>15</v>
      </c>
      <c r="M1898" s="2">
        <v>1068</v>
      </c>
      <c r="N1898" s="2">
        <v>3</v>
      </c>
      <c r="O1898" s="2">
        <f t="shared" si="182"/>
        <v>356</v>
      </c>
      <c r="P1898" s="2">
        <f t="shared" si="183"/>
        <v>1.8872925833642582</v>
      </c>
      <c r="Q1898" s="3">
        <f t="shared" si="184"/>
        <v>0.17661985018726592</v>
      </c>
    </row>
    <row r="1899" spans="1:17" hidden="1" x14ac:dyDescent="0.25">
      <c r="A1899" t="s">
        <v>1985</v>
      </c>
      <c r="B1899" t="s">
        <v>49</v>
      </c>
      <c r="C1899" t="s">
        <v>46</v>
      </c>
      <c r="D1899" t="str">
        <f t="shared" si="180"/>
        <v>MA</v>
      </c>
      <c r="E1899" t="str">
        <f t="shared" si="181"/>
        <v>Northeast</v>
      </c>
      <c r="F1899" t="s">
        <v>37</v>
      </c>
      <c r="G1899" s="1">
        <v>45276</v>
      </c>
      <c r="H1899" s="1">
        <v>45281</v>
      </c>
      <c r="I1899" s="1">
        <f t="shared" si="179"/>
        <v>45281</v>
      </c>
      <c r="J1899" s="2">
        <v>12.9</v>
      </c>
      <c r="K1899" s="2">
        <v>305.45</v>
      </c>
      <c r="L1899" t="s">
        <v>15</v>
      </c>
      <c r="M1899" s="2">
        <v>1875</v>
      </c>
      <c r="N1899" s="2">
        <v>5</v>
      </c>
      <c r="O1899" s="2">
        <f t="shared" si="182"/>
        <v>375</v>
      </c>
      <c r="P1899" s="2">
        <f t="shared" si="183"/>
        <v>1.2276968407267965</v>
      </c>
      <c r="Q1899" s="3">
        <f t="shared" si="184"/>
        <v>0.16290666666666667</v>
      </c>
    </row>
    <row r="1900" spans="1:17" hidden="1" x14ac:dyDescent="0.25">
      <c r="A1900" t="s">
        <v>1986</v>
      </c>
      <c r="B1900" t="s">
        <v>20</v>
      </c>
      <c r="C1900" t="s">
        <v>40</v>
      </c>
      <c r="D1900" t="str">
        <f t="shared" si="180"/>
        <v>MI</v>
      </c>
      <c r="E1900" t="str">
        <f t="shared" si="181"/>
        <v>Midwest</v>
      </c>
      <c r="F1900" t="s">
        <v>32</v>
      </c>
      <c r="G1900" s="1">
        <v>45251</v>
      </c>
      <c r="H1900" s="1">
        <v>45258</v>
      </c>
      <c r="I1900" s="1">
        <f t="shared" si="179"/>
        <v>45258</v>
      </c>
      <c r="J1900" s="2">
        <v>61.7</v>
      </c>
      <c r="K1900" s="2">
        <v>455.69</v>
      </c>
      <c r="L1900" t="s">
        <v>15</v>
      </c>
      <c r="M1900" s="2">
        <v>2430</v>
      </c>
      <c r="N1900" s="2">
        <v>7</v>
      </c>
      <c r="O1900" s="2">
        <f t="shared" si="182"/>
        <v>347.14285714285717</v>
      </c>
      <c r="P1900" s="2">
        <f t="shared" si="183"/>
        <v>0.76179608317684644</v>
      </c>
      <c r="Q1900" s="3">
        <f t="shared" si="184"/>
        <v>0.18752674897119342</v>
      </c>
    </row>
    <row r="1901" spans="1:17" x14ac:dyDescent="0.25">
      <c r="A1901" t="s">
        <v>1987</v>
      </c>
      <c r="B1901" t="s">
        <v>27</v>
      </c>
      <c r="C1901" t="s">
        <v>36</v>
      </c>
      <c r="D1901" t="str">
        <f t="shared" si="180"/>
        <v>OR</v>
      </c>
      <c r="E1901" t="str">
        <f t="shared" si="181"/>
        <v>West</v>
      </c>
      <c r="F1901" t="s">
        <v>42</v>
      </c>
      <c r="G1901" s="1">
        <v>45030</v>
      </c>
      <c r="H1901" s="1">
        <v>45032</v>
      </c>
      <c r="I1901" s="1">
        <f t="shared" si="179"/>
        <v>45032</v>
      </c>
      <c r="J1901" s="2">
        <v>25.3</v>
      </c>
      <c r="K1901" s="2">
        <v>92.95</v>
      </c>
      <c r="L1901" t="s">
        <v>15</v>
      </c>
      <c r="M1901" s="2">
        <v>505</v>
      </c>
      <c r="N1901" s="2">
        <v>2</v>
      </c>
      <c r="O1901" s="2">
        <f t="shared" si="182"/>
        <v>252.5</v>
      </c>
      <c r="P1901" s="2">
        <f t="shared" si="183"/>
        <v>2.7165142549757935</v>
      </c>
      <c r="Q1901" s="3">
        <f t="shared" si="184"/>
        <v>0.18405940594059406</v>
      </c>
    </row>
    <row r="1902" spans="1:17" x14ac:dyDescent="0.25">
      <c r="A1902" t="s">
        <v>1988</v>
      </c>
      <c r="B1902" t="s">
        <v>20</v>
      </c>
      <c r="C1902" t="s">
        <v>24</v>
      </c>
      <c r="D1902" t="str">
        <f t="shared" si="180"/>
        <v>WA</v>
      </c>
      <c r="E1902" t="str">
        <f t="shared" si="181"/>
        <v>West</v>
      </c>
      <c r="F1902" t="s">
        <v>25</v>
      </c>
      <c r="G1902" s="1">
        <v>45112</v>
      </c>
      <c r="H1902" s="1">
        <v>45117</v>
      </c>
      <c r="I1902" s="1">
        <f t="shared" si="179"/>
        <v>45117</v>
      </c>
      <c r="J1902" s="2">
        <v>26.4</v>
      </c>
      <c r="K1902" s="2">
        <v>161.78</v>
      </c>
      <c r="L1902" t="s">
        <v>15</v>
      </c>
      <c r="M1902" s="2">
        <v>1135</v>
      </c>
      <c r="N1902" s="2">
        <v>5</v>
      </c>
      <c r="O1902" s="2">
        <f t="shared" si="182"/>
        <v>227</v>
      </c>
      <c r="P1902" s="2">
        <f t="shared" si="183"/>
        <v>1.4031400667573248</v>
      </c>
      <c r="Q1902" s="3">
        <f t="shared" si="184"/>
        <v>0.1425374449339207</v>
      </c>
    </row>
    <row r="1903" spans="1:17" hidden="1" x14ac:dyDescent="0.25">
      <c r="A1903" t="s">
        <v>1989</v>
      </c>
      <c r="B1903" t="s">
        <v>30</v>
      </c>
      <c r="C1903" t="s">
        <v>57</v>
      </c>
      <c r="D1903" t="str">
        <f t="shared" si="180"/>
        <v>MN</v>
      </c>
      <c r="E1903" t="str">
        <f t="shared" si="181"/>
        <v>Midwest</v>
      </c>
      <c r="F1903" t="s">
        <v>59</v>
      </c>
      <c r="G1903" s="1">
        <v>45095</v>
      </c>
      <c r="H1903" s="1">
        <v>45099</v>
      </c>
      <c r="I1903" s="1">
        <f t="shared" si="179"/>
        <v>45099</v>
      </c>
      <c r="J1903" s="2">
        <v>69</v>
      </c>
      <c r="K1903" s="2">
        <v>302.62</v>
      </c>
      <c r="L1903" t="s">
        <v>60</v>
      </c>
      <c r="M1903" s="2">
        <v>1868</v>
      </c>
      <c r="N1903" s="2">
        <v>4</v>
      </c>
      <c r="O1903" s="2">
        <f t="shared" si="182"/>
        <v>467</v>
      </c>
      <c r="P1903" s="2">
        <f t="shared" si="183"/>
        <v>1.5431894785539619</v>
      </c>
      <c r="Q1903" s="3">
        <f t="shared" si="184"/>
        <v>0.16200214132762314</v>
      </c>
    </row>
    <row r="1904" spans="1:17" x14ac:dyDescent="0.25">
      <c r="A1904" t="s">
        <v>1990</v>
      </c>
      <c r="B1904" t="s">
        <v>30</v>
      </c>
      <c r="C1904" t="s">
        <v>36</v>
      </c>
      <c r="D1904" t="str">
        <f t="shared" si="180"/>
        <v>OR</v>
      </c>
      <c r="E1904" t="str">
        <f t="shared" si="181"/>
        <v>West</v>
      </c>
      <c r="F1904" t="s">
        <v>59</v>
      </c>
      <c r="G1904" s="1">
        <v>45223</v>
      </c>
      <c r="H1904" s="1">
        <v>45230</v>
      </c>
      <c r="I1904" s="1">
        <f t="shared" si="179"/>
        <v>45230</v>
      </c>
      <c r="J1904" s="2">
        <v>17</v>
      </c>
      <c r="K1904" s="2">
        <v>283.07</v>
      </c>
      <c r="L1904" t="s">
        <v>15</v>
      </c>
      <c r="M1904" s="2">
        <v>2191</v>
      </c>
      <c r="N1904" s="2">
        <v>7</v>
      </c>
      <c r="O1904" s="2">
        <f t="shared" si="182"/>
        <v>313</v>
      </c>
      <c r="P1904" s="2">
        <f t="shared" si="183"/>
        <v>1.1057335641360795</v>
      </c>
      <c r="Q1904" s="3">
        <f t="shared" si="184"/>
        <v>0.12919671382930167</v>
      </c>
    </row>
    <row r="1905" spans="1:17" hidden="1" x14ac:dyDescent="0.25">
      <c r="A1905" t="s">
        <v>1992</v>
      </c>
      <c r="B1905" t="s">
        <v>20</v>
      </c>
      <c r="C1905" t="s">
        <v>31</v>
      </c>
      <c r="D1905" t="str">
        <f t="shared" si="180"/>
        <v>NY</v>
      </c>
      <c r="E1905" t="str">
        <f t="shared" si="181"/>
        <v>Northeast</v>
      </c>
      <c r="F1905" t="s">
        <v>14</v>
      </c>
      <c r="G1905" s="1">
        <v>45289</v>
      </c>
      <c r="H1905" s="1">
        <v>45295</v>
      </c>
      <c r="I1905" s="1">
        <f t="shared" si="179"/>
        <v>45295</v>
      </c>
      <c r="J1905" s="2">
        <v>15.9</v>
      </c>
      <c r="K1905" s="2">
        <v>329.11</v>
      </c>
      <c r="L1905" t="s">
        <v>15</v>
      </c>
      <c r="M1905" s="2">
        <v>1899</v>
      </c>
      <c r="N1905" s="2">
        <v>6</v>
      </c>
      <c r="O1905" s="2">
        <f t="shared" si="182"/>
        <v>316.5</v>
      </c>
      <c r="P1905" s="2">
        <f t="shared" si="183"/>
        <v>0.96168454316186069</v>
      </c>
      <c r="Q1905" s="3">
        <f t="shared" si="184"/>
        <v>0.17330700368615062</v>
      </c>
    </row>
    <row r="1906" spans="1:17" hidden="1" x14ac:dyDescent="0.25">
      <c r="A1906" t="s">
        <v>1993</v>
      </c>
      <c r="B1906" t="s">
        <v>27</v>
      </c>
      <c r="C1906" t="s">
        <v>44</v>
      </c>
      <c r="D1906" t="str">
        <f t="shared" si="180"/>
        <v>IL</v>
      </c>
      <c r="E1906" t="str">
        <f t="shared" si="181"/>
        <v>Midwest</v>
      </c>
      <c r="F1906" t="s">
        <v>42</v>
      </c>
      <c r="G1906" s="1">
        <v>44983</v>
      </c>
      <c r="H1906" s="1">
        <v>44987</v>
      </c>
      <c r="I1906" s="1">
        <f t="shared" si="179"/>
        <v>44987</v>
      </c>
      <c r="J1906" s="2">
        <v>9.1</v>
      </c>
      <c r="K1906" s="2">
        <v>210.06</v>
      </c>
      <c r="L1906" t="s">
        <v>15</v>
      </c>
      <c r="M1906" s="2">
        <v>1754</v>
      </c>
      <c r="N1906" s="2">
        <v>4</v>
      </c>
      <c r="O1906" s="2">
        <f t="shared" si="182"/>
        <v>438.5</v>
      </c>
      <c r="P1906" s="2">
        <f t="shared" si="183"/>
        <v>2.0874988098638485</v>
      </c>
      <c r="Q1906" s="3">
        <f t="shared" si="184"/>
        <v>0.11976054732041048</v>
      </c>
    </row>
    <row r="1907" spans="1:17" hidden="1" x14ac:dyDescent="0.25">
      <c r="A1907" t="s">
        <v>1994</v>
      </c>
      <c r="B1907" t="s">
        <v>51</v>
      </c>
      <c r="C1907" t="s">
        <v>21</v>
      </c>
      <c r="D1907" t="str">
        <f t="shared" si="180"/>
        <v>TX</v>
      </c>
      <c r="E1907" t="str">
        <f t="shared" si="181"/>
        <v>Southwest</v>
      </c>
      <c r="F1907" t="s">
        <v>25</v>
      </c>
      <c r="G1907" s="1">
        <v>45179</v>
      </c>
      <c r="H1907" s="1">
        <v>45182</v>
      </c>
      <c r="I1907" s="1">
        <f t="shared" si="179"/>
        <v>45182</v>
      </c>
      <c r="J1907" s="2">
        <v>17.5</v>
      </c>
      <c r="K1907" s="2">
        <v>138.84</v>
      </c>
      <c r="L1907" t="s">
        <v>62</v>
      </c>
      <c r="M1907" s="2">
        <v>956</v>
      </c>
      <c r="N1907" s="2">
        <v>3</v>
      </c>
      <c r="O1907" s="2">
        <f t="shared" si="182"/>
        <v>318.66666666666669</v>
      </c>
      <c r="P1907" s="2">
        <f t="shared" si="183"/>
        <v>2.2952079131854415</v>
      </c>
      <c r="Q1907" s="3">
        <f t="shared" si="184"/>
        <v>0.14523012552301257</v>
      </c>
    </row>
    <row r="1908" spans="1:17" x14ac:dyDescent="0.25">
      <c r="A1908" t="s">
        <v>1995</v>
      </c>
      <c r="B1908" t="s">
        <v>56</v>
      </c>
      <c r="C1908" t="s">
        <v>70</v>
      </c>
      <c r="D1908" t="str">
        <f t="shared" si="180"/>
        <v>CA</v>
      </c>
      <c r="E1908" t="str">
        <f t="shared" si="181"/>
        <v>West</v>
      </c>
      <c r="F1908" t="s">
        <v>59</v>
      </c>
      <c r="G1908" s="1">
        <v>45134</v>
      </c>
      <c r="H1908" s="1">
        <v>45140</v>
      </c>
      <c r="I1908" s="1">
        <f t="shared" si="179"/>
        <v>45140</v>
      </c>
      <c r="J1908" s="2">
        <v>22.8</v>
      </c>
      <c r="K1908" s="2">
        <v>287.52</v>
      </c>
      <c r="L1908" t="s">
        <v>15</v>
      </c>
      <c r="M1908" s="2">
        <v>2114</v>
      </c>
      <c r="N1908" s="2">
        <v>6</v>
      </c>
      <c r="O1908" s="2">
        <f t="shared" si="182"/>
        <v>352.33333333333331</v>
      </c>
      <c r="P1908" s="2">
        <f t="shared" si="183"/>
        <v>1.2254219996290112</v>
      </c>
      <c r="Q1908" s="3">
        <f t="shared" si="184"/>
        <v>0.13600756859035004</v>
      </c>
    </row>
    <row r="1909" spans="1:17" x14ac:dyDescent="0.25">
      <c r="A1909" t="s">
        <v>1996</v>
      </c>
      <c r="B1909" t="s">
        <v>56</v>
      </c>
      <c r="C1909" t="s">
        <v>36</v>
      </c>
      <c r="D1909" t="str">
        <f t="shared" si="180"/>
        <v>OR</v>
      </c>
      <c r="E1909" t="str">
        <f t="shared" si="181"/>
        <v>West</v>
      </c>
      <c r="F1909" t="s">
        <v>42</v>
      </c>
      <c r="G1909" s="1">
        <v>45182</v>
      </c>
      <c r="H1909" s="1">
        <v>45185</v>
      </c>
      <c r="I1909" s="1">
        <f t="shared" si="179"/>
        <v>45185</v>
      </c>
      <c r="J1909" s="2">
        <v>10.1</v>
      </c>
      <c r="K1909" s="2">
        <v>138.88999999999999</v>
      </c>
      <c r="L1909" t="s">
        <v>15</v>
      </c>
      <c r="M1909" s="2">
        <v>1084</v>
      </c>
      <c r="N1909" s="2">
        <v>3</v>
      </c>
      <c r="O1909" s="2">
        <f t="shared" si="182"/>
        <v>361.33333333333331</v>
      </c>
      <c r="P1909" s="2">
        <f t="shared" si="183"/>
        <v>2.6015791873665011</v>
      </c>
      <c r="Q1909" s="3">
        <f t="shared" si="184"/>
        <v>0.12812730627306271</v>
      </c>
    </row>
    <row r="1910" spans="1:17" hidden="1" x14ac:dyDescent="0.25">
      <c r="A1910" t="s">
        <v>1997</v>
      </c>
      <c r="B1910" t="s">
        <v>39</v>
      </c>
      <c r="C1910" t="s">
        <v>21</v>
      </c>
      <c r="D1910" t="str">
        <f t="shared" si="180"/>
        <v>TX</v>
      </c>
      <c r="E1910" t="str">
        <f t="shared" si="181"/>
        <v>Southwest</v>
      </c>
      <c r="F1910" t="s">
        <v>25</v>
      </c>
      <c r="G1910" s="1">
        <v>45038</v>
      </c>
      <c r="H1910" s="1">
        <v>45042</v>
      </c>
      <c r="I1910" s="1">
        <f t="shared" si="179"/>
        <v>45042</v>
      </c>
      <c r="J1910" s="2">
        <v>22.6</v>
      </c>
      <c r="K1910" s="2">
        <v>208.71</v>
      </c>
      <c r="L1910" t="s">
        <v>15</v>
      </c>
      <c r="M1910" s="2">
        <v>1375</v>
      </c>
      <c r="N1910" s="2">
        <v>4</v>
      </c>
      <c r="O1910" s="2">
        <f t="shared" si="182"/>
        <v>343.75</v>
      </c>
      <c r="P1910" s="2">
        <f t="shared" si="183"/>
        <v>1.647022183891524</v>
      </c>
      <c r="Q1910" s="3">
        <f t="shared" si="184"/>
        <v>0.1517890909090909</v>
      </c>
    </row>
    <row r="1911" spans="1:17" x14ac:dyDescent="0.25">
      <c r="A1911" t="s">
        <v>1998</v>
      </c>
      <c r="B1911" t="s">
        <v>39</v>
      </c>
      <c r="C1911" t="s">
        <v>81</v>
      </c>
      <c r="D1911" t="str">
        <f t="shared" si="180"/>
        <v>CO</v>
      </c>
      <c r="E1911" t="str">
        <f t="shared" si="181"/>
        <v>West</v>
      </c>
      <c r="F1911" t="s">
        <v>14</v>
      </c>
      <c r="G1911" s="1">
        <v>45093</v>
      </c>
      <c r="H1911" s="1">
        <v>45096</v>
      </c>
      <c r="I1911" s="1">
        <f t="shared" si="179"/>
        <v>45096</v>
      </c>
      <c r="J1911" s="2">
        <v>6.9</v>
      </c>
      <c r="K1911" s="2">
        <v>133.01</v>
      </c>
      <c r="L1911" t="s">
        <v>15</v>
      </c>
      <c r="M1911" s="2">
        <v>1030</v>
      </c>
      <c r="N1911" s="2">
        <v>3</v>
      </c>
      <c r="O1911" s="2">
        <f t="shared" si="182"/>
        <v>343.33333333333331</v>
      </c>
      <c r="P1911" s="2">
        <f t="shared" si="183"/>
        <v>2.5812595544194674</v>
      </c>
      <c r="Q1911" s="3">
        <f t="shared" si="184"/>
        <v>0.12913592233009707</v>
      </c>
    </row>
    <row r="1912" spans="1:17" x14ac:dyDescent="0.25">
      <c r="A1912" t="s">
        <v>1999</v>
      </c>
      <c r="B1912" t="s">
        <v>35</v>
      </c>
      <c r="C1912" t="s">
        <v>70</v>
      </c>
      <c r="D1912" t="str">
        <f t="shared" si="180"/>
        <v>CA</v>
      </c>
      <c r="E1912" t="str">
        <f t="shared" si="181"/>
        <v>West</v>
      </c>
      <c r="F1912" t="s">
        <v>18</v>
      </c>
      <c r="G1912" s="1">
        <v>45279</v>
      </c>
      <c r="H1912" s="1">
        <v>45281</v>
      </c>
      <c r="I1912" s="1">
        <f t="shared" si="179"/>
        <v>45281</v>
      </c>
      <c r="J1912" s="2">
        <v>10.1</v>
      </c>
      <c r="K1912" s="2">
        <v>42.45</v>
      </c>
      <c r="L1912" t="s">
        <v>15</v>
      </c>
      <c r="M1912" s="2">
        <v>169</v>
      </c>
      <c r="N1912" s="2">
        <v>2</v>
      </c>
      <c r="O1912" s="2">
        <f t="shared" si="182"/>
        <v>84.5</v>
      </c>
      <c r="P1912" s="2">
        <f t="shared" si="183"/>
        <v>1.9905771495877502</v>
      </c>
      <c r="Q1912" s="3">
        <f t="shared" si="184"/>
        <v>0.25118343195266274</v>
      </c>
    </row>
    <row r="1913" spans="1:17" hidden="1" x14ac:dyDescent="0.25">
      <c r="A1913" t="s">
        <v>2000</v>
      </c>
      <c r="B1913" t="s">
        <v>35</v>
      </c>
      <c r="C1913" t="s">
        <v>31</v>
      </c>
      <c r="D1913" t="str">
        <f t="shared" si="180"/>
        <v>NY</v>
      </c>
      <c r="E1913" t="str">
        <f t="shared" si="181"/>
        <v>Northeast</v>
      </c>
      <c r="F1913" t="s">
        <v>59</v>
      </c>
      <c r="G1913" s="1">
        <v>44985</v>
      </c>
      <c r="H1913" s="1">
        <v>44988</v>
      </c>
      <c r="I1913" s="1">
        <f t="shared" si="179"/>
        <v>44988</v>
      </c>
      <c r="J1913" s="2">
        <v>39</v>
      </c>
      <c r="K1913" s="2">
        <v>112.83</v>
      </c>
      <c r="L1913" t="s">
        <v>15</v>
      </c>
      <c r="M1913" s="2">
        <v>706</v>
      </c>
      <c r="N1913" s="2">
        <v>3</v>
      </c>
      <c r="O1913" s="2">
        <f t="shared" si="182"/>
        <v>235.33333333333334</v>
      </c>
      <c r="P1913" s="2">
        <f t="shared" si="183"/>
        <v>2.0857336996661644</v>
      </c>
      <c r="Q1913" s="3">
        <f t="shared" si="184"/>
        <v>0.15981586402266287</v>
      </c>
    </row>
    <row r="1914" spans="1:17" x14ac:dyDescent="0.25">
      <c r="A1914" t="s">
        <v>2001</v>
      </c>
      <c r="B1914" t="s">
        <v>23</v>
      </c>
      <c r="C1914" t="s">
        <v>70</v>
      </c>
      <c r="D1914" t="str">
        <f t="shared" si="180"/>
        <v>CA</v>
      </c>
      <c r="E1914" t="str">
        <f t="shared" si="181"/>
        <v>West</v>
      </c>
      <c r="F1914" t="s">
        <v>25</v>
      </c>
      <c r="G1914" s="1">
        <v>44975</v>
      </c>
      <c r="H1914" s="1">
        <v>44978</v>
      </c>
      <c r="I1914" s="1">
        <f t="shared" si="179"/>
        <v>44978</v>
      </c>
      <c r="J1914" s="2">
        <v>30</v>
      </c>
      <c r="K1914" s="2">
        <v>143.34</v>
      </c>
      <c r="L1914" t="s">
        <v>15</v>
      </c>
      <c r="M1914" s="2">
        <v>985</v>
      </c>
      <c r="N1914" s="2">
        <v>3</v>
      </c>
      <c r="O1914" s="2">
        <f t="shared" si="182"/>
        <v>328.33333333333331</v>
      </c>
      <c r="P1914" s="2">
        <f t="shared" si="183"/>
        <v>2.2905911352960326</v>
      </c>
      <c r="Q1914" s="3">
        <f t="shared" si="184"/>
        <v>0.14552284263959392</v>
      </c>
    </row>
    <row r="1915" spans="1:17" x14ac:dyDescent="0.25">
      <c r="A1915" t="s">
        <v>2002</v>
      </c>
      <c r="B1915" t="s">
        <v>56</v>
      </c>
      <c r="C1915" t="s">
        <v>81</v>
      </c>
      <c r="D1915" t="str">
        <f t="shared" si="180"/>
        <v>CO</v>
      </c>
      <c r="E1915" t="str">
        <f t="shared" si="181"/>
        <v>West</v>
      </c>
      <c r="F1915" t="s">
        <v>32</v>
      </c>
      <c r="G1915" s="1">
        <v>45086</v>
      </c>
      <c r="H1915" s="1">
        <v>45089</v>
      </c>
      <c r="I1915" s="1">
        <f t="shared" si="179"/>
        <v>45089</v>
      </c>
      <c r="J1915" s="2">
        <v>24</v>
      </c>
      <c r="K1915" s="2">
        <v>103.6</v>
      </c>
      <c r="L1915" t="s">
        <v>47</v>
      </c>
      <c r="M1915" s="2">
        <v>506</v>
      </c>
      <c r="N1915" s="2">
        <v>2</v>
      </c>
      <c r="O1915" s="2">
        <f t="shared" si="182"/>
        <v>253</v>
      </c>
      <c r="P1915" s="2">
        <f t="shared" si="183"/>
        <v>2.4420849420849424</v>
      </c>
      <c r="Q1915" s="3">
        <f t="shared" si="184"/>
        <v>0.20474308300395255</v>
      </c>
    </row>
    <row r="1916" spans="1:17" hidden="1" x14ac:dyDescent="0.25">
      <c r="A1916" t="s">
        <v>2003</v>
      </c>
      <c r="B1916" t="s">
        <v>23</v>
      </c>
      <c r="C1916" t="s">
        <v>17</v>
      </c>
      <c r="D1916" t="str">
        <f t="shared" si="180"/>
        <v>GA</v>
      </c>
      <c r="E1916" t="str">
        <f t="shared" si="181"/>
        <v>Southeast</v>
      </c>
      <c r="F1916" t="s">
        <v>14</v>
      </c>
      <c r="G1916" s="1">
        <v>44992</v>
      </c>
      <c r="H1916" s="1">
        <v>44996</v>
      </c>
      <c r="I1916" s="1">
        <f t="shared" si="179"/>
        <v>44996</v>
      </c>
      <c r="J1916" s="2">
        <v>47.5</v>
      </c>
      <c r="K1916" s="2">
        <v>127.02</v>
      </c>
      <c r="L1916" t="s">
        <v>15</v>
      </c>
      <c r="M1916" s="2">
        <v>545</v>
      </c>
      <c r="N1916" s="2">
        <v>4</v>
      </c>
      <c r="O1916" s="2">
        <f t="shared" si="182"/>
        <v>136.25</v>
      </c>
      <c r="P1916" s="2">
        <f t="shared" si="183"/>
        <v>1.0726657219335538</v>
      </c>
      <c r="Q1916" s="3">
        <f t="shared" si="184"/>
        <v>0.23306422018348624</v>
      </c>
    </row>
    <row r="1917" spans="1:17" hidden="1" x14ac:dyDescent="0.25">
      <c r="A1917" t="s">
        <v>2004</v>
      </c>
      <c r="B1917" t="s">
        <v>56</v>
      </c>
      <c r="C1917" t="s">
        <v>28</v>
      </c>
      <c r="D1917" t="str">
        <f t="shared" si="180"/>
        <v>TX</v>
      </c>
      <c r="E1917" t="str">
        <f t="shared" si="181"/>
        <v>Southwest</v>
      </c>
      <c r="F1917" t="s">
        <v>32</v>
      </c>
      <c r="G1917" s="1">
        <v>44951</v>
      </c>
      <c r="H1917" s="1">
        <v>44954</v>
      </c>
      <c r="I1917" s="1">
        <f t="shared" si="179"/>
        <v>44954</v>
      </c>
      <c r="J1917" s="2">
        <v>26.5</v>
      </c>
      <c r="K1917" s="2">
        <v>181.68</v>
      </c>
      <c r="L1917" t="s">
        <v>15</v>
      </c>
      <c r="M1917" s="2">
        <v>1116</v>
      </c>
      <c r="N1917" s="2">
        <v>3</v>
      </c>
      <c r="O1917" s="2">
        <f t="shared" si="182"/>
        <v>372</v>
      </c>
      <c r="P1917" s="2">
        <f t="shared" si="183"/>
        <v>2.0475561426684279</v>
      </c>
      <c r="Q1917" s="3">
        <f t="shared" si="184"/>
        <v>0.1627956989247312</v>
      </c>
    </row>
    <row r="1918" spans="1:17" hidden="1" x14ac:dyDescent="0.25">
      <c r="A1918" t="s">
        <v>2005</v>
      </c>
      <c r="B1918" t="s">
        <v>12</v>
      </c>
      <c r="C1918" t="s">
        <v>44</v>
      </c>
      <c r="D1918" t="str">
        <f t="shared" si="180"/>
        <v>IL</v>
      </c>
      <c r="E1918" t="str">
        <f t="shared" si="181"/>
        <v>Midwest</v>
      </c>
      <c r="F1918" t="s">
        <v>18</v>
      </c>
      <c r="G1918" s="1">
        <v>44982</v>
      </c>
      <c r="H1918" s="1">
        <v>44985</v>
      </c>
      <c r="I1918" s="1">
        <f t="shared" si="179"/>
        <v>44985</v>
      </c>
      <c r="J1918" s="2">
        <v>9.8000000000000007</v>
      </c>
      <c r="K1918" s="2">
        <v>157.80000000000001</v>
      </c>
      <c r="L1918" t="s">
        <v>15</v>
      </c>
      <c r="M1918" s="2">
        <v>992</v>
      </c>
      <c r="N1918" s="2">
        <v>3</v>
      </c>
      <c r="O1918" s="2">
        <f t="shared" si="182"/>
        <v>330.66666666666669</v>
      </c>
      <c r="P1918" s="2">
        <f t="shared" si="183"/>
        <v>2.0954795099281789</v>
      </c>
      <c r="Q1918" s="3">
        <f t="shared" si="184"/>
        <v>0.1590725806451613</v>
      </c>
    </row>
    <row r="1919" spans="1:17" hidden="1" x14ac:dyDescent="0.25">
      <c r="A1919" t="s">
        <v>2006</v>
      </c>
      <c r="B1919" t="s">
        <v>56</v>
      </c>
      <c r="C1919" t="s">
        <v>46</v>
      </c>
      <c r="D1919" t="str">
        <f t="shared" si="180"/>
        <v>MA</v>
      </c>
      <c r="E1919" t="str">
        <f t="shared" si="181"/>
        <v>Northeast</v>
      </c>
      <c r="F1919" t="s">
        <v>59</v>
      </c>
      <c r="G1919" s="1">
        <v>45146</v>
      </c>
      <c r="H1919" s="1">
        <v>45152</v>
      </c>
      <c r="I1919" s="1">
        <f t="shared" si="179"/>
        <v>45152</v>
      </c>
      <c r="J1919" s="2">
        <v>23.4</v>
      </c>
      <c r="K1919" s="2">
        <v>226.29</v>
      </c>
      <c r="L1919" t="s">
        <v>62</v>
      </c>
      <c r="M1919" s="2">
        <v>1921</v>
      </c>
      <c r="N1919" s="2">
        <v>6</v>
      </c>
      <c r="O1919" s="2">
        <f t="shared" si="182"/>
        <v>320.16666666666669</v>
      </c>
      <c r="P1919" s="2">
        <f t="shared" si="183"/>
        <v>1.4148511497046563</v>
      </c>
      <c r="Q1919" s="3">
        <f t="shared" si="184"/>
        <v>0.1177980218636127</v>
      </c>
    </row>
    <row r="1920" spans="1:17" hidden="1" x14ac:dyDescent="0.25">
      <c r="A1920" t="s">
        <v>2007</v>
      </c>
      <c r="B1920" t="s">
        <v>49</v>
      </c>
      <c r="C1920" t="s">
        <v>31</v>
      </c>
      <c r="D1920" t="str">
        <f t="shared" si="180"/>
        <v>NY</v>
      </c>
      <c r="E1920" t="str">
        <f t="shared" si="181"/>
        <v>Northeast</v>
      </c>
      <c r="F1920" t="s">
        <v>59</v>
      </c>
      <c r="G1920" s="1">
        <v>44951</v>
      </c>
      <c r="H1920" s="1">
        <v>44952</v>
      </c>
      <c r="I1920" s="1">
        <f t="shared" si="179"/>
        <v>44952</v>
      </c>
      <c r="J1920" s="2">
        <v>6.1</v>
      </c>
      <c r="K1920" s="2">
        <v>38.31</v>
      </c>
      <c r="L1920" t="s">
        <v>15</v>
      </c>
      <c r="M1920" s="2">
        <v>247</v>
      </c>
      <c r="N1920" s="2">
        <v>1</v>
      </c>
      <c r="O1920" s="2">
        <f t="shared" si="182"/>
        <v>247</v>
      </c>
      <c r="P1920" s="2">
        <f t="shared" si="183"/>
        <v>6.4474027669015923</v>
      </c>
      <c r="Q1920" s="3">
        <f t="shared" si="184"/>
        <v>0.15510121457489878</v>
      </c>
    </row>
    <row r="1921" spans="1:17" hidden="1" x14ac:dyDescent="0.25">
      <c r="A1921" t="s">
        <v>2008</v>
      </c>
      <c r="B1921" t="s">
        <v>12</v>
      </c>
      <c r="C1921" t="s">
        <v>46</v>
      </c>
      <c r="D1921" t="str">
        <f t="shared" si="180"/>
        <v>MA</v>
      </c>
      <c r="E1921" t="str">
        <f t="shared" si="181"/>
        <v>Northeast</v>
      </c>
      <c r="F1921" t="s">
        <v>32</v>
      </c>
      <c r="G1921" s="1">
        <v>45219</v>
      </c>
      <c r="H1921" s="1">
        <v>45224</v>
      </c>
      <c r="I1921" s="1">
        <f t="shared" si="179"/>
        <v>45224</v>
      </c>
      <c r="J1921" s="2">
        <v>12.9</v>
      </c>
      <c r="K1921" s="2">
        <v>245.79</v>
      </c>
      <c r="L1921" t="s">
        <v>15</v>
      </c>
      <c r="M1921" s="2">
        <v>1734</v>
      </c>
      <c r="N1921" s="2">
        <v>5</v>
      </c>
      <c r="O1921" s="2">
        <f t="shared" si="182"/>
        <v>346.8</v>
      </c>
      <c r="P1921" s="2">
        <f t="shared" si="183"/>
        <v>1.4109605761015502</v>
      </c>
      <c r="Q1921" s="3">
        <f t="shared" si="184"/>
        <v>0.14174740484429066</v>
      </c>
    </row>
    <row r="1922" spans="1:17" hidden="1" x14ac:dyDescent="0.25">
      <c r="A1922" t="s">
        <v>2009</v>
      </c>
      <c r="B1922" t="s">
        <v>49</v>
      </c>
      <c r="C1922" t="s">
        <v>44</v>
      </c>
      <c r="D1922" t="str">
        <f t="shared" si="180"/>
        <v>IL</v>
      </c>
      <c r="E1922" t="str">
        <f t="shared" si="181"/>
        <v>Midwest</v>
      </c>
      <c r="F1922" t="s">
        <v>14</v>
      </c>
      <c r="G1922" s="1">
        <v>45200</v>
      </c>
      <c r="H1922" s="1">
        <v>45204</v>
      </c>
      <c r="I1922" s="1">
        <f t="shared" ref="I1922:I1960" si="185">IF(H1922="", G1922 + N1922, H1922)</f>
        <v>45204</v>
      </c>
      <c r="J1922" s="2">
        <v>25.7</v>
      </c>
      <c r="K1922" s="2">
        <v>208.58</v>
      </c>
      <c r="L1922" t="s">
        <v>15</v>
      </c>
      <c r="M1922" s="2">
        <v>1515</v>
      </c>
      <c r="N1922" s="2">
        <v>4</v>
      </c>
      <c r="O1922" s="2">
        <f t="shared" si="182"/>
        <v>378.75</v>
      </c>
      <c r="P1922" s="2">
        <f t="shared" si="183"/>
        <v>1.8158500335602645</v>
      </c>
      <c r="Q1922" s="3">
        <f t="shared" si="184"/>
        <v>0.1376765676567657</v>
      </c>
    </row>
    <row r="1923" spans="1:17" hidden="1" x14ac:dyDescent="0.25">
      <c r="A1923" t="s">
        <v>2010</v>
      </c>
      <c r="B1923" t="s">
        <v>20</v>
      </c>
      <c r="C1923" t="s">
        <v>52</v>
      </c>
      <c r="D1923" t="str">
        <f t="shared" si="180"/>
        <v>AZ</v>
      </c>
      <c r="E1923" t="str">
        <f t="shared" si="181"/>
        <v>Southwest</v>
      </c>
      <c r="F1923" t="s">
        <v>14</v>
      </c>
      <c r="G1923" s="1">
        <v>45044</v>
      </c>
      <c r="H1923" s="1">
        <v>45053</v>
      </c>
      <c r="I1923" s="1">
        <f t="shared" si="185"/>
        <v>45053</v>
      </c>
      <c r="J1923" s="2">
        <v>10.9</v>
      </c>
      <c r="K1923" s="2">
        <v>66.58</v>
      </c>
      <c r="L1923" t="s">
        <v>47</v>
      </c>
      <c r="M1923" s="2">
        <v>373</v>
      </c>
      <c r="N1923" s="2">
        <v>4</v>
      </c>
      <c r="O1923" s="2">
        <f t="shared" si="182"/>
        <v>93.25</v>
      </c>
      <c r="P1923" s="2">
        <f t="shared" si="183"/>
        <v>1.4005707419645539</v>
      </c>
      <c r="Q1923" s="3">
        <f t="shared" si="184"/>
        <v>0.17849865951742627</v>
      </c>
    </row>
    <row r="1924" spans="1:17" x14ac:dyDescent="0.25">
      <c r="A1924" t="s">
        <v>2011</v>
      </c>
      <c r="B1924" t="s">
        <v>12</v>
      </c>
      <c r="C1924" t="s">
        <v>13</v>
      </c>
      <c r="D1924" t="str">
        <f t="shared" si="180"/>
        <v>CA</v>
      </c>
      <c r="E1924" t="str">
        <f t="shared" si="181"/>
        <v>West</v>
      </c>
      <c r="F1924" t="s">
        <v>42</v>
      </c>
      <c r="G1924" s="1">
        <v>45251</v>
      </c>
      <c r="H1924" s="1">
        <v>45257</v>
      </c>
      <c r="I1924" s="1">
        <f t="shared" si="185"/>
        <v>45257</v>
      </c>
      <c r="J1924" s="2">
        <v>31.5</v>
      </c>
      <c r="K1924" s="2">
        <v>320.88</v>
      </c>
      <c r="L1924" t="s">
        <v>15</v>
      </c>
      <c r="M1924" s="2">
        <v>1900</v>
      </c>
      <c r="N1924" s="2">
        <v>6</v>
      </c>
      <c r="O1924" s="2">
        <f t="shared" si="182"/>
        <v>316.66666666666669</v>
      </c>
      <c r="P1924" s="2">
        <f t="shared" si="183"/>
        <v>0.98686944236682461</v>
      </c>
      <c r="Q1924" s="3">
        <f t="shared" si="184"/>
        <v>0.16888421052631578</v>
      </c>
    </row>
    <row r="1925" spans="1:17" x14ac:dyDescent="0.25">
      <c r="A1925" t="s">
        <v>2012</v>
      </c>
      <c r="B1925" t="s">
        <v>39</v>
      </c>
      <c r="C1925" t="s">
        <v>70</v>
      </c>
      <c r="D1925" t="str">
        <f t="shared" si="180"/>
        <v>CA</v>
      </c>
      <c r="E1925" t="str">
        <f t="shared" si="181"/>
        <v>West</v>
      </c>
      <c r="F1925" t="s">
        <v>14</v>
      </c>
      <c r="G1925" s="1">
        <v>45176</v>
      </c>
      <c r="H1925" s="1">
        <v>45184</v>
      </c>
      <c r="I1925" s="1">
        <f t="shared" si="185"/>
        <v>45184</v>
      </c>
      <c r="J1925" s="2">
        <v>36.700000000000003</v>
      </c>
      <c r="K1925" s="2">
        <v>314.18</v>
      </c>
      <c r="L1925" t="s">
        <v>15</v>
      </c>
      <c r="M1925" s="2">
        <v>2317</v>
      </c>
      <c r="N1925" s="2">
        <v>8</v>
      </c>
      <c r="O1925" s="2">
        <f t="shared" si="182"/>
        <v>289.625</v>
      </c>
      <c r="P1925" s="2">
        <f t="shared" si="183"/>
        <v>0.92184416576484818</v>
      </c>
      <c r="Q1925" s="3">
        <f t="shared" si="184"/>
        <v>0.13559775571860164</v>
      </c>
    </row>
    <row r="1926" spans="1:17" hidden="1" x14ac:dyDescent="0.25">
      <c r="A1926" t="s">
        <v>2013</v>
      </c>
      <c r="B1926" t="s">
        <v>35</v>
      </c>
      <c r="C1926" t="s">
        <v>21</v>
      </c>
      <c r="D1926" t="str">
        <f t="shared" si="180"/>
        <v>TX</v>
      </c>
      <c r="E1926" t="str">
        <f t="shared" si="181"/>
        <v>Southwest</v>
      </c>
      <c r="F1926" t="s">
        <v>59</v>
      </c>
      <c r="G1926" s="1">
        <v>44929</v>
      </c>
      <c r="H1926" s="1">
        <v>44936</v>
      </c>
      <c r="I1926" s="1">
        <f t="shared" si="185"/>
        <v>44936</v>
      </c>
      <c r="J1926" s="2">
        <v>19.2</v>
      </c>
      <c r="K1926" s="2">
        <v>300.32</v>
      </c>
      <c r="L1926" t="s">
        <v>15</v>
      </c>
      <c r="M1926" s="2">
        <v>2300</v>
      </c>
      <c r="N1926" s="2">
        <v>7</v>
      </c>
      <c r="O1926" s="2">
        <f t="shared" si="182"/>
        <v>328.57142857142856</v>
      </c>
      <c r="P1926" s="2">
        <f t="shared" si="183"/>
        <v>1.0940710860796103</v>
      </c>
      <c r="Q1926" s="3">
        <f t="shared" si="184"/>
        <v>0.13057391304347826</v>
      </c>
    </row>
    <row r="1927" spans="1:17" hidden="1" x14ac:dyDescent="0.25">
      <c r="A1927" t="s">
        <v>2014</v>
      </c>
      <c r="B1927" t="s">
        <v>39</v>
      </c>
      <c r="C1927" t="s">
        <v>28</v>
      </c>
      <c r="D1927" t="str">
        <f t="shared" si="180"/>
        <v>TX</v>
      </c>
      <c r="E1927" t="str">
        <f t="shared" si="181"/>
        <v>Southwest</v>
      </c>
      <c r="F1927" t="s">
        <v>14</v>
      </c>
      <c r="G1927" s="1">
        <v>44962</v>
      </c>
      <c r="H1927" s="1">
        <v>44968</v>
      </c>
      <c r="I1927" s="1">
        <f t="shared" si="185"/>
        <v>44968</v>
      </c>
      <c r="J1927" s="2">
        <v>53.9</v>
      </c>
      <c r="K1927" s="2">
        <v>377.64</v>
      </c>
      <c r="L1927" t="s">
        <v>15</v>
      </c>
      <c r="M1927" s="2">
        <v>2226</v>
      </c>
      <c r="N1927" s="2">
        <v>6</v>
      </c>
      <c r="O1927" s="2">
        <f t="shared" si="182"/>
        <v>371</v>
      </c>
      <c r="P1927" s="2">
        <f t="shared" si="183"/>
        <v>0.98241711683084421</v>
      </c>
      <c r="Q1927" s="3">
        <f t="shared" si="184"/>
        <v>0.16964959568733154</v>
      </c>
    </row>
    <row r="1928" spans="1:17" x14ac:dyDescent="0.25">
      <c r="A1928" t="s">
        <v>2015</v>
      </c>
      <c r="B1928" t="s">
        <v>49</v>
      </c>
      <c r="C1928" t="s">
        <v>81</v>
      </c>
      <c r="D1928" t="str">
        <f t="shared" si="180"/>
        <v>CO</v>
      </c>
      <c r="E1928" t="str">
        <f t="shared" si="181"/>
        <v>West</v>
      </c>
      <c r="F1928" t="s">
        <v>42</v>
      </c>
      <c r="G1928" s="1">
        <v>45001</v>
      </c>
      <c r="H1928" s="1">
        <v>45006</v>
      </c>
      <c r="I1928" s="1">
        <f t="shared" si="185"/>
        <v>45006</v>
      </c>
      <c r="J1928" s="2">
        <v>39.4</v>
      </c>
      <c r="K1928" s="2">
        <v>149.04</v>
      </c>
      <c r="L1928" t="s">
        <v>15</v>
      </c>
      <c r="M1928" s="2">
        <v>826</v>
      </c>
      <c r="N1928" s="2">
        <v>5</v>
      </c>
      <c r="O1928" s="2">
        <f t="shared" si="182"/>
        <v>165.2</v>
      </c>
      <c r="P1928" s="2">
        <f t="shared" si="183"/>
        <v>1.1084272678475577</v>
      </c>
      <c r="Q1928" s="3">
        <f t="shared" si="184"/>
        <v>0.18043583535108959</v>
      </c>
    </row>
    <row r="1929" spans="1:17" x14ac:dyDescent="0.25">
      <c r="A1929" t="s">
        <v>2016</v>
      </c>
      <c r="B1929" t="s">
        <v>51</v>
      </c>
      <c r="C1929" t="s">
        <v>24</v>
      </c>
      <c r="D1929" t="str">
        <f t="shared" si="180"/>
        <v>WA</v>
      </c>
      <c r="E1929" t="str">
        <f t="shared" si="181"/>
        <v>West</v>
      </c>
      <c r="F1929" t="s">
        <v>42</v>
      </c>
      <c r="G1929" s="1">
        <v>44953</v>
      </c>
      <c r="H1929" s="1">
        <v>44960</v>
      </c>
      <c r="I1929" s="1">
        <f t="shared" si="185"/>
        <v>44960</v>
      </c>
      <c r="J1929" s="2">
        <v>73.2</v>
      </c>
      <c r="K1929" s="2">
        <v>294.41000000000003</v>
      </c>
      <c r="L1929" t="s">
        <v>15</v>
      </c>
      <c r="M1929" s="2">
        <v>1577</v>
      </c>
      <c r="N1929" s="2">
        <v>7</v>
      </c>
      <c r="O1929" s="2">
        <f t="shared" si="182"/>
        <v>225.28571428571428</v>
      </c>
      <c r="P1929" s="2">
        <f t="shared" si="183"/>
        <v>0.76521080902725536</v>
      </c>
      <c r="Q1929" s="3">
        <f t="shared" si="184"/>
        <v>0.18668991756499684</v>
      </c>
    </row>
    <row r="1930" spans="1:17" hidden="1" x14ac:dyDescent="0.25">
      <c r="A1930" t="s">
        <v>2017</v>
      </c>
      <c r="B1930" t="s">
        <v>20</v>
      </c>
      <c r="C1930" t="s">
        <v>28</v>
      </c>
      <c r="D1930" t="str">
        <f t="shared" si="180"/>
        <v>TX</v>
      </c>
      <c r="E1930" t="str">
        <f t="shared" si="181"/>
        <v>Southwest</v>
      </c>
      <c r="F1930" t="s">
        <v>37</v>
      </c>
      <c r="G1930" s="1">
        <v>45206</v>
      </c>
      <c r="H1930" s="1">
        <v>45209</v>
      </c>
      <c r="I1930" s="1">
        <f t="shared" si="185"/>
        <v>45209</v>
      </c>
      <c r="J1930" s="2">
        <v>8.3000000000000007</v>
      </c>
      <c r="K1930" s="2">
        <v>174.8</v>
      </c>
      <c r="L1930" t="s">
        <v>15</v>
      </c>
      <c r="M1930" s="2">
        <v>1435</v>
      </c>
      <c r="N1930" s="2">
        <v>3</v>
      </c>
      <c r="O1930" s="2">
        <f t="shared" si="182"/>
        <v>478.33333333333331</v>
      </c>
      <c r="P1930" s="2">
        <f t="shared" si="183"/>
        <v>2.736460717009916</v>
      </c>
      <c r="Q1930" s="3">
        <f t="shared" si="184"/>
        <v>0.12181184668989548</v>
      </c>
    </row>
    <row r="1931" spans="1:17" hidden="1" x14ac:dyDescent="0.25">
      <c r="A1931" t="s">
        <v>2018</v>
      </c>
      <c r="B1931" t="s">
        <v>27</v>
      </c>
      <c r="C1931" t="s">
        <v>28</v>
      </c>
      <c r="D1931" t="str">
        <f t="shared" si="180"/>
        <v>TX</v>
      </c>
      <c r="E1931" t="str">
        <f t="shared" si="181"/>
        <v>Southwest</v>
      </c>
      <c r="F1931" t="s">
        <v>25</v>
      </c>
      <c r="G1931" s="1">
        <v>45240</v>
      </c>
      <c r="H1931" s="1">
        <v>45243</v>
      </c>
      <c r="I1931" s="1">
        <f t="shared" si="185"/>
        <v>45243</v>
      </c>
      <c r="J1931" s="2">
        <v>20.399999999999999</v>
      </c>
      <c r="K1931" s="2">
        <v>149.88999999999999</v>
      </c>
      <c r="L1931" t="s">
        <v>15</v>
      </c>
      <c r="M1931" s="2">
        <v>943</v>
      </c>
      <c r="N1931" s="2">
        <v>3</v>
      </c>
      <c r="O1931" s="2">
        <f t="shared" si="182"/>
        <v>314.33333333333331</v>
      </c>
      <c r="P1931" s="2">
        <f t="shared" si="183"/>
        <v>2.0970934240665375</v>
      </c>
      <c r="Q1931" s="3">
        <f t="shared" si="184"/>
        <v>0.15895015906680804</v>
      </c>
    </row>
    <row r="1932" spans="1:17" hidden="1" x14ac:dyDescent="0.25">
      <c r="A1932" t="s">
        <v>2019</v>
      </c>
      <c r="B1932" t="s">
        <v>39</v>
      </c>
      <c r="C1932" t="s">
        <v>44</v>
      </c>
      <c r="D1932" t="str">
        <f t="shared" si="180"/>
        <v>IL</v>
      </c>
      <c r="E1932" t="str">
        <f t="shared" si="181"/>
        <v>Midwest</v>
      </c>
      <c r="F1932" t="s">
        <v>42</v>
      </c>
      <c r="G1932" s="1">
        <v>44995</v>
      </c>
      <c r="H1932" s="1">
        <v>44999</v>
      </c>
      <c r="I1932" s="1">
        <f t="shared" si="185"/>
        <v>44999</v>
      </c>
      <c r="J1932" s="2">
        <v>9.5</v>
      </c>
      <c r="K1932" s="2">
        <v>217.11</v>
      </c>
      <c r="L1932" t="s">
        <v>15</v>
      </c>
      <c r="M1932" s="2">
        <v>1843</v>
      </c>
      <c r="N1932" s="2">
        <v>4</v>
      </c>
      <c r="O1932" s="2">
        <f t="shared" si="182"/>
        <v>460.75</v>
      </c>
      <c r="P1932" s="2">
        <f t="shared" si="183"/>
        <v>2.1221961217815855</v>
      </c>
      <c r="Q1932" s="3">
        <f t="shared" si="184"/>
        <v>0.11780249593054802</v>
      </c>
    </row>
    <row r="1933" spans="1:17" hidden="1" x14ac:dyDescent="0.25">
      <c r="A1933" t="s">
        <v>2020</v>
      </c>
      <c r="B1933" t="s">
        <v>30</v>
      </c>
      <c r="C1933" t="s">
        <v>21</v>
      </c>
      <c r="D1933" t="str">
        <f t="shared" si="180"/>
        <v>TX</v>
      </c>
      <c r="E1933" t="str">
        <f t="shared" si="181"/>
        <v>Southwest</v>
      </c>
      <c r="F1933" t="s">
        <v>59</v>
      </c>
      <c r="G1933" s="1">
        <v>45106</v>
      </c>
      <c r="H1933" s="1">
        <v>45107</v>
      </c>
      <c r="I1933" s="1">
        <f t="shared" si="185"/>
        <v>45107</v>
      </c>
      <c r="J1933" s="2">
        <v>9.5</v>
      </c>
      <c r="K1933" s="2">
        <v>31.25</v>
      </c>
      <c r="L1933" t="s">
        <v>15</v>
      </c>
      <c r="M1933" s="2">
        <v>209</v>
      </c>
      <c r="N1933" s="2">
        <v>1</v>
      </c>
      <c r="O1933" s="2">
        <f t="shared" si="182"/>
        <v>209</v>
      </c>
      <c r="P1933" s="2">
        <f t="shared" si="183"/>
        <v>6.6879999999999997</v>
      </c>
      <c r="Q1933" s="3">
        <f t="shared" si="184"/>
        <v>0.14952153110047847</v>
      </c>
    </row>
    <row r="1934" spans="1:17" hidden="1" x14ac:dyDescent="0.25">
      <c r="A1934" t="s">
        <v>2021</v>
      </c>
      <c r="B1934" t="s">
        <v>51</v>
      </c>
      <c r="C1934" t="s">
        <v>21</v>
      </c>
      <c r="D1934" t="str">
        <f t="shared" si="180"/>
        <v>TX</v>
      </c>
      <c r="E1934" t="str">
        <f t="shared" si="181"/>
        <v>Southwest</v>
      </c>
      <c r="F1934" t="s">
        <v>32</v>
      </c>
      <c r="G1934" s="1">
        <v>45069</v>
      </c>
      <c r="H1934" s="1">
        <v>45073</v>
      </c>
      <c r="I1934" s="1">
        <f t="shared" si="185"/>
        <v>45073</v>
      </c>
      <c r="J1934" s="2">
        <v>16.100000000000001</v>
      </c>
      <c r="K1934" s="2">
        <v>252.26</v>
      </c>
      <c r="L1934" t="s">
        <v>15</v>
      </c>
      <c r="M1934" s="2">
        <v>1711</v>
      </c>
      <c r="N1934" s="2">
        <v>4</v>
      </c>
      <c r="O1934" s="2">
        <f t="shared" si="182"/>
        <v>427.75</v>
      </c>
      <c r="P1934" s="2">
        <f t="shared" si="183"/>
        <v>1.6956711329580592</v>
      </c>
      <c r="Q1934" s="3">
        <f t="shared" si="184"/>
        <v>0.14743424897720631</v>
      </c>
    </row>
    <row r="1935" spans="1:17" hidden="1" x14ac:dyDescent="0.25">
      <c r="A1935" t="s">
        <v>2022</v>
      </c>
      <c r="B1935" t="s">
        <v>20</v>
      </c>
      <c r="C1935" t="s">
        <v>21</v>
      </c>
      <c r="D1935" t="str">
        <f t="shared" si="180"/>
        <v>TX</v>
      </c>
      <c r="E1935" t="str">
        <f t="shared" si="181"/>
        <v>Southwest</v>
      </c>
      <c r="F1935" t="s">
        <v>18</v>
      </c>
      <c r="G1935" s="1">
        <v>45147</v>
      </c>
      <c r="H1935" s="1">
        <v>45151</v>
      </c>
      <c r="I1935" s="1">
        <f t="shared" si="185"/>
        <v>45151</v>
      </c>
      <c r="J1935" s="2">
        <v>14.4</v>
      </c>
      <c r="K1935" s="2">
        <v>125.69</v>
      </c>
      <c r="L1935" t="s">
        <v>15</v>
      </c>
      <c r="M1935" s="2">
        <v>693</v>
      </c>
      <c r="N1935" s="2">
        <v>4</v>
      </c>
      <c r="O1935" s="2">
        <f t="shared" si="182"/>
        <v>173.25</v>
      </c>
      <c r="P1935" s="2">
        <f t="shared" si="183"/>
        <v>1.3783912801336622</v>
      </c>
      <c r="Q1935" s="3">
        <f t="shared" si="184"/>
        <v>0.18137085137085138</v>
      </c>
    </row>
    <row r="1936" spans="1:17" hidden="1" x14ac:dyDescent="0.25">
      <c r="A1936" t="s">
        <v>2023</v>
      </c>
      <c r="B1936" t="s">
        <v>30</v>
      </c>
      <c r="C1936" t="s">
        <v>21</v>
      </c>
      <c r="D1936" t="str">
        <f t="shared" si="180"/>
        <v>TX</v>
      </c>
      <c r="E1936" t="str">
        <f t="shared" si="181"/>
        <v>Southwest</v>
      </c>
      <c r="F1936" t="s">
        <v>42</v>
      </c>
      <c r="G1936" s="1">
        <v>45276</v>
      </c>
      <c r="H1936" s="1">
        <v>45278</v>
      </c>
      <c r="I1936" s="1">
        <f t="shared" si="185"/>
        <v>45278</v>
      </c>
      <c r="J1936" s="2">
        <v>18.7</v>
      </c>
      <c r="K1936" s="2">
        <v>166.44</v>
      </c>
      <c r="L1936" t="s">
        <v>15</v>
      </c>
      <c r="M1936" s="2">
        <v>998</v>
      </c>
      <c r="N1936" s="2">
        <v>2</v>
      </c>
      <c r="O1936" s="2">
        <f t="shared" si="182"/>
        <v>499</v>
      </c>
      <c r="P1936" s="2">
        <f t="shared" si="183"/>
        <v>2.9980773852439317</v>
      </c>
      <c r="Q1936" s="3">
        <f t="shared" si="184"/>
        <v>0.16677354709418837</v>
      </c>
    </row>
    <row r="1937" spans="1:17" hidden="1" x14ac:dyDescent="0.25">
      <c r="A1937" t="s">
        <v>2024</v>
      </c>
      <c r="B1937" t="s">
        <v>20</v>
      </c>
      <c r="C1937" t="s">
        <v>28</v>
      </c>
      <c r="D1937" t="str">
        <f t="shared" si="180"/>
        <v>TX</v>
      </c>
      <c r="E1937" t="str">
        <f t="shared" si="181"/>
        <v>Southwest</v>
      </c>
      <c r="F1937" t="s">
        <v>37</v>
      </c>
      <c r="G1937" s="1">
        <v>45176</v>
      </c>
      <c r="H1937" s="1">
        <v>45180</v>
      </c>
      <c r="I1937" s="1">
        <f t="shared" si="185"/>
        <v>45180</v>
      </c>
      <c r="J1937" s="2">
        <v>27.8</v>
      </c>
      <c r="K1937" s="2">
        <v>198.3</v>
      </c>
      <c r="L1937" t="s">
        <v>15</v>
      </c>
      <c r="M1937" s="2">
        <v>1435</v>
      </c>
      <c r="N1937" s="2">
        <v>4</v>
      </c>
      <c r="O1937" s="2">
        <f t="shared" si="182"/>
        <v>358.75</v>
      </c>
      <c r="P1937" s="2">
        <f t="shared" si="183"/>
        <v>1.8091275844679777</v>
      </c>
      <c r="Q1937" s="3">
        <f t="shared" si="184"/>
        <v>0.13818815331010453</v>
      </c>
    </row>
    <row r="1938" spans="1:17" hidden="1" x14ac:dyDescent="0.25">
      <c r="A1938" t="s">
        <v>2025</v>
      </c>
      <c r="B1938" t="s">
        <v>35</v>
      </c>
      <c r="C1938" t="s">
        <v>21</v>
      </c>
      <c r="D1938" t="str">
        <f t="shared" si="180"/>
        <v>TX</v>
      </c>
      <c r="E1938" t="str">
        <f t="shared" si="181"/>
        <v>Southwest</v>
      </c>
      <c r="F1938" t="s">
        <v>14</v>
      </c>
      <c r="G1938" s="1">
        <v>45056</v>
      </c>
      <c r="H1938" s="1">
        <v>45069</v>
      </c>
      <c r="I1938" s="1">
        <f t="shared" si="185"/>
        <v>45069</v>
      </c>
      <c r="J1938" s="2">
        <v>29.6</v>
      </c>
      <c r="K1938" s="2">
        <v>300.77</v>
      </c>
      <c r="L1938" t="s">
        <v>47</v>
      </c>
      <c r="M1938" s="2">
        <v>2345</v>
      </c>
      <c r="N1938" s="2">
        <v>6</v>
      </c>
      <c r="O1938" s="2">
        <f t="shared" si="182"/>
        <v>390.83333333333331</v>
      </c>
      <c r="P1938" s="2">
        <f t="shared" si="183"/>
        <v>1.2994425419201827</v>
      </c>
      <c r="Q1938" s="3">
        <f t="shared" si="184"/>
        <v>0.12826012793176972</v>
      </c>
    </row>
    <row r="1939" spans="1:17" hidden="1" x14ac:dyDescent="0.25">
      <c r="A1939" t="s">
        <v>2026</v>
      </c>
      <c r="B1939" t="s">
        <v>35</v>
      </c>
      <c r="C1939" t="s">
        <v>17</v>
      </c>
      <c r="D1939" t="str">
        <f t="shared" si="180"/>
        <v>GA</v>
      </c>
      <c r="E1939" t="str">
        <f t="shared" si="181"/>
        <v>Southeast</v>
      </c>
      <c r="F1939" t="s">
        <v>59</v>
      </c>
      <c r="G1939" s="1">
        <v>45040</v>
      </c>
      <c r="H1939" s="1">
        <v>45045</v>
      </c>
      <c r="I1939" s="1">
        <f t="shared" si="185"/>
        <v>45045</v>
      </c>
      <c r="J1939" s="2">
        <v>31.3</v>
      </c>
      <c r="K1939" s="2">
        <v>291.05</v>
      </c>
      <c r="L1939" t="s">
        <v>15</v>
      </c>
      <c r="M1939" s="2">
        <v>2030</v>
      </c>
      <c r="N1939" s="2">
        <v>5</v>
      </c>
      <c r="O1939" s="2">
        <f t="shared" si="182"/>
        <v>406</v>
      </c>
      <c r="P1939" s="2">
        <f t="shared" si="183"/>
        <v>1.394949321422436</v>
      </c>
      <c r="Q1939" s="3">
        <f t="shared" si="184"/>
        <v>0.14337438423645321</v>
      </c>
    </row>
    <row r="1940" spans="1:17" x14ac:dyDescent="0.25">
      <c r="A1940" t="s">
        <v>2027</v>
      </c>
      <c r="B1940" t="s">
        <v>27</v>
      </c>
      <c r="C1940" t="s">
        <v>36</v>
      </c>
      <c r="D1940" t="str">
        <f t="shared" si="180"/>
        <v>OR</v>
      </c>
      <c r="E1940" t="str">
        <f t="shared" si="181"/>
        <v>West</v>
      </c>
      <c r="F1940" t="s">
        <v>32</v>
      </c>
      <c r="G1940" s="1">
        <v>45051</v>
      </c>
      <c r="H1940" s="1">
        <v>45056</v>
      </c>
      <c r="I1940" s="1">
        <f t="shared" si="185"/>
        <v>45056</v>
      </c>
      <c r="J1940" s="2">
        <v>54.6</v>
      </c>
      <c r="K1940" s="2">
        <v>307.89999999999998</v>
      </c>
      <c r="L1940" t="s">
        <v>15</v>
      </c>
      <c r="M1940" s="2">
        <v>1675</v>
      </c>
      <c r="N1940" s="2">
        <v>5</v>
      </c>
      <c r="O1940" s="2">
        <f t="shared" si="182"/>
        <v>335</v>
      </c>
      <c r="P1940" s="2">
        <f t="shared" si="183"/>
        <v>1.0880155894771031</v>
      </c>
      <c r="Q1940" s="3">
        <f t="shared" si="184"/>
        <v>0.18382089552238803</v>
      </c>
    </row>
    <row r="1941" spans="1:17" hidden="1" x14ac:dyDescent="0.25">
      <c r="A1941" t="s">
        <v>2028</v>
      </c>
      <c r="B1941" t="s">
        <v>27</v>
      </c>
      <c r="C1941" t="s">
        <v>40</v>
      </c>
      <c r="D1941" t="str">
        <f t="shared" si="180"/>
        <v>MI</v>
      </c>
      <c r="E1941" t="str">
        <f t="shared" si="181"/>
        <v>Midwest</v>
      </c>
      <c r="F1941" t="s">
        <v>18</v>
      </c>
      <c r="G1941" s="1">
        <v>44988</v>
      </c>
      <c r="H1941" s="1">
        <v>44994</v>
      </c>
      <c r="I1941" s="1">
        <f t="shared" si="185"/>
        <v>44994</v>
      </c>
      <c r="J1941" s="2">
        <v>21.5</v>
      </c>
      <c r="K1941" s="2">
        <v>264.67</v>
      </c>
      <c r="L1941" t="s">
        <v>15</v>
      </c>
      <c r="M1941" s="2">
        <v>1813</v>
      </c>
      <c r="N1941" s="2">
        <v>6</v>
      </c>
      <c r="O1941" s="2">
        <f t="shared" si="182"/>
        <v>302.16666666666669</v>
      </c>
      <c r="P1941" s="2">
        <f t="shared" si="183"/>
        <v>1.1416732786740722</v>
      </c>
      <c r="Q1941" s="3">
        <f t="shared" si="184"/>
        <v>0.14598455598455598</v>
      </c>
    </row>
    <row r="1942" spans="1:17" hidden="1" x14ac:dyDescent="0.25">
      <c r="A1942" t="s">
        <v>2029</v>
      </c>
      <c r="B1942" t="s">
        <v>27</v>
      </c>
      <c r="C1942" t="s">
        <v>31</v>
      </c>
      <c r="D1942" t="str">
        <f t="shared" si="180"/>
        <v>NY</v>
      </c>
      <c r="E1942" t="str">
        <f t="shared" si="181"/>
        <v>Northeast</v>
      </c>
      <c r="F1942" t="s">
        <v>14</v>
      </c>
      <c r="G1942" s="1">
        <v>44976</v>
      </c>
      <c r="H1942" s="1">
        <v>44978</v>
      </c>
      <c r="I1942" s="1">
        <f t="shared" si="185"/>
        <v>44978</v>
      </c>
      <c r="J1942" s="2">
        <v>20.100000000000001</v>
      </c>
      <c r="K1942" s="2">
        <v>100.6</v>
      </c>
      <c r="L1942" t="s">
        <v>15</v>
      </c>
      <c r="M1942" s="2">
        <v>596</v>
      </c>
      <c r="N1942" s="2">
        <v>2</v>
      </c>
      <c r="O1942" s="2">
        <f t="shared" si="182"/>
        <v>298</v>
      </c>
      <c r="P1942" s="2">
        <f t="shared" si="183"/>
        <v>2.962226640159046</v>
      </c>
      <c r="Q1942" s="3">
        <f t="shared" si="184"/>
        <v>0.16879194630872482</v>
      </c>
    </row>
    <row r="1943" spans="1:17" hidden="1" x14ac:dyDescent="0.25">
      <c r="A1943" t="s">
        <v>2030</v>
      </c>
      <c r="B1943" t="s">
        <v>56</v>
      </c>
      <c r="C1943" t="s">
        <v>57</v>
      </c>
      <c r="D1943" t="str">
        <f t="shared" si="180"/>
        <v>MN</v>
      </c>
      <c r="E1943" t="str">
        <f t="shared" si="181"/>
        <v>Midwest</v>
      </c>
      <c r="F1943" t="s">
        <v>25</v>
      </c>
      <c r="G1943" s="1">
        <v>44996</v>
      </c>
      <c r="H1943" s="1">
        <v>45004</v>
      </c>
      <c r="I1943" s="1">
        <f t="shared" si="185"/>
        <v>45004</v>
      </c>
      <c r="J1943" s="2">
        <v>33.9</v>
      </c>
      <c r="K1943" s="2">
        <v>172.51</v>
      </c>
      <c r="L1943" t="s">
        <v>15</v>
      </c>
      <c r="M1943" s="2">
        <v>1174</v>
      </c>
      <c r="N1943" s="2">
        <v>8</v>
      </c>
      <c r="O1943" s="2">
        <f t="shared" si="182"/>
        <v>146.75</v>
      </c>
      <c r="P1943" s="2">
        <f t="shared" si="183"/>
        <v>0.85067532316967132</v>
      </c>
      <c r="Q1943" s="3">
        <f t="shared" si="184"/>
        <v>0.14694207836456558</v>
      </c>
    </row>
    <row r="1944" spans="1:17" hidden="1" x14ac:dyDescent="0.25">
      <c r="A1944" t="s">
        <v>2031</v>
      </c>
      <c r="B1944" t="s">
        <v>49</v>
      </c>
      <c r="C1944" t="s">
        <v>17</v>
      </c>
      <c r="D1944" t="str">
        <f t="shared" si="180"/>
        <v>GA</v>
      </c>
      <c r="E1944" t="str">
        <f t="shared" si="181"/>
        <v>Southeast</v>
      </c>
      <c r="F1944" t="s">
        <v>37</v>
      </c>
      <c r="G1944" s="1">
        <v>45062</v>
      </c>
      <c r="H1944" s="1">
        <v>45063</v>
      </c>
      <c r="I1944" s="1">
        <f t="shared" si="185"/>
        <v>45063</v>
      </c>
      <c r="J1944" s="2">
        <v>36.5</v>
      </c>
      <c r="K1944" s="2">
        <v>58.02</v>
      </c>
      <c r="L1944" t="s">
        <v>15</v>
      </c>
      <c r="M1944" s="2">
        <v>145</v>
      </c>
      <c r="N1944" s="2">
        <v>1</v>
      </c>
      <c r="O1944" s="2">
        <f t="shared" si="182"/>
        <v>145</v>
      </c>
      <c r="P1944" s="2">
        <f t="shared" si="183"/>
        <v>2.4991382281971735</v>
      </c>
      <c r="Q1944" s="3">
        <f t="shared" si="184"/>
        <v>0.40013793103448281</v>
      </c>
    </row>
    <row r="1945" spans="1:17" x14ac:dyDescent="0.25">
      <c r="A1945" t="s">
        <v>2032</v>
      </c>
      <c r="B1945" t="s">
        <v>20</v>
      </c>
      <c r="C1945" t="s">
        <v>81</v>
      </c>
      <c r="D1945" t="str">
        <f t="shared" si="180"/>
        <v>CO</v>
      </c>
      <c r="E1945" t="str">
        <f t="shared" si="181"/>
        <v>West</v>
      </c>
      <c r="F1945" t="s">
        <v>14</v>
      </c>
      <c r="G1945" s="1">
        <v>45228</v>
      </c>
      <c r="H1945" s="1">
        <v>45229</v>
      </c>
      <c r="I1945" s="1">
        <f t="shared" si="185"/>
        <v>45229</v>
      </c>
      <c r="J1945" s="2">
        <v>33</v>
      </c>
      <c r="K1945" s="2">
        <v>58.45</v>
      </c>
      <c r="L1945" t="s">
        <v>15</v>
      </c>
      <c r="M1945" s="2">
        <v>111</v>
      </c>
      <c r="N1945" s="2">
        <v>1</v>
      </c>
      <c r="O1945" s="2">
        <f t="shared" si="182"/>
        <v>111</v>
      </c>
      <c r="P1945" s="2">
        <f t="shared" si="183"/>
        <v>1.8990590248075276</v>
      </c>
      <c r="Q1945" s="3">
        <f t="shared" si="184"/>
        <v>0.52657657657657664</v>
      </c>
    </row>
    <row r="1946" spans="1:17" hidden="1" x14ac:dyDescent="0.25">
      <c r="A1946" t="s">
        <v>2033</v>
      </c>
      <c r="B1946" t="s">
        <v>51</v>
      </c>
      <c r="C1946" t="s">
        <v>31</v>
      </c>
      <c r="D1946" t="str">
        <f t="shared" ref="D1946:D1960" si="186">IF(C1946="Atlanta","GA",
IF(C1946="Boston","MA",
IF(C1946="Chicago","IL",
IF(C1946="Dallas","TX",
IF(C1946="Denver","CO",
IF(C1946="Detroit","MI",
IF(C1946="Houston","TX",
IF(C1946="Los Angeles","CA",
IF(C1946="Miami","FL",
IF(C1946="Minneapolis","MN",
IF(C1946="New York","NY",
IF(C1946="Phoenix","AZ",
IF(C1946="Portland","OR",
IF(C1946="San Francisco","CA",
IF(C1946="Seattle","WA","Unknown")))))))))))))))</f>
        <v>NY</v>
      </c>
      <c r="E1946" t="str">
        <f t="shared" ref="E1946:E1960" si="187">IF(OR(D1946="NY",D1946="NJ",D1946="PA",D1946="MA",D1946="CT",D1946="RI",D1946="VT",D1946="NH",D1946="ME"),"Northeast",
IF(OR(D1946="FL",D1946="GA",D1946="AL",D1946="MS",D1946="SC",D1946="NC",D1946="TN",D1946="KY"),"Southeast",
IF(OR(D1946="IL",D1946="IN",D1946="OH",D1946="MI",D1946="WI",D1946="MN",D1946="IA",D1946="MO",D1946="KS",D1946="NE",D1946="ND",D1946="SD"),"Midwest",
IF(OR(D1946="TX",D1946="OK",D1946="NM",D1946="AZ"),"Southwest",
IF(OR(D1946="CA",D1946="OR",D1946="WA",D1946="NV",D1946="CO",D1946="UT",D1946="ID",D1946="MT",D1946="WY",D1946="AK",D1946="HI"),"West","Other")))))</f>
        <v>Northeast</v>
      </c>
      <c r="F1946" t="s">
        <v>18</v>
      </c>
      <c r="G1946" s="1">
        <v>45197</v>
      </c>
      <c r="H1946" s="1">
        <v>45202</v>
      </c>
      <c r="I1946" s="1">
        <f t="shared" si="185"/>
        <v>45202</v>
      </c>
      <c r="J1946" s="2">
        <v>40</v>
      </c>
      <c r="K1946" s="2">
        <v>308.58999999999997</v>
      </c>
      <c r="L1946" t="s">
        <v>15</v>
      </c>
      <c r="M1946" s="2">
        <v>2018</v>
      </c>
      <c r="N1946" s="2">
        <v>5</v>
      </c>
      <c r="O1946" s="2">
        <f t="shared" ref="O1946:O1960" si="188">M1946/N1946</f>
        <v>403.6</v>
      </c>
      <c r="P1946" s="2">
        <f t="shared" ref="P1946:P1960" si="189">O1946/K1946</f>
        <v>1.307884247707314</v>
      </c>
      <c r="Q1946" s="3">
        <f t="shared" ref="Q1946:Q1960" si="190">K1946/M1946</f>
        <v>0.1529187314172448</v>
      </c>
    </row>
    <row r="1947" spans="1:17" hidden="1" x14ac:dyDescent="0.25">
      <c r="A1947" t="s">
        <v>2034</v>
      </c>
      <c r="B1947" t="s">
        <v>12</v>
      </c>
      <c r="C1947" t="s">
        <v>40</v>
      </c>
      <c r="D1947" t="str">
        <f t="shared" si="186"/>
        <v>MI</v>
      </c>
      <c r="E1947" t="str">
        <f t="shared" si="187"/>
        <v>Midwest</v>
      </c>
      <c r="F1947" t="s">
        <v>25</v>
      </c>
      <c r="G1947" s="1">
        <v>45211</v>
      </c>
      <c r="H1947" s="1">
        <v>45216</v>
      </c>
      <c r="I1947" s="1">
        <f t="shared" si="185"/>
        <v>45216</v>
      </c>
      <c r="J1947" s="2">
        <v>4.8</v>
      </c>
      <c r="K1947" s="2">
        <v>31.95</v>
      </c>
      <c r="L1947" t="s">
        <v>47</v>
      </c>
      <c r="M1947" s="2">
        <v>236</v>
      </c>
      <c r="N1947" s="2">
        <v>3</v>
      </c>
      <c r="O1947" s="2">
        <f t="shared" si="188"/>
        <v>78.666666666666671</v>
      </c>
      <c r="P1947" s="2">
        <f t="shared" si="189"/>
        <v>2.4621804903495046</v>
      </c>
      <c r="Q1947" s="3">
        <f t="shared" si="190"/>
        <v>0.13538135593220338</v>
      </c>
    </row>
    <row r="1948" spans="1:17" hidden="1" x14ac:dyDescent="0.25">
      <c r="A1948" t="s">
        <v>2035</v>
      </c>
      <c r="B1948" t="s">
        <v>39</v>
      </c>
      <c r="C1948" t="s">
        <v>54</v>
      </c>
      <c r="D1948" t="str">
        <f t="shared" si="186"/>
        <v>FL</v>
      </c>
      <c r="E1948" t="str">
        <f t="shared" si="187"/>
        <v>Southeast</v>
      </c>
      <c r="F1948" t="s">
        <v>42</v>
      </c>
      <c r="G1948" s="1">
        <v>45139</v>
      </c>
      <c r="H1948" s="1">
        <v>45142</v>
      </c>
      <c r="I1948" s="1">
        <f t="shared" si="185"/>
        <v>45142</v>
      </c>
      <c r="J1948" s="2">
        <v>6.5</v>
      </c>
      <c r="K1948" s="2">
        <v>115.78</v>
      </c>
      <c r="L1948" t="s">
        <v>15</v>
      </c>
      <c r="M1948" s="2">
        <v>948</v>
      </c>
      <c r="N1948" s="2">
        <v>3</v>
      </c>
      <c r="O1948" s="2">
        <f t="shared" si="188"/>
        <v>316</v>
      </c>
      <c r="P1948" s="2">
        <f t="shared" si="189"/>
        <v>2.7293142166177233</v>
      </c>
      <c r="Q1948" s="3">
        <f t="shared" si="190"/>
        <v>0.12213080168776372</v>
      </c>
    </row>
    <row r="1949" spans="1:17" hidden="1" x14ac:dyDescent="0.25">
      <c r="A1949" t="s">
        <v>2036</v>
      </c>
      <c r="B1949" t="s">
        <v>20</v>
      </c>
      <c r="C1949" t="s">
        <v>17</v>
      </c>
      <c r="D1949" t="str">
        <f t="shared" si="186"/>
        <v>GA</v>
      </c>
      <c r="E1949" t="str">
        <f t="shared" si="187"/>
        <v>Southeast</v>
      </c>
      <c r="F1949" t="s">
        <v>37</v>
      </c>
      <c r="G1949" s="1">
        <v>44944</v>
      </c>
      <c r="H1949" s="1">
        <v>44952</v>
      </c>
      <c r="I1949" s="1">
        <f t="shared" si="185"/>
        <v>44952</v>
      </c>
      <c r="J1949" s="2">
        <v>78.2</v>
      </c>
      <c r="K1949" s="2">
        <v>392</v>
      </c>
      <c r="L1949" t="s">
        <v>15</v>
      </c>
      <c r="M1949" s="2">
        <v>2309</v>
      </c>
      <c r="N1949" s="2">
        <v>8</v>
      </c>
      <c r="O1949" s="2">
        <f t="shared" si="188"/>
        <v>288.625</v>
      </c>
      <c r="P1949" s="2">
        <f t="shared" si="189"/>
        <v>0.73628826530612246</v>
      </c>
      <c r="Q1949" s="3">
        <f t="shared" si="190"/>
        <v>0.16977046340407104</v>
      </c>
    </row>
    <row r="1950" spans="1:17" hidden="1" x14ac:dyDescent="0.25">
      <c r="A1950" t="s">
        <v>2037</v>
      </c>
      <c r="B1950" t="s">
        <v>35</v>
      </c>
      <c r="C1950" t="s">
        <v>54</v>
      </c>
      <c r="D1950" t="str">
        <f t="shared" si="186"/>
        <v>FL</v>
      </c>
      <c r="E1950" t="str">
        <f t="shared" si="187"/>
        <v>Southeast</v>
      </c>
      <c r="F1950" t="s">
        <v>32</v>
      </c>
      <c r="G1950" s="1">
        <v>45267</v>
      </c>
      <c r="H1950" s="1">
        <v>45272</v>
      </c>
      <c r="I1950" s="1">
        <f t="shared" si="185"/>
        <v>45272</v>
      </c>
      <c r="J1950" s="2">
        <v>29.1</v>
      </c>
      <c r="K1950" s="2">
        <v>240.47</v>
      </c>
      <c r="L1950" t="s">
        <v>15</v>
      </c>
      <c r="M1950" s="2">
        <v>1350</v>
      </c>
      <c r="N1950" s="2">
        <v>5</v>
      </c>
      <c r="O1950" s="2">
        <f t="shared" si="188"/>
        <v>270</v>
      </c>
      <c r="P1950" s="2">
        <f t="shared" si="189"/>
        <v>1.1228011810205014</v>
      </c>
      <c r="Q1950" s="3">
        <f t="shared" si="190"/>
        <v>0.17812592592592594</v>
      </c>
    </row>
    <row r="1951" spans="1:17" hidden="1" x14ac:dyDescent="0.25">
      <c r="A1951" t="s">
        <v>2038</v>
      </c>
      <c r="B1951" t="s">
        <v>39</v>
      </c>
      <c r="C1951" t="s">
        <v>44</v>
      </c>
      <c r="D1951" t="str">
        <f t="shared" si="186"/>
        <v>IL</v>
      </c>
      <c r="E1951" t="str">
        <f t="shared" si="187"/>
        <v>Midwest</v>
      </c>
      <c r="F1951" t="s">
        <v>25</v>
      </c>
      <c r="G1951" s="1">
        <v>44970</v>
      </c>
      <c r="H1951" s="1">
        <v>44975</v>
      </c>
      <c r="I1951" s="1">
        <f t="shared" si="185"/>
        <v>44975</v>
      </c>
      <c r="J1951" s="2">
        <v>38.799999999999997</v>
      </c>
      <c r="K1951" s="2">
        <v>248.5</v>
      </c>
      <c r="L1951" t="s">
        <v>15</v>
      </c>
      <c r="M1951" s="2">
        <v>1877</v>
      </c>
      <c r="N1951" s="2">
        <v>5</v>
      </c>
      <c r="O1951" s="2">
        <f t="shared" si="188"/>
        <v>375.4</v>
      </c>
      <c r="P1951" s="2">
        <f t="shared" si="189"/>
        <v>1.5106639839034204</v>
      </c>
      <c r="Q1951" s="3">
        <f t="shared" si="190"/>
        <v>0.13239211507725093</v>
      </c>
    </row>
    <row r="1952" spans="1:17" x14ac:dyDescent="0.25">
      <c r="A1952" t="s">
        <v>2039</v>
      </c>
      <c r="B1952" t="s">
        <v>49</v>
      </c>
      <c r="C1952" t="s">
        <v>24</v>
      </c>
      <c r="D1952" t="str">
        <f t="shared" si="186"/>
        <v>WA</v>
      </c>
      <c r="E1952" t="str">
        <f t="shared" si="187"/>
        <v>West</v>
      </c>
      <c r="F1952" t="s">
        <v>18</v>
      </c>
      <c r="G1952" s="1">
        <v>45104</v>
      </c>
      <c r="H1952" s="1">
        <v>45110</v>
      </c>
      <c r="I1952" s="1">
        <f t="shared" si="185"/>
        <v>45110</v>
      </c>
      <c r="J1952" s="2">
        <v>17.7</v>
      </c>
      <c r="K1952" s="2">
        <v>368.38</v>
      </c>
      <c r="L1952" t="s">
        <v>15</v>
      </c>
      <c r="M1952" s="2">
        <v>2300</v>
      </c>
      <c r="N1952" s="2">
        <v>6</v>
      </c>
      <c r="O1952" s="2">
        <f t="shared" si="188"/>
        <v>383.33333333333331</v>
      </c>
      <c r="P1952" s="2">
        <f t="shared" si="189"/>
        <v>1.0405921421720326</v>
      </c>
      <c r="Q1952" s="3">
        <f t="shared" si="190"/>
        <v>0.16016521739130435</v>
      </c>
    </row>
    <row r="1953" spans="1:17" x14ac:dyDescent="0.25">
      <c r="A1953" t="s">
        <v>2040</v>
      </c>
      <c r="B1953" t="s">
        <v>30</v>
      </c>
      <c r="C1953" t="s">
        <v>36</v>
      </c>
      <c r="D1953" t="str">
        <f t="shared" si="186"/>
        <v>OR</v>
      </c>
      <c r="E1953" t="str">
        <f t="shared" si="187"/>
        <v>West</v>
      </c>
      <c r="F1953" t="s">
        <v>25</v>
      </c>
      <c r="G1953" s="1">
        <v>45203</v>
      </c>
      <c r="H1953" s="1">
        <v>45204</v>
      </c>
      <c r="I1953" s="1">
        <f t="shared" si="185"/>
        <v>45204</v>
      </c>
      <c r="J1953" s="2">
        <v>43.2</v>
      </c>
      <c r="K1953" s="2">
        <v>73.03</v>
      </c>
      <c r="L1953" t="s">
        <v>15</v>
      </c>
      <c r="M1953" s="2">
        <v>177</v>
      </c>
      <c r="N1953" s="2">
        <v>1</v>
      </c>
      <c r="O1953" s="2">
        <f t="shared" si="188"/>
        <v>177</v>
      </c>
      <c r="P1953" s="2">
        <f t="shared" si="189"/>
        <v>2.4236615089689169</v>
      </c>
      <c r="Q1953" s="3">
        <f t="shared" si="190"/>
        <v>0.4125988700564972</v>
      </c>
    </row>
    <row r="1954" spans="1:17" hidden="1" x14ac:dyDescent="0.25">
      <c r="A1954" t="s">
        <v>2041</v>
      </c>
      <c r="B1954" t="s">
        <v>35</v>
      </c>
      <c r="C1954" t="s">
        <v>46</v>
      </c>
      <c r="D1954" t="str">
        <f t="shared" si="186"/>
        <v>MA</v>
      </c>
      <c r="E1954" t="str">
        <f t="shared" si="187"/>
        <v>Northeast</v>
      </c>
      <c r="F1954" t="s">
        <v>18</v>
      </c>
      <c r="G1954" s="1">
        <v>45086</v>
      </c>
      <c r="H1954" s="1">
        <v>45092</v>
      </c>
      <c r="I1954" s="1">
        <f t="shared" si="185"/>
        <v>45092</v>
      </c>
      <c r="J1954" s="2">
        <v>10.3</v>
      </c>
      <c r="K1954" s="2">
        <v>355.32</v>
      </c>
      <c r="L1954" t="s">
        <v>15</v>
      </c>
      <c r="M1954" s="2">
        <v>2350</v>
      </c>
      <c r="N1954" s="2">
        <v>6</v>
      </c>
      <c r="O1954" s="2">
        <f t="shared" si="188"/>
        <v>391.66666666666669</v>
      </c>
      <c r="P1954" s="2">
        <f t="shared" si="189"/>
        <v>1.1022927689594357</v>
      </c>
      <c r="Q1954" s="3">
        <f t="shared" si="190"/>
        <v>0.1512</v>
      </c>
    </row>
    <row r="1955" spans="1:17" x14ac:dyDescent="0.25">
      <c r="A1955" t="s">
        <v>2042</v>
      </c>
      <c r="B1955" t="s">
        <v>27</v>
      </c>
      <c r="C1955" t="s">
        <v>24</v>
      </c>
      <c r="D1955" t="str">
        <f t="shared" si="186"/>
        <v>WA</v>
      </c>
      <c r="E1955" t="str">
        <f t="shared" si="187"/>
        <v>West</v>
      </c>
      <c r="F1955" t="s">
        <v>37</v>
      </c>
      <c r="G1955" s="1">
        <v>45240</v>
      </c>
      <c r="H1955" s="1">
        <v>45242</v>
      </c>
      <c r="I1955" s="1">
        <f t="shared" si="185"/>
        <v>45242</v>
      </c>
      <c r="J1955" s="2">
        <v>59.7</v>
      </c>
      <c r="K1955" s="2">
        <v>130</v>
      </c>
      <c r="L1955" t="s">
        <v>15</v>
      </c>
      <c r="M1955" s="2">
        <v>237</v>
      </c>
      <c r="N1955" s="2">
        <v>2</v>
      </c>
      <c r="O1955" s="2">
        <f t="shared" si="188"/>
        <v>118.5</v>
      </c>
      <c r="P1955" s="2">
        <f t="shared" si="189"/>
        <v>0.91153846153846152</v>
      </c>
      <c r="Q1955" s="3">
        <f t="shared" si="190"/>
        <v>0.54852320675105481</v>
      </c>
    </row>
    <row r="1956" spans="1:17" x14ac:dyDescent="0.25">
      <c r="A1956" t="s">
        <v>2043</v>
      </c>
      <c r="B1956" t="s">
        <v>23</v>
      </c>
      <c r="C1956" t="s">
        <v>13</v>
      </c>
      <c r="D1956" t="str">
        <f t="shared" si="186"/>
        <v>CA</v>
      </c>
      <c r="E1956" t="str">
        <f t="shared" si="187"/>
        <v>West</v>
      </c>
      <c r="F1956" t="s">
        <v>32</v>
      </c>
      <c r="G1956" s="1">
        <v>44944</v>
      </c>
      <c r="H1956" s="1">
        <v>44949</v>
      </c>
      <c r="I1956" s="1">
        <f t="shared" si="185"/>
        <v>44949</v>
      </c>
      <c r="J1956" s="2">
        <v>7.9</v>
      </c>
      <c r="K1956" s="2">
        <v>217.78</v>
      </c>
      <c r="L1956" t="s">
        <v>15</v>
      </c>
      <c r="M1956" s="2">
        <v>1616</v>
      </c>
      <c r="N1956" s="2">
        <v>5</v>
      </c>
      <c r="O1956" s="2">
        <f t="shared" si="188"/>
        <v>323.2</v>
      </c>
      <c r="P1956" s="2">
        <f t="shared" si="189"/>
        <v>1.484066489117458</v>
      </c>
      <c r="Q1956" s="3">
        <f t="shared" si="190"/>
        <v>0.13476485148514852</v>
      </c>
    </row>
    <row r="1957" spans="1:17" hidden="1" x14ac:dyDescent="0.25">
      <c r="A1957" t="s">
        <v>2044</v>
      </c>
      <c r="B1957" t="s">
        <v>39</v>
      </c>
      <c r="C1957" t="s">
        <v>52</v>
      </c>
      <c r="D1957" t="str">
        <f t="shared" si="186"/>
        <v>AZ</v>
      </c>
      <c r="E1957" t="str">
        <f t="shared" si="187"/>
        <v>Southwest</v>
      </c>
      <c r="F1957" t="s">
        <v>14</v>
      </c>
      <c r="G1957" s="1">
        <v>45226</v>
      </c>
      <c r="H1957" s="1">
        <v>45231</v>
      </c>
      <c r="I1957" s="1">
        <f t="shared" si="185"/>
        <v>45231</v>
      </c>
      <c r="J1957" s="2">
        <v>36.5</v>
      </c>
      <c r="K1957" s="2">
        <v>279.47000000000003</v>
      </c>
      <c r="L1957" t="s">
        <v>15</v>
      </c>
      <c r="M1957" s="2">
        <v>1708</v>
      </c>
      <c r="N1957" s="2">
        <v>5</v>
      </c>
      <c r="O1957" s="2">
        <f t="shared" si="188"/>
        <v>341.6</v>
      </c>
      <c r="P1957" s="2">
        <f t="shared" si="189"/>
        <v>1.2223136651518947</v>
      </c>
      <c r="Q1957" s="3">
        <f t="shared" si="190"/>
        <v>0.16362412177985949</v>
      </c>
    </row>
    <row r="1958" spans="1:17" x14ac:dyDescent="0.25">
      <c r="A1958" t="s">
        <v>2045</v>
      </c>
      <c r="B1958" t="s">
        <v>39</v>
      </c>
      <c r="C1958" t="s">
        <v>36</v>
      </c>
      <c r="D1958" t="str">
        <f t="shared" si="186"/>
        <v>OR</v>
      </c>
      <c r="E1958" t="str">
        <f t="shared" si="187"/>
        <v>West</v>
      </c>
      <c r="F1958" t="s">
        <v>42</v>
      </c>
      <c r="G1958" s="1">
        <v>44970</v>
      </c>
      <c r="H1958" s="1">
        <v>44976</v>
      </c>
      <c r="I1958" s="1">
        <f t="shared" si="185"/>
        <v>44976</v>
      </c>
      <c r="J1958" s="2">
        <v>11.4</v>
      </c>
      <c r="K1958" s="2">
        <v>250.32</v>
      </c>
      <c r="L1958" t="s">
        <v>15</v>
      </c>
      <c r="M1958" s="2">
        <v>1912</v>
      </c>
      <c r="N1958" s="2">
        <v>6</v>
      </c>
      <c r="O1958" s="2">
        <f t="shared" si="188"/>
        <v>318.66666666666669</v>
      </c>
      <c r="P1958" s="2">
        <f t="shared" si="189"/>
        <v>1.2730371790774477</v>
      </c>
      <c r="Q1958" s="3">
        <f t="shared" si="190"/>
        <v>0.13092050209205019</v>
      </c>
    </row>
    <row r="1959" spans="1:17" hidden="1" x14ac:dyDescent="0.25">
      <c r="A1959" t="s">
        <v>2046</v>
      </c>
      <c r="B1959" t="s">
        <v>49</v>
      </c>
      <c r="C1959" t="s">
        <v>40</v>
      </c>
      <c r="D1959" t="str">
        <f t="shared" si="186"/>
        <v>MI</v>
      </c>
      <c r="E1959" t="str">
        <f t="shared" si="187"/>
        <v>Midwest</v>
      </c>
      <c r="F1959" t="s">
        <v>59</v>
      </c>
      <c r="G1959" s="1">
        <v>45216</v>
      </c>
      <c r="H1959" s="1">
        <v>45221</v>
      </c>
      <c r="I1959" s="1">
        <f t="shared" si="185"/>
        <v>45221</v>
      </c>
      <c r="J1959" s="2">
        <v>10.9</v>
      </c>
      <c r="K1959" s="2">
        <v>272.31</v>
      </c>
      <c r="L1959" t="s">
        <v>15</v>
      </c>
      <c r="M1959" s="2">
        <v>2188</v>
      </c>
      <c r="N1959" s="2">
        <v>5</v>
      </c>
      <c r="O1959" s="2">
        <f t="shared" si="188"/>
        <v>437.6</v>
      </c>
      <c r="P1959" s="2">
        <f t="shared" si="189"/>
        <v>1.6069920311409791</v>
      </c>
      <c r="Q1959" s="3">
        <f t="shared" si="190"/>
        <v>0.12445612431444242</v>
      </c>
    </row>
    <row r="1960" spans="1:17" x14ac:dyDescent="0.25">
      <c r="A1960" t="s">
        <v>2047</v>
      </c>
      <c r="B1960" t="s">
        <v>12</v>
      </c>
      <c r="C1960" t="s">
        <v>36</v>
      </c>
      <c r="D1960" t="str">
        <f t="shared" si="186"/>
        <v>OR</v>
      </c>
      <c r="E1960" t="str">
        <f t="shared" si="187"/>
        <v>West</v>
      </c>
      <c r="F1960" t="s">
        <v>25</v>
      </c>
      <c r="G1960" s="1">
        <v>45115</v>
      </c>
      <c r="I1960" s="1">
        <f t="shared" si="185"/>
        <v>45122</v>
      </c>
      <c r="J1960" s="2">
        <v>49.5</v>
      </c>
      <c r="K1960" s="2">
        <v>360.74</v>
      </c>
      <c r="L1960" t="s">
        <v>15</v>
      </c>
      <c r="M1960" s="2">
        <v>2321</v>
      </c>
      <c r="N1960" s="2">
        <v>7</v>
      </c>
      <c r="O1960" s="2">
        <f t="shared" si="188"/>
        <v>331.57142857142856</v>
      </c>
      <c r="P1960" s="2">
        <f t="shared" si="189"/>
        <v>0.91914239776966389</v>
      </c>
      <c r="Q1960" s="3">
        <f t="shared" si="190"/>
        <v>0.1554243860404998</v>
      </c>
    </row>
  </sheetData>
  <autoFilter ref="A1:Q1960" xr:uid="{3659157D-C0AA-4B8D-A25E-99E944B7F67B}">
    <filterColumn colId="4">
      <filters>
        <filter val="West"/>
      </filters>
    </filterColumn>
  </autoFilter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7EEEE-E933-4723-9DB4-2EF299486E30}">
  <dimension ref="A1:B15"/>
  <sheetViews>
    <sheetView workbookViewId="0">
      <selection activeCell="G22" sqref="G22"/>
    </sheetView>
  </sheetViews>
  <sheetFormatPr defaultRowHeight="15" x14ac:dyDescent="0.25"/>
  <sheetData>
    <row r="1" spans="1:2" x14ac:dyDescent="0.25">
      <c r="A1" s="5" t="s">
        <v>7</v>
      </c>
      <c r="B1" s="5"/>
    </row>
    <row r="3" spans="1:2" x14ac:dyDescent="0.25">
      <c r="A3" t="s">
        <v>2054</v>
      </c>
      <c r="B3">
        <v>205.16159775395619</v>
      </c>
    </row>
    <row r="4" spans="1:2" x14ac:dyDescent="0.25">
      <c r="A4" t="s">
        <v>2055</v>
      </c>
      <c r="B4">
        <v>5.0289901843779878</v>
      </c>
    </row>
    <row r="5" spans="1:2" x14ac:dyDescent="0.25">
      <c r="A5" t="s">
        <v>2056</v>
      </c>
      <c r="B5">
        <v>196.42</v>
      </c>
    </row>
    <row r="6" spans="1:2" x14ac:dyDescent="0.25">
      <c r="A6" t="s">
        <v>2057</v>
      </c>
      <c r="B6">
        <v>266.08</v>
      </c>
    </row>
    <row r="7" spans="1:2" x14ac:dyDescent="0.25">
      <c r="A7" t="s">
        <v>2058</v>
      </c>
      <c r="B7">
        <v>222.58608248469383</v>
      </c>
    </row>
    <row r="8" spans="1:2" x14ac:dyDescent="0.25">
      <c r="A8" t="s">
        <v>2059</v>
      </c>
      <c r="B8">
        <v>49544.564115882931</v>
      </c>
    </row>
    <row r="9" spans="1:2" x14ac:dyDescent="0.25">
      <c r="A9" t="s">
        <v>2060</v>
      </c>
      <c r="B9">
        <v>613.54116595495702</v>
      </c>
    </row>
    <row r="10" spans="1:2" x14ac:dyDescent="0.25">
      <c r="A10" t="s">
        <v>2061</v>
      </c>
      <c r="B10">
        <v>22.174121059392402</v>
      </c>
    </row>
    <row r="11" spans="1:2" x14ac:dyDescent="0.25">
      <c r="A11" t="s">
        <v>2062</v>
      </c>
      <c r="B11">
        <v>6544.32</v>
      </c>
    </row>
    <row r="12" spans="1:2" x14ac:dyDescent="0.25">
      <c r="A12" t="s">
        <v>2063</v>
      </c>
      <c r="B12">
        <v>17.89</v>
      </c>
    </row>
    <row r="13" spans="1:2" x14ac:dyDescent="0.25">
      <c r="A13" t="s">
        <v>2064</v>
      </c>
      <c r="B13">
        <v>6562.21</v>
      </c>
    </row>
    <row r="14" spans="1:2" x14ac:dyDescent="0.25">
      <c r="A14" t="s">
        <v>2065</v>
      </c>
      <c r="B14">
        <v>401911.57000000018</v>
      </c>
    </row>
    <row r="15" spans="1:2" ht="15.75" thickBot="1" x14ac:dyDescent="0.3">
      <c r="A15" s="4" t="s">
        <v>2066</v>
      </c>
      <c r="B15" s="4">
        <v>1959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8E585-AA88-493B-B57F-124482F48499}">
  <dimension ref="A1:B15"/>
  <sheetViews>
    <sheetView workbookViewId="0">
      <selection activeCell="G30" sqref="G30"/>
    </sheetView>
  </sheetViews>
  <sheetFormatPr defaultRowHeight="15" x14ac:dyDescent="0.25"/>
  <cols>
    <col min="1" max="1" width="18" bestFit="1" customWidth="1"/>
  </cols>
  <sheetData>
    <row r="1" spans="1:2" x14ac:dyDescent="0.25">
      <c r="A1" s="5" t="s">
        <v>2050</v>
      </c>
      <c r="B1" s="5"/>
    </row>
    <row r="3" spans="1:2" x14ac:dyDescent="0.25">
      <c r="A3" t="s">
        <v>2054</v>
      </c>
      <c r="B3">
        <v>302.78046635316906</v>
      </c>
    </row>
    <row r="4" spans="1:2" x14ac:dyDescent="0.25">
      <c r="A4" t="s">
        <v>2055</v>
      </c>
      <c r="B4">
        <v>2.5199457488608181</v>
      </c>
    </row>
    <row r="5" spans="1:2" x14ac:dyDescent="0.25">
      <c r="A5" t="s">
        <v>2056</v>
      </c>
      <c r="B5">
        <v>314.66666666666669</v>
      </c>
    </row>
    <row r="6" spans="1:2" x14ac:dyDescent="0.25">
      <c r="A6" t="s">
        <v>2057</v>
      </c>
      <c r="B6">
        <v>250</v>
      </c>
    </row>
    <row r="7" spans="1:2" x14ac:dyDescent="0.25">
      <c r="A7" t="s">
        <v>2058</v>
      </c>
      <c r="B7">
        <v>111.53429053317258</v>
      </c>
    </row>
    <row r="8" spans="1:2" x14ac:dyDescent="0.25">
      <c r="A8" t="s">
        <v>2059</v>
      </c>
      <c r="B8">
        <v>12439.897964738149</v>
      </c>
    </row>
    <row r="9" spans="1:2" x14ac:dyDescent="0.25">
      <c r="A9" t="s">
        <v>2060</v>
      </c>
      <c r="B9">
        <v>-0.41961550830986472</v>
      </c>
    </row>
    <row r="10" spans="1:2" x14ac:dyDescent="0.25">
      <c r="A10" t="s">
        <v>2061</v>
      </c>
      <c r="B10">
        <v>-0.23077129765109236</v>
      </c>
    </row>
    <row r="11" spans="1:2" x14ac:dyDescent="0.25">
      <c r="A11" t="s">
        <v>2062</v>
      </c>
      <c r="B11">
        <v>648.75</v>
      </c>
    </row>
    <row r="12" spans="1:2" x14ac:dyDescent="0.25">
      <c r="A12" t="s">
        <v>2063</v>
      </c>
      <c r="B12">
        <v>26.25</v>
      </c>
    </row>
    <row r="13" spans="1:2" x14ac:dyDescent="0.25">
      <c r="A13" t="s">
        <v>2064</v>
      </c>
      <c r="B13">
        <v>675</v>
      </c>
    </row>
    <row r="14" spans="1:2" x14ac:dyDescent="0.25">
      <c r="A14" t="s">
        <v>2065</v>
      </c>
      <c r="B14">
        <v>593146.93358585821</v>
      </c>
    </row>
    <row r="15" spans="1:2" ht="15.75" thickBot="1" x14ac:dyDescent="0.3">
      <c r="A15" s="4" t="s">
        <v>2066</v>
      </c>
      <c r="B15" s="4">
        <v>1959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A8AB5-7143-412F-B765-0F92FA7E470D}">
  <dimension ref="A1:B15"/>
  <sheetViews>
    <sheetView workbookViewId="0">
      <selection activeCell="F8" sqref="F8"/>
    </sheetView>
  </sheetViews>
  <sheetFormatPr defaultRowHeight="15" x14ac:dyDescent="0.25"/>
  <cols>
    <col min="1" max="1" width="18" bestFit="1" customWidth="1"/>
  </cols>
  <sheetData>
    <row r="1" spans="1:2" x14ac:dyDescent="0.25">
      <c r="A1" s="5" t="s">
        <v>2053</v>
      </c>
      <c r="B1" s="5"/>
    </row>
    <row r="3" spans="1:2" x14ac:dyDescent="0.25">
      <c r="A3" t="s">
        <v>2054</v>
      </c>
      <c r="B3">
        <v>0.17834034624546735</v>
      </c>
    </row>
    <row r="4" spans="1:2" x14ac:dyDescent="0.25">
      <c r="A4" t="s">
        <v>2055</v>
      </c>
      <c r="B4">
        <v>2.7697019114603181E-3</v>
      </c>
    </row>
    <row r="5" spans="1:2" x14ac:dyDescent="0.25">
      <c r="A5" t="s">
        <v>2056</v>
      </c>
      <c r="B5">
        <v>0.1546033402922756</v>
      </c>
    </row>
    <row r="6" spans="1:2" x14ac:dyDescent="0.25">
      <c r="A6" t="s">
        <v>2057</v>
      </c>
      <c r="B6">
        <v>0.15176730486008835</v>
      </c>
    </row>
    <row r="7" spans="1:2" x14ac:dyDescent="0.25">
      <c r="A7" t="s">
        <v>2058</v>
      </c>
      <c r="B7">
        <v>0.12258864613365161</v>
      </c>
    </row>
    <row r="8" spans="1:2" x14ac:dyDescent="0.25">
      <c r="A8" t="s">
        <v>2059</v>
      </c>
      <c r="B8">
        <v>1.5027976160881655E-2</v>
      </c>
    </row>
    <row r="9" spans="1:2" x14ac:dyDescent="0.25">
      <c r="A9" t="s">
        <v>2060</v>
      </c>
      <c r="B9">
        <v>319.34081734229318</v>
      </c>
    </row>
    <row r="10" spans="1:2" x14ac:dyDescent="0.25">
      <c r="A10" t="s">
        <v>2061</v>
      </c>
      <c r="B10">
        <v>14.761621671073986</v>
      </c>
    </row>
    <row r="11" spans="1:2" x14ac:dyDescent="0.25">
      <c r="A11" t="s">
        <v>2062</v>
      </c>
      <c r="B11">
        <v>3.3668057928229467</v>
      </c>
    </row>
    <row r="12" spans="1:2" x14ac:dyDescent="0.25">
      <c r="A12" t="s">
        <v>2063</v>
      </c>
      <c r="B12">
        <v>1.2293074324324324E-2</v>
      </c>
    </row>
    <row r="13" spans="1:2" x14ac:dyDescent="0.25">
      <c r="A13" t="s">
        <v>2064</v>
      </c>
      <c r="B13">
        <v>3.3790988671472708</v>
      </c>
    </row>
    <row r="14" spans="1:2" x14ac:dyDescent="0.25">
      <c r="A14" t="s">
        <v>2065</v>
      </c>
      <c r="B14">
        <v>349.36873829487052</v>
      </c>
    </row>
    <row r="15" spans="1:2" ht="15.75" thickBot="1" x14ac:dyDescent="0.3">
      <c r="A15" s="4" t="s">
        <v>2066</v>
      </c>
      <c r="B15" s="4">
        <v>1959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89D62-9868-4F76-B596-F188A223D96A}">
  <dimension ref="A1:G297"/>
  <sheetViews>
    <sheetView topLeftCell="A257" workbookViewId="0">
      <selection activeCell="J6" sqref="J6"/>
    </sheetView>
  </sheetViews>
  <sheetFormatPr defaultRowHeight="15" x14ac:dyDescent="0.25"/>
  <cols>
    <col min="1" max="1" width="16.42578125" bestFit="1" customWidth="1"/>
    <col min="4" max="4" width="9.5703125" bestFit="1" customWidth="1"/>
  </cols>
  <sheetData>
    <row r="1" spans="1:7" x14ac:dyDescent="0.25">
      <c r="A1" t="s">
        <v>37</v>
      </c>
      <c r="B1" t="s">
        <v>18</v>
      </c>
      <c r="C1" t="s">
        <v>32</v>
      </c>
      <c r="D1" t="s">
        <v>42</v>
      </c>
      <c r="E1" t="s">
        <v>25</v>
      </c>
      <c r="F1" t="s">
        <v>14</v>
      </c>
      <c r="G1" t="s">
        <v>59</v>
      </c>
    </row>
    <row r="2" spans="1:7" x14ac:dyDescent="0.25">
      <c r="A2" s="3">
        <v>0.13970690511674119</v>
      </c>
      <c r="B2" s="3">
        <v>0.21946938775510205</v>
      </c>
      <c r="C2" s="3">
        <v>0.15953229398663696</v>
      </c>
      <c r="D2" s="3">
        <v>0.25813084112149531</v>
      </c>
      <c r="E2" s="3">
        <v>0.1617993079584775</v>
      </c>
      <c r="F2" s="3">
        <v>0.23182130584192437</v>
      </c>
      <c r="G2" s="3">
        <v>0.21296819787985866</v>
      </c>
    </row>
    <row r="3" spans="1:7" x14ac:dyDescent="0.25">
      <c r="A3" s="3">
        <v>0.16502413127413126</v>
      </c>
      <c r="B3" s="3">
        <v>0.33795454545454545</v>
      </c>
      <c r="C3" s="3">
        <v>0.14489055299539172</v>
      </c>
      <c r="D3" s="3">
        <v>0.15396588486140725</v>
      </c>
      <c r="E3" s="3">
        <v>0.11800393313667651</v>
      </c>
      <c r="F3" s="3">
        <v>0.14798291721419185</v>
      </c>
      <c r="G3" s="3">
        <v>0.15252272727272728</v>
      </c>
    </row>
    <row r="4" spans="1:7" x14ac:dyDescent="0.25">
      <c r="A4" s="3">
        <v>0.15093829247675403</v>
      </c>
      <c r="B4" s="3">
        <v>0.17513253012048194</v>
      </c>
      <c r="C4" s="3">
        <v>0.18636923076923076</v>
      </c>
      <c r="D4" s="3">
        <v>0.1676267384477344</v>
      </c>
      <c r="E4" s="3">
        <v>0.14856279382135662</v>
      </c>
      <c r="F4" s="3">
        <v>0.17311308767471412</v>
      </c>
      <c r="G4" s="3">
        <v>0.14578125</v>
      </c>
    </row>
    <row r="5" spans="1:7" x14ac:dyDescent="0.25">
      <c r="A5" s="3">
        <v>0.15090538705296516</v>
      </c>
      <c r="B5" s="3">
        <v>0.16303138373751783</v>
      </c>
      <c r="C5" s="3">
        <v>0.14390481341265549</v>
      </c>
      <c r="D5" s="3">
        <v>0.21778884462151393</v>
      </c>
      <c r="E5" s="3">
        <v>0.36143497757847531</v>
      </c>
      <c r="F5" s="3">
        <v>0.23947976878612717</v>
      </c>
      <c r="G5" s="3">
        <v>0.15588620342396775</v>
      </c>
    </row>
    <row r="6" spans="1:7" x14ac:dyDescent="0.25">
      <c r="A6" s="3">
        <v>0.13484516129032256</v>
      </c>
      <c r="B6" s="3">
        <v>0.15062337662337663</v>
      </c>
      <c r="C6" s="3">
        <v>0.1276061320754717</v>
      </c>
      <c r="D6" s="3">
        <v>0.16888291517323775</v>
      </c>
      <c r="E6" s="3">
        <v>0.11802843601895734</v>
      </c>
      <c r="F6" s="3">
        <v>0.19046632124352331</v>
      </c>
      <c r="G6" s="3">
        <v>0.1539443155452436</v>
      </c>
    </row>
    <row r="7" spans="1:7" x14ac:dyDescent="0.25">
      <c r="A7" s="3">
        <v>0.15104029304029304</v>
      </c>
      <c r="B7" s="3">
        <v>0.16875975715524719</v>
      </c>
      <c r="C7" s="3">
        <v>0.13294003868471954</v>
      </c>
      <c r="D7" s="3">
        <v>0.23655315614617942</v>
      </c>
      <c r="E7" s="3">
        <v>0.1552290076335878</v>
      </c>
      <c r="F7" s="3">
        <v>0.15510613207547169</v>
      </c>
      <c r="G7" s="3">
        <v>0.19656060606060605</v>
      </c>
    </row>
    <row r="8" spans="1:7" x14ac:dyDescent="0.25">
      <c r="A8" s="3">
        <v>0.13201786439301666</v>
      </c>
      <c r="B8" s="3">
        <v>0.15279229122055674</v>
      </c>
      <c r="C8" s="3">
        <v>0.18787556904400607</v>
      </c>
      <c r="D8" s="3">
        <v>0.1246730866700456</v>
      </c>
      <c r="E8" s="3">
        <v>0.14492424242424243</v>
      </c>
      <c r="F8" s="3">
        <v>0.24875247524752475</v>
      </c>
      <c r="G8" s="3">
        <v>0.15590686274509805</v>
      </c>
    </row>
    <row r="9" spans="1:7" x14ac:dyDescent="0.25">
      <c r="A9" s="3">
        <v>0.26733542319749215</v>
      </c>
      <c r="B9" s="3">
        <v>0.19637274549098196</v>
      </c>
      <c r="C9" s="3">
        <v>0.14193238731218696</v>
      </c>
      <c r="D9" s="3">
        <v>0.14108646188850968</v>
      </c>
      <c r="E9" s="3">
        <v>0.42053435114503818</v>
      </c>
      <c r="F9" s="3">
        <v>0.15049810503519223</v>
      </c>
      <c r="G9" s="3">
        <v>0.12314917127071823</v>
      </c>
    </row>
    <row r="10" spans="1:7" x14ac:dyDescent="0.25">
      <c r="A10" s="3">
        <v>0.16482608695652173</v>
      </c>
      <c r="B10" s="3">
        <v>0.14754569190600522</v>
      </c>
      <c r="C10" s="3">
        <v>0.16531347962382448</v>
      </c>
      <c r="D10" s="3">
        <v>0.12589150733659404</v>
      </c>
      <c r="E10" s="3">
        <v>0.1448396501457726</v>
      </c>
      <c r="F10" s="3">
        <v>0.17368918918918919</v>
      </c>
      <c r="G10" s="3">
        <v>0.13061666666666669</v>
      </c>
    </row>
    <row r="11" spans="1:7" x14ac:dyDescent="0.25">
      <c r="A11" s="3">
        <v>0.13205252246026261</v>
      </c>
      <c r="B11" s="3">
        <v>0.16882730455075845</v>
      </c>
      <c r="C11" s="3">
        <v>0.14536923931149362</v>
      </c>
      <c r="D11" s="3">
        <v>0.12108729743857814</v>
      </c>
      <c r="E11" s="3">
        <v>0.20067251461988303</v>
      </c>
      <c r="F11" s="3">
        <v>0.23070506454816286</v>
      </c>
      <c r="G11" s="3">
        <v>0.17601762114537445</v>
      </c>
    </row>
    <row r="12" spans="1:7" x14ac:dyDescent="0.25">
      <c r="A12" s="3">
        <v>0.16729729729729731</v>
      </c>
      <c r="B12" s="3">
        <v>0.17685092127303181</v>
      </c>
      <c r="C12" s="3">
        <v>0.18220424671385235</v>
      </c>
      <c r="D12" s="3">
        <v>0.16494117647058826</v>
      </c>
      <c r="E12" s="3">
        <v>0.20729903536977493</v>
      </c>
      <c r="F12" s="3">
        <v>0.29195508586525759</v>
      </c>
      <c r="G12" s="3">
        <v>0.13099597585513079</v>
      </c>
    </row>
    <row r="13" spans="1:7" x14ac:dyDescent="0.25">
      <c r="A13" s="3">
        <v>0.13136557610241822</v>
      </c>
      <c r="B13" s="3">
        <v>0.17746887966804981</v>
      </c>
      <c r="C13" s="3">
        <v>0.15489403973509933</v>
      </c>
      <c r="D13" s="3">
        <v>0.13177966101694916</v>
      </c>
      <c r="E13" s="3">
        <v>0.19115533980582522</v>
      </c>
      <c r="F13" s="3">
        <v>0.19506535947712417</v>
      </c>
      <c r="G13" s="3">
        <v>0.15364774624373956</v>
      </c>
    </row>
    <row r="14" spans="1:7" x14ac:dyDescent="0.25">
      <c r="A14" s="3">
        <v>0.11984784446322908</v>
      </c>
      <c r="B14" s="3">
        <v>0.14314401622718054</v>
      </c>
      <c r="C14" s="3">
        <v>0.22337016574585636</v>
      </c>
      <c r="D14" s="3">
        <v>0.17607638888888888</v>
      </c>
      <c r="E14" s="3">
        <v>0.15630005977286313</v>
      </c>
      <c r="F14" s="3">
        <v>0.13964317976513099</v>
      </c>
      <c r="G14" s="3">
        <v>0.13935483870967744</v>
      </c>
    </row>
    <row r="15" spans="1:7" x14ac:dyDescent="0.25">
      <c r="A15" s="3">
        <v>0.14953068592057761</v>
      </c>
      <c r="B15" s="3">
        <v>0.16068370986920333</v>
      </c>
      <c r="C15" s="3">
        <v>0.15097237569060773</v>
      </c>
      <c r="D15" s="3">
        <v>0.13071221771858715</v>
      </c>
      <c r="E15" s="3">
        <v>0.14413999999999999</v>
      </c>
      <c r="F15" s="3">
        <v>0.15880135059088352</v>
      </c>
      <c r="G15" s="3">
        <v>0.12531666666666666</v>
      </c>
    </row>
    <row r="16" spans="1:7" x14ac:dyDescent="0.25">
      <c r="A16" s="3">
        <v>0.1296674225245654</v>
      </c>
      <c r="B16" s="3">
        <v>0.17738941890719861</v>
      </c>
      <c r="C16" s="3">
        <v>0.15023888888888889</v>
      </c>
      <c r="D16" s="3">
        <v>0.14477640342530923</v>
      </c>
      <c r="E16" s="3">
        <v>0.16743769470404984</v>
      </c>
      <c r="F16" s="3">
        <v>0.15093596059113301</v>
      </c>
      <c r="G16" s="3">
        <v>0.13371851851851851</v>
      </c>
    </row>
    <row r="17" spans="1:7" x14ac:dyDescent="0.25">
      <c r="A17" s="3">
        <v>0.11945922746781115</v>
      </c>
      <c r="B17" s="3">
        <v>0.24804597701149422</v>
      </c>
      <c r="C17" s="3">
        <v>0.14297591743119265</v>
      </c>
      <c r="D17" s="3">
        <v>0.15079638009049773</v>
      </c>
      <c r="E17" s="3">
        <v>0.15720754716981131</v>
      </c>
      <c r="F17" s="3">
        <v>0.17815189873417722</v>
      </c>
      <c r="G17" s="3">
        <v>0.13076153846153846</v>
      </c>
    </row>
    <row r="18" spans="1:7" x14ac:dyDescent="0.25">
      <c r="A18" s="3">
        <v>0.11696123384743642</v>
      </c>
      <c r="B18" s="3">
        <v>0.21928971962616822</v>
      </c>
      <c r="C18" s="3">
        <v>0.16999999999999998</v>
      </c>
      <c r="D18" s="3">
        <v>0.1670310391363023</v>
      </c>
      <c r="E18" s="3">
        <v>0.16420743639921723</v>
      </c>
      <c r="F18" s="3">
        <v>0.17579524680073125</v>
      </c>
      <c r="G18" s="3">
        <v>0.22593591905564922</v>
      </c>
    </row>
    <row r="19" spans="1:7" x14ac:dyDescent="0.25">
      <c r="A19" s="3">
        <v>0.14103658536585365</v>
      </c>
      <c r="B19" s="3">
        <v>0.19529032258064516</v>
      </c>
      <c r="C19" s="3">
        <v>0.19046666666666667</v>
      </c>
      <c r="D19" s="3">
        <v>0.14236410256410256</v>
      </c>
      <c r="E19" s="3">
        <v>0.13328300048709205</v>
      </c>
      <c r="F19" s="3">
        <v>0.1458046511627907</v>
      </c>
      <c r="G19" s="3">
        <v>0.12231562661165549</v>
      </c>
    </row>
    <row r="20" spans="1:7" x14ac:dyDescent="0.25">
      <c r="A20" s="3">
        <v>0.1243070259865255</v>
      </c>
      <c r="B20" s="3">
        <v>0.16519616788321168</v>
      </c>
      <c r="C20" s="3">
        <v>0.14851555555555557</v>
      </c>
      <c r="D20" s="3">
        <v>0.12205526770293609</v>
      </c>
      <c r="E20" s="3">
        <v>0.14516504854368933</v>
      </c>
      <c r="F20" s="3">
        <v>0.21465517241379312</v>
      </c>
      <c r="G20" s="3">
        <v>0.15966666666666668</v>
      </c>
    </row>
    <row r="21" spans="1:7" x14ac:dyDescent="0.25">
      <c r="A21" s="3">
        <v>0.17963917525773196</v>
      </c>
      <c r="B21" s="3">
        <v>0.14643607705779332</v>
      </c>
      <c r="C21" s="3">
        <v>0.14828877005347593</v>
      </c>
      <c r="D21" s="3">
        <v>0.12927640156453715</v>
      </c>
      <c r="E21" s="3">
        <v>0.13072904009720535</v>
      </c>
      <c r="F21" s="3">
        <v>0.1776625</v>
      </c>
      <c r="G21" s="3">
        <v>0.12871355853771402</v>
      </c>
    </row>
    <row r="22" spans="1:7" x14ac:dyDescent="0.25">
      <c r="A22" s="3">
        <v>0.14560000000000001</v>
      </c>
      <c r="B22" s="3">
        <v>0.13940178571428571</v>
      </c>
      <c r="C22" s="3">
        <v>0.15762219959266802</v>
      </c>
      <c r="D22" s="3">
        <v>0.19708894878706201</v>
      </c>
      <c r="E22" s="3">
        <v>0.16250578257517348</v>
      </c>
      <c r="F22" s="3">
        <v>0.14862953138815208</v>
      </c>
      <c r="G22" s="3">
        <v>0.17017204301075267</v>
      </c>
    </row>
    <row r="23" spans="1:7" x14ac:dyDescent="0.25">
      <c r="A23" s="3">
        <v>0.12450871632329635</v>
      </c>
      <c r="B23" s="3">
        <v>0.17048639736191262</v>
      </c>
      <c r="C23" s="3">
        <v>0.18007384882710686</v>
      </c>
      <c r="D23" s="3">
        <v>0.13730907227063044</v>
      </c>
      <c r="E23" s="3">
        <v>0.12372558593749999</v>
      </c>
      <c r="F23" s="3">
        <v>0.21535776614310648</v>
      </c>
      <c r="G23" s="3">
        <v>0.14609567901234569</v>
      </c>
    </row>
    <row r="24" spans="1:7" x14ac:dyDescent="0.25">
      <c r="A24" s="3">
        <v>0.15215894039735098</v>
      </c>
      <c r="B24" s="3">
        <v>0.16401777362020581</v>
      </c>
      <c r="C24" s="3">
        <v>0.13463065049614112</v>
      </c>
      <c r="D24" s="3">
        <v>0.12684126984126984</v>
      </c>
      <c r="E24" s="3">
        <v>0.29619047619047617</v>
      </c>
      <c r="F24" s="3">
        <v>0.13635955972278843</v>
      </c>
      <c r="G24" s="3">
        <v>0.15176730486008835</v>
      </c>
    </row>
    <row r="25" spans="1:7" x14ac:dyDescent="0.25">
      <c r="A25" s="3">
        <v>0.1323249027237354</v>
      </c>
      <c r="B25" s="3">
        <v>0.200695713281799</v>
      </c>
      <c r="C25" s="3">
        <v>0.16944444444444445</v>
      </c>
      <c r="D25" s="3">
        <v>0.1353686396677051</v>
      </c>
      <c r="E25" s="3">
        <v>0.17445569620253162</v>
      </c>
      <c r="F25" s="3">
        <v>0.20684531059683312</v>
      </c>
      <c r="G25" s="3">
        <v>0.12689133425034388</v>
      </c>
    </row>
    <row r="26" spans="1:7" x14ac:dyDescent="0.25">
      <c r="A26" s="3">
        <v>0.14260869565217391</v>
      </c>
      <c r="B26" s="3">
        <v>0.16516960651289009</v>
      </c>
      <c r="C26" s="3">
        <v>0.14596314907872698</v>
      </c>
      <c r="D26" s="3">
        <v>0.146016333938294</v>
      </c>
      <c r="E26" s="3">
        <v>0.12421305566680017</v>
      </c>
      <c r="F26" s="3">
        <v>0.16860139860139861</v>
      </c>
      <c r="G26" s="3">
        <v>0.33197053406998156</v>
      </c>
    </row>
    <row r="27" spans="1:7" x14ac:dyDescent="0.25">
      <c r="A27" s="3">
        <v>0.26473684210526316</v>
      </c>
      <c r="B27" s="3">
        <v>0.20390703517587941</v>
      </c>
      <c r="C27" s="3">
        <v>0.16003059975520195</v>
      </c>
      <c r="D27" s="3">
        <v>0.13536300777873814</v>
      </c>
      <c r="E27" s="3">
        <v>0.20121160409556313</v>
      </c>
      <c r="F27" s="3">
        <v>0.1279541734860884</v>
      </c>
      <c r="G27" s="3">
        <v>0.11512235586893406</v>
      </c>
    </row>
    <row r="28" spans="1:7" x14ac:dyDescent="0.25">
      <c r="A28" s="3">
        <v>0.13751181779114741</v>
      </c>
      <c r="B28" s="3">
        <v>0.25963318777292577</v>
      </c>
      <c r="C28" s="3">
        <v>0.16826023391812864</v>
      </c>
      <c r="D28" s="3">
        <v>0.1340625</v>
      </c>
      <c r="E28" s="3">
        <v>0.16362530413625304</v>
      </c>
      <c r="F28" s="3">
        <v>0.13078320802005011</v>
      </c>
      <c r="G28" s="3">
        <v>0.12487115544472153</v>
      </c>
    </row>
    <row r="29" spans="1:7" x14ac:dyDescent="0.25">
      <c r="A29" s="3">
        <v>0.14609663865546219</v>
      </c>
      <c r="B29" s="3">
        <v>0.14197893152746427</v>
      </c>
      <c r="C29" s="3">
        <v>0.17067841409691631</v>
      </c>
      <c r="D29" s="3">
        <v>0.31083769633507852</v>
      </c>
      <c r="E29" s="3">
        <v>0.14726933830382108</v>
      </c>
      <c r="F29" s="3">
        <v>0.12330218068535825</v>
      </c>
      <c r="G29" s="3">
        <v>0.15484042553191488</v>
      </c>
    </row>
    <row r="30" spans="1:7" x14ac:dyDescent="0.25">
      <c r="A30" s="3">
        <v>0.13712632594021215</v>
      </c>
      <c r="B30" s="3">
        <v>0.14978155339805824</v>
      </c>
      <c r="C30" s="3">
        <v>0.31207792207792207</v>
      </c>
      <c r="D30" s="3">
        <v>0.14960784313725492</v>
      </c>
      <c r="E30" s="3">
        <v>0.14093064091308166</v>
      </c>
      <c r="F30" s="3">
        <v>0.12230722891566265</v>
      </c>
      <c r="G30" s="3">
        <v>0.20584375000000002</v>
      </c>
    </row>
    <row r="31" spans="1:7" x14ac:dyDescent="0.25">
      <c r="A31" s="3">
        <v>0.19907131011608625</v>
      </c>
      <c r="B31" s="3">
        <v>0.16149325626204239</v>
      </c>
      <c r="C31" s="3">
        <v>0.16</v>
      </c>
      <c r="D31" s="3">
        <v>0.13212005108556832</v>
      </c>
      <c r="E31" s="3">
        <v>0.15341155234657039</v>
      </c>
      <c r="F31" s="3">
        <v>0.13371406959152798</v>
      </c>
      <c r="G31" s="3">
        <v>0.13106284658040665</v>
      </c>
    </row>
    <row r="32" spans="1:7" x14ac:dyDescent="0.25">
      <c r="A32" s="3">
        <v>0.16844444444444445</v>
      </c>
      <c r="B32" s="3">
        <v>0.15689830508474575</v>
      </c>
      <c r="C32" s="3">
        <v>0.15999169435215946</v>
      </c>
      <c r="D32" s="3">
        <v>0.15563400576368877</v>
      </c>
      <c r="E32" s="3">
        <v>0.1490185676392573</v>
      </c>
      <c r="F32" s="3">
        <v>0.15674757281553398</v>
      </c>
      <c r="G32" s="3">
        <v>0.14933287950987068</v>
      </c>
    </row>
    <row r="33" spans="1:7" x14ac:dyDescent="0.25">
      <c r="A33" s="3">
        <v>0.17455128205128206</v>
      </c>
      <c r="B33" s="3">
        <v>0.24319047619047618</v>
      </c>
      <c r="C33" s="3">
        <v>0.2446519721577726</v>
      </c>
      <c r="D33" s="3">
        <v>0.15341176470588236</v>
      </c>
      <c r="E33" s="3">
        <v>0.15359924026590693</v>
      </c>
      <c r="F33" s="3">
        <v>0.14615030674846627</v>
      </c>
      <c r="G33" s="3">
        <v>0.15900092081031308</v>
      </c>
    </row>
    <row r="34" spans="1:7" x14ac:dyDescent="0.25">
      <c r="A34" s="3">
        <v>0.140625</v>
      </c>
      <c r="B34" s="3">
        <v>0.26429752066115703</v>
      </c>
      <c r="C34" s="3">
        <v>0.15204188481675393</v>
      </c>
      <c r="D34" s="3">
        <v>0.13997594226142743</v>
      </c>
      <c r="E34" s="3">
        <v>0.20435768261964735</v>
      </c>
      <c r="F34" s="3">
        <v>0.32281456953642385</v>
      </c>
      <c r="G34" s="3">
        <v>0.13210754553339116</v>
      </c>
    </row>
    <row r="35" spans="1:7" x14ac:dyDescent="0.25">
      <c r="A35" s="3">
        <v>0.13419117647058823</v>
      </c>
      <c r="B35" s="3">
        <v>0.26779467680608365</v>
      </c>
      <c r="C35" s="3">
        <v>0.22399293286219082</v>
      </c>
      <c r="D35" s="3">
        <v>0.14152173913043478</v>
      </c>
      <c r="E35" s="3">
        <v>0.1532720588235294</v>
      </c>
      <c r="F35" s="3">
        <v>0.17985203452527743</v>
      </c>
      <c r="G35" s="3">
        <v>0.14909252669039147</v>
      </c>
    </row>
    <row r="36" spans="1:7" x14ac:dyDescent="0.25">
      <c r="A36" s="3">
        <v>0.12706904435299496</v>
      </c>
      <c r="B36" s="3">
        <v>0.1644023610427939</v>
      </c>
      <c r="C36" s="3">
        <v>0.23508875739644969</v>
      </c>
      <c r="D36" s="3">
        <v>0.14613156306578151</v>
      </c>
      <c r="E36" s="3">
        <v>0.1340333871836295</v>
      </c>
      <c r="F36" s="3">
        <v>0.19459349593495934</v>
      </c>
      <c r="G36" s="3">
        <v>0.1524553786782441</v>
      </c>
    </row>
    <row r="37" spans="1:7" x14ac:dyDescent="0.25">
      <c r="A37" s="3">
        <v>0.16818086225026288</v>
      </c>
      <c r="B37" s="3">
        <v>0.26731629392971246</v>
      </c>
      <c r="C37" s="3">
        <v>0.20799999999999999</v>
      </c>
      <c r="D37" s="3">
        <v>0.12938834951456313</v>
      </c>
      <c r="E37" s="3">
        <v>0.12138930534732634</v>
      </c>
      <c r="F37" s="3">
        <v>0.13786675639300136</v>
      </c>
      <c r="G37" s="3">
        <v>0.19204502814258911</v>
      </c>
    </row>
    <row r="38" spans="1:7" x14ac:dyDescent="0.25">
      <c r="A38" s="3">
        <v>0.12169324577861163</v>
      </c>
      <c r="B38" s="3">
        <v>0.18880530973451329</v>
      </c>
      <c r="C38" s="3">
        <v>0.17238993710691825</v>
      </c>
      <c r="D38" s="3">
        <v>0.13430769230769232</v>
      </c>
      <c r="E38" s="3">
        <v>0.14985010706638116</v>
      </c>
      <c r="F38" s="3">
        <v>0.14378410914927769</v>
      </c>
      <c r="G38" s="3">
        <v>0.16458823529411765</v>
      </c>
    </row>
    <row r="39" spans="1:7" x14ac:dyDescent="0.25">
      <c r="A39" s="3">
        <v>0.19536028119507909</v>
      </c>
      <c r="B39" s="3">
        <v>0.20559459459459459</v>
      </c>
      <c r="C39" s="3">
        <v>0.15703018500486857</v>
      </c>
      <c r="D39" s="3">
        <v>0.11833962264150943</v>
      </c>
      <c r="E39" s="3">
        <v>0.14910480349344979</v>
      </c>
      <c r="F39" s="3">
        <v>0.1334773519163763</v>
      </c>
      <c r="G39" s="3">
        <v>0.2638225255972696</v>
      </c>
    </row>
    <row r="40" spans="1:7" x14ac:dyDescent="0.25">
      <c r="A40" s="3">
        <v>0.25848780487804879</v>
      </c>
      <c r="B40" s="3">
        <v>0.13852499999999998</v>
      </c>
      <c r="C40" s="3">
        <v>0.13769612263300271</v>
      </c>
      <c r="D40" s="3">
        <v>0.1515656108597285</v>
      </c>
      <c r="E40" s="3">
        <v>0.13542144026186581</v>
      </c>
      <c r="F40" s="3">
        <v>0.15413606911447084</v>
      </c>
      <c r="G40" s="3">
        <v>0.13678994082840237</v>
      </c>
    </row>
    <row r="41" spans="1:7" x14ac:dyDescent="0.25">
      <c r="A41" s="3">
        <v>0.19975044563279859</v>
      </c>
      <c r="B41" s="3">
        <v>0.19643250105797716</v>
      </c>
      <c r="C41" s="3">
        <v>0.18642651296829971</v>
      </c>
      <c r="D41" s="3">
        <v>0.11099807135969142</v>
      </c>
      <c r="E41" s="3">
        <v>0.16400000000000001</v>
      </c>
      <c r="F41" s="3">
        <v>0.13246927374301676</v>
      </c>
      <c r="G41" s="3">
        <v>0.13883928571428572</v>
      </c>
    </row>
    <row r="42" spans="1:7" x14ac:dyDescent="0.25">
      <c r="A42" s="3">
        <v>0.15023738872403561</v>
      </c>
      <c r="B42" s="3">
        <v>0.16009803921568627</v>
      </c>
      <c r="C42" s="3">
        <v>0.1326622807017544</v>
      </c>
      <c r="D42" s="3">
        <v>0.16344165435745939</v>
      </c>
      <c r="E42" s="3">
        <v>0.121163012392755</v>
      </c>
      <c r="F42" s="3">
        <v>0.13754231550440082</v>
      </c>
      <c r="G42" s="3">
        <v>0.11896455223880598</v>
      </c>
    </row>
    <row r="43" spans="1:7" x14ac:dyDescent="0.25">
      <c r="A43" s="3">
        <v>0.24416058394160586</v>
      </c>
      <c r="B43" s="3">
        <v>0.33068852459016396</v>
      </c>
      <c r="C43" s="3">
        <v>0.16784072249589491</v>
      </c>
      <c r="D43" s="3">
        <v>0.13641025641025639</v>
      </c>
      <c r="E43" s="3">
        <v>0.18894999999999998</v>
      </c>
      <c r="F43" s="3">
        <v>0.21996533795493933</v>
      </c>
      <c r="G43" s="3">
        <v>0.12800999999999998</v>
      </c>
    </row>
    <row r="44" spans="1:7" x14ac:dyDescent="0.25">
      <c r="A44" s="3">
        <v>0.12946569178852643</v>
      </c>
      <c r="B44" s="3">
        <v>0.16015000000000001</v>
      </c>
      <c r="C44" s="3">
        <v>0.13664101403349932</v>
      </c>
      <c r="D44" s="3">
        <v>0.14539083557951482</v>
      </c>
      <c r="E44" s="3">
        <v>0.11965880370682393</v>
      </c>
      <c r="F44" s="3">
        <v>0.15800270819228165</v>
      </c>
      <c r="G44" s="3">
        <v>0.14727915194346289</v>
      </c>
    </row>
    <row r="45" spans="1:7" x14ac:dyDescent="0.25">
      <c r="A45" s="3">
        <v>0.12363200000000001</v>
      </c>
      <c r="B45" s="3">
        <v>0.22597671410090558</v>
      </c>
      <c r="C45" s="3">
        <v>0.36109311740890687</v>
      </c>
      <c r="D45" s="3">
        <v>0.17980477223427332</v>
      </c>
      <c r="E45" s="3">
        <v>0.17886727194120192</v>
      </c>
      <c r="F45" s="3">
        <v>0.1815105740181269</v>
      </c>
      <c r="G45" s="3">
        <v>0.13639473684210526</v>
      </c>
    </row>
    <row r="46" spans="1:7" x14ac:dyDescent="0.25">
      <c r="A46" s="3">
        <v>0.17110957004160887</v>
      </c>
      <c r="B46" s="3">
        <v>0.20429260450160772</v>
      </c>
      <c r="C46" s="3">
        <v>0.14256020278833967</v>
      </c>
      <c r="D46" s="3">
        <v>0.16885585003232065</v>
      </c>
      <c r="E46" s="3">
        <v>0.15157442235357335</v>
      </c>
      <c r="F46" s="3">
        <v>0.13317010309278349</v>
      </c>
      <c r="G46" s="3">
        <v>0.15754353233830848</v>
      </c>
    </row>
    <row r="47" spans="1:7" x14ac:dyDescent="0.25">
      <c r="A47" s="3">
        <v>0.28545454545454546</v>
      </c>
      <c r="B47" s="3">
        <v>0.19415547703180214</v>
      </c>
      <c r="C47" s="3">
        <v>0.17898617511520737</v>
      </c>
      <c r="D47" s="3">
        <v>0.24713793103448276</v>
      </c>
      <c r="E47" s="3">
        <v>0.1419532770927969</v>
      </c>
      <c r="F47" s="3">
        <v>0.11741624790619765</v>
      </c>
      <c r="G47" s="3">
        <v>0.13124153498871333</v>
      </c>
    </row>
    <row r="48" spans="1:7" x14ac:dyDescent="0.25">
      <c r="A48" s="3">
        <v>0.12865497076023391</v>
      </c>
      <c r="B48" s="3">
        <v>0.15875423728813559</v>
      </c>
      <c r="C48" s="3">
        <v>0.14884190293128305</v>
      </c>
      <c r="D48" s="3">
        <v>0.15060810810810812</v>
      </c>
      <c r="E48" s="3">
        <v>0.18221932114882508</v>
      </c>
      <c r="F48" s="3">
        <v>0.23310769230769232</v>
      </c>
      <c r="G48" s="3">
        <v>0.1230638547158758</v>
      </c>
    </row>
    <row r="49" spans="1:7" x14ac:dyDescent="0.25">
      <c r="A49" s="3">
        <v>0.12196147110332749</v>
      </c>
      <c r="B49" s="3">
        <v>0.16762691853600944</v>
      </c>
      <c r="C49" s="3">
        <v>0.21110814419225635</v>
      </c>
      <c r="D49" s="3">
        <v>0.16898257839721256</v>
      </c>
      <c r="E49" s="3">
        <v>0.20954869358669834</v>
      </c>
      <c r="F49" s="3">
        <v>0.21239193083573488</v>
      </c>
      <c r="G49" s="3">
        <v>0.21349056603773586</v>
      </c>
    </row>
    <row r="50" spans="1:7" x14ac:dyDescent="0.25">
      <c r="A50" s="3">
        <v>0.33207407407407408</v>
      </c>
      <c r="B50" s="3">
        <v>0.14495934959349593</v>
      </c>
      <c r="C50" s="3">
        <v>0.13751525719267654</v>
      </c>
      <c r="D50" s="3">
        <v>0.12551886792452829</v>
      </c>
      <c r="E50" s="3">
        <v>0.13930266343825667</v>
      </c>
      <c r="F50" s="3">
        <v>0.14449809402795427</v>
      </c>
      <c r="G50" s="3">
        <v>0.14621683093252466</v>
      </c>
    </row>
    <row r="51" spans="1:7" x14ac:dyDescent="0.25">
      <c r="A51" s="3">
        <v>0.20544235924932974</v>
      </c>
      <c r="B51" s="3">
        <v>0.17109077598828698</v>
      </c>
      <c r="C51" s="3">
        <v>0.17977272727272728</v>
      </c>
      <c r="D51" s="3">
        <v>0.13507520621057739</v>
      </c>
      <c r="E51" s="3">
        <v>0.15056291390728477</v>
      </c>
      <c r="F51" s="3">
        <v>0.15237911025145068</v>
      </c>
      <c r="G51" s="3">
        <v>0.1328976897689769</v>
      </c>
    </row>
    <row r="52" spans="1:7" x14ac:dyDescent="0.25">
      <c r="A52" s="3">
        <v>0.16519999999999999</v>
      </c>
      <c r="B52" s="3">
        <v>0.17436772692009309</v>
      </c>
      <c r="C52" s="3">
        <v>0.18148148148148149</v>
      </c>
      <c r="D52" s="3">
        <v>0.16125670041691484</v>
      </c>
      <c r="E52" s="3">
        <v>0.12141735537190082</v>
      </c>
      <c r="F52" s="3">
        <v>0.15022811671087533</v>
      </c>
      <c r="G52" s="3">
        <v>0.1255891719745223</v>
      </c>
    </row>
    <row r="53" spans="1:7" x14ac:dyDescent="0.25">
      <c r="A53" s="3">
        <v>0.11841680129240711</v>
      </c>
      <c r="B53" s="3">
        <v>0.13532137518684603</v>
      </c>
      <c r="C53" s="3">
        <v>0.13633879781420763</v>
      </c>
      <c r="D53" s="3">
        <v>0.45330578512396696</v>
      </c>
      <c r="E53" s="3">
        <v>0.15176730486008835</v>
      </c>
      <c r="F53" s="3">
        <v>0.13985365853658535</v>
      </c>
      <c r="G53" s="3">
        <v>0.10882580645161291</v>
      </c>
    </row>
    <row r="54" spans="1:7" x14ac:dyDescent="0.25">
      <c r="A54" s="3">
        <v>0.13387012987012986</v>
      </c>
      <c r="B54" s="3">
        <v>0.15377133105802049</v>
      </c>
      <c r="C54" s="3">
        <v>0.14355115158007498</v>
      </c>
      <c r="D54" s="3">
        <v>0.11775621588841723</v>
      </c>
      <c r="E54" s="3">
        <v>0.15487951807228914</v>
      </c>
      <c r="F54" s="3">
        <v>0.15881856540084388</v>
      </c>
      <c r="G54" s="3">
        <v>0.16940828402366864</v>
      </c>
    </row>
    <row r="55" spans="1:7" x14ac:dyDescent="0.25">
      <c r="A55" s="3">
        <v>0.1199502487562189</v>
      </c>
      <c r="B55" s="3">
        <v>0.20348484848484849</v>
      </c>
      <c r="C55" s="3">
        <v>0.27513565891472869</v>
      </c>
      <c r="D55" s="3">
        <v>0.20670329670329671</v>
      </c>
      <c r="E55" s="3">
        <v>0.19302248677248679</v>
      </c>
      <c r="F55" s="3">
        <v>0.14030901287553649</v>
      </c>
      <c r="G55" s="3">
        <v>0.19171003717472118</v>
      </c>
    </row>
    <row r="56" spans="1:7" x14ac:dyDescent="0.25">
      <c r="A56" s="3">
        <v>0.13285992217898834</v>
      </c>
      <c r="B56" s="3">
        <v>0.1802887537993921</v>
      </c>
      <c r="C56" s="3">
        <v>0.20170114942528736</v>
      </c>
      <c r="D56" s="3">
        <v>0.1684126984126984</v>
      </c>
      <c r="E56" s="3">
        <v>0.12699551569506726</v>
      </c>
      <c r="F56" s="3">
        <v>0.13652194656488548</v>
      </c>
      <c r="G56" s="3">
        <v>0.14764044943820226</v>
      </c>
    </row>
    <row r="57" spans="1:7" x14ac:dyDescent="0.25">
      <c r="A57" s="3">
        <v>0.1712770137524558</v>
      </c>
      <c r="B57" s="3">
        <v>0.16488752556237218</v>
      </c>
      <c r="C57" s="3">
        <v>0.17590346534653464</v>
      </c>
      <c r="D57" s="3">
        <v>0.15231259968102073</v>
      </c>
      <c r="E57" s="3">
        <v>0.16990557129367329</v>
      </c>
      <c r="F57" s="3">
        <v>0.12675360710321865</v>
      </c>
      <c r="G57" s="3">
        <v>0.17208050182958703</v>
      </c>
    </row>
    <row r="58" spans="1:7" x14ac:dyDescent="0.25">
      <c r="A58" s="3">
        <v>0.30819787985865726</v>
      </c>
      <c r="B58" s="3">
        <v>0.17670867309117866</v>
      </c>
      <c r="C58" s="3">
        <v>0.12692125237191651</v>
      </c>
      <c r="D58" s="3">
        <v>0.13676343421865347</v>
      </c>
      <c r="E58" s="3">
        <v>0.16525773195876289</v>
      </c>
      <c r="F58" s="3">
        <v>0.17036170212765955</v>
      </c>
      <c r="G58" s="3">
        <v>0.18512987012987014</v>
      </c>
    </row>
    <row r="59" spans="1:7" x14ac:dyDescent="0.25">
      <c r="A59" s="3">
        <v>0.16564285714285715</v>
      </c>
      <c r="B59" s="3">
        <v>0.13499065420560746</v>
      </c>
      <c r="C59" s="3">
        <v>0.18882022471910112</v>
      </c>
      <c r="D59" s="3">
        <v>0.16384146341463415</v>
      </c>
      <c r="E59" s="3">
        <v>0.13548446069469836</v>
      </c>
      <c r="F59" s="3">
        <v>0.27378091872791521</v>
      </c>
      <c r="G59" s="3">
        <v>0.13817694369973191</v>
      </c>
    </row>
    <row r="60" spans="1:7" x14ac:dyDescent="0.25">
      <c r="A60" s="3">
        <v>0.13237735849056603</v>
      </c>
      <c r="B60" s="3">
        <v>0.18691048034934499</v>
      </c>
      <c r="C60" s="3">
        <v>0.18587750294464075</v>
      </c>
      <c r="D60" s="3">
        <v>0.14301886792452831</v>
      </c>
      <c r="E60" s="3">
        <v>0.14826985854189334</v>
      </c>
      <c r="F60" s="3">
        <v>0.17975466143277721</v>
      </c>
      <c r="G60" s="3">
        <v>0.239402460456942</v>
      </c>
    </row>
    <row r="61" spans="1:7" x14ac:dyDescent="0.25">
      <c r="A61" s="3">
        <v>0.1378497301784973</v>
      </c>
      <c r="B61" s="3">
        <v>0.15158979924036897</v>
      </c>
      <c r="C61" s="3">
        <v>0.13470531400966182</v>
      </c>
      <c r="D61" s="3">
        <v>0.1519493670886076</v>
      </c>
      <c r="E61" s="3">
        <v>0.14871153846153845</v>
      </c>
      <c r="F61" s="3">
        <v>0.17575022461814915</v>
      </c>
      <c r="G61" s="3">
        <v>0.14126446635233605</v>
      </c>
    </row>
    <row r="62" spans="1:7" x14ac:dyDescent="0.25">
      <c r="A62" s="3">
        <v>0.46127551020408164</v>
      </c>
      <c r="B62" s="3">
        <v>0.15424060968971148</v>
      </c>
      <c r="C62" s="3">
        <v>0.13223736513344692</v>
      </c>
      <c r="D62" s="3">
        <v>0.13143686502177068</v>
      </c>
      <c r="E62" s="3">
        <v>0.1370625</v>
      </c>
      <c r="F62" s="3">
        <v>0.18251282051282053</v>
      </c>
      <c r="G62" s="3">
        <v>0.13189203084832904</v>
      </c>
    </row>
    <row r="63" spans="1:7" x14ac:dyDescent="0.25">
      <c r="A63" s="3">
        <v>0.21968992248062016</v>
      </c>
      <c r="B63" s="3">
        <v>0.17034843205574912</v>
      </c>
      <c r="C63" s="3">
        <v>0.1505096660808436</v>
      </c>
      <c r="D63" s="3">
        <v>0.1903150912106136</v>
      </c>
      <c r="E63" s="3">
        <v>0.1472078501338091</v>
      </c>
      <c r="F63" s="3">
        <v>0.13962423312883435</v>
      </c>
      <c r="G63" s="3">
        <v>0.16594023699124161</v>
      </c>
    </row>
    <row r="64" spans="1:7" x14ac:dyDescent="0.25">
      <c r="A64" s="3">
        <v>0.14222996515679442</v>
      </c>
      <c r="B64" s="3">
        <v>0.25062135922330098</v>
      </c>
      <c r="C64" s="3">
        <v>0.19378199834847232</v>
      </c>
      <c r="D64" s="3">
        <v>0.17041044776119402</v>
      </c>
      <c r="E64" s="3">
        <v>0.14118127786032689</v>
      </c>
      <c r="F64" s="3">
        <v>0.22219251336898393</v>
      </c>
      <c r="G64" s="3">
        <v>0.13699376947040498</v>
      </c>
    </row>
    <row r="65" spans="1:7" x14ac:dyDescent="0.25">
      <c r="A65" s="3">
        <v>0.14032426172553561</v>
      </c>
      <c r="B65" s="3">
        <v>0.1870870870870871</v>
      </c>
      <c r="C65" s="3">
        <v>0.13152317880794701</v>
      </c>
      <c r="D65" s="3">
        <v>0.1198447204968944</v>
      </c>
      <c r="E65" s="3">
        <v>0.13859555555555556</v>
      </c>
      <c r="F65" s="3">
        <v>0.17752307692307692</v>
      </c>
      <c r="G65" s="3">
        <v>0.14384851586489253</v>
      </c>
    </row>
    <row r="66" spans="1:7" x14ac:dyDescent="0.25">
      <c r="A66" s="3">
        <v>0.14212235649546825</v>
      </c>
      <c r="B66" s="3">
        <v>0.21059175531914895</v>
      </c>
      <c r="C66" s="3">
        <v>0.14218521897810218</v>
      </c>
      <c r="D66" s="3">
        <v>0.12440298507462688</v>
      </c>
      <c r="E66" s="3">
        <v>0.14250213492741248</v>
      </c>
      <c r="F66" s="3">
        <v>0.14050177619893428</v>
      </c>
      <c r="G66" s="3">
        <v>0.12562347188264059</v>
      </c>
    </row>
    <row r="67" spans="1:7" x14ac:dyDescent="0.25">
      <c r="A67" s="3">
        <v>0.15971014492753624</v>
      </c>
      <c r="B67" s="3">
        <v>0.20467084639498434</v>
      </c>
      <c r="C67" s="3">
        <v>0.30549382716049384</v>
      </c>
      <c r="D67" s="3">
        <v>0.2635294117647059</v>
      </c>
      <c r="E67" s="3">
        <v>0.13546153846153847</v>
      </c>
      <c r="F67" s="3">
        <v>0.17222907488986783</v>
      </c>
      <c r="G67" s="3">
        <v>0.13797758532857871</v>
      </c>
    </row>
    <row r="68" spans="1:7" x14ac:dyDescent="0.25">
      <c r="A68" s="3">
        <v>0.21047263681592041</v>
      </c>
      <c r="B68" s="3">
        <v>0.15685015290519877</v>
      </c>
      <c r="C68" s="3">
        <v>0.17432134996331622</v>
      </c>
      <c r="D68" s="3">
        <v>0.14635808748728382</v>
      </c>
      <c r="E68" s="3">
        <v>0.11337055417700578</v>
      </c>
      <c r="F68" s="3">
        <v>0.12125558715969119</v>
      </c>
      <c r="G68" s="3">
        <v>0.18298192771084337</v>
      </c>
    </row>
    <row r="69" spans="1:7" x14ac:dyDescent="0.25">
      <c r="A69" s="3">
        <v>0.13123344947735191</v>
      </c>
      <c r="B69" s="3">
        <v>0.17305084745762711</v>
      </c>
      <c r="C69" s="3">
        <v>0.24711700844390833</v>
      </c>
      <c r="D69" s="3">
        <v>0.18171667829727842</v>
      </c>
      <c r="E69" s="3">
        <v>0.21855633802816901</v>
      </c>
      <c r="F69" s="3">
        <v>0.13848621780388615</v>
      </c>
      <c r="G69" s="3">
        <v>0.13620209059233448</v>
      </c>
    </row>
    <row r="70" spans="1:7" x14ac:dyDescent="0.25">
      <c r="A70" s="3">
        <v>0.14093432007400555</v>
      </c>
      <c r="B70" s="3">
        <v>0.17870277078085642</v>
      </c>
      <c r="C70" s="3">
        <v>0.13553398058252428</v>
      </c>
      <c r="D70" s="3">
        <v>0.13291049581455247</v>
      </c>
      <c r="E70" s="3">
        <v>0.18606870229007633</v>
      </c>
      <c r="F70" s="3">
        <v>0.13812307692307693</v>
      </c>
      <c r="G70" s="3">
        <v>0.1641747572815534</v>
      </c>
    </row>
    <row r="71" spans="1:7" x14ac:dyDescent="0.25">
      <c r="A71" s="3">
        <v>0.11653269024651661</v>
      </c>
      <c r="B71" s="3">
        <v>0.20063265306122449</v>
      </c>
      <c r="C71" s="3">
        <v>0.22238185255198487</v>
      </c>
      <c r="D71" s="3">
        <v>0.29797752808988764</v>
      </c>
      <c r="E71" s="3">
        <v>0.13131059245960502</v>
      </c>
      <c r="F71" s="3">
        <v>0.12966648735879505</v>
      </c>
      <c r="G71" s="3">
        <v>0.14123149394347242</v>
      </c>
    </row>
    <row r="72" spans="1:7" x14ac:dyDescent="0.25">
      <c r="A72" s="3">
        <v>0.11646457765667576</v>
      </c>
      <c r="B72" s="3">
        <v>0.17047619047619048</v>
      </c>
      <c r="C72" s="3">
        <v>0.22498381877022652</v>
      </c>
      <c r="D72" s="3">
        <v>0.14511851851851851</v>
      </c>
      <c r="E72" s="3">
        <v>0.18365714285714285</v>
      </c>
      <c r="F72" s="3">
        <v>0.14065008479366875</v>
      </c>
      <c r="G72" s="3">
        <v>0.18758720930232559</v>
      </c>
    </row>
    <row r="73" spans="1:7" x14ac:dyDescent="0.25">
      <c r="A73" s="3">
        <v>0.14148488830486203</v>
      </c>
      <c r="B73" s="3">
        <v>0.18758620689655173</v>
      </c>
      <c r="C73" s="3">
        <v>0.4326778242677824</v>
      </c>
      <c r="D73" s="3">
        <v>0.15284272997032641</v>
      </c>
      <c r="E73" s="3">
        <v>0.12689692982456141</v>
      </c>
      <c r="F73" s="3">
        <v>0.14365013774104685</v>
      </c>
      <c r="G73" s="3">
        <v>0.11559110629067246</v>
      </c>
    </row>
    <row r="74" spans="1:7" x14ac:dyDescent="0.25">
      <c r="A74" s="3">
        <v>0.14076653306613227</v>
      </c>
      <c r="B74" s="3">
        <v>0.15984063745019919</v>
      </c>
      <c r="C74" s="3">
        <v>0.16020358306188925</v>
      </c>
      <c r="D74" s="3">
        <v>0.27694214876033058</v>
      </c>
      <c r="E74" s="3">
        <v>0.16451197053406999</v>
      </c>
      <c r="F74" s="3">
        <v>0.24038095238095236</v>
      </c>
      <c r="G74" s="3">
        <v>0.15413441955193483</v>
      </c>
    </row>
    <row r="75" spans="1:7" x14ac:dyDescent="0.25">
      <c r="A75" s="3">
        <v>0.12354111405835544</v>
      </c>
      <c r="B75" s="3">
        <v>0.16129490022172951</v>
      </c>
      <c r="C75" s="3">
        <v>0.14853927423059257</v>
      </c>
      <c r="D75" s="3">
        <v>0.24613402061855671</v>
      </c>
      <c r="E75" s="3">
        <v>0.22439678284182307</v>
      </c>
      <c r="F75" s="3">
        <v>0.2659504132231405</v>
      </c>
      <c r="G75" s="3">
        <v>0.16146341463414635</v>
      </c>
    </row>
    <row r="76" spans="1:7" x14ac:dyDescent="0.25">
      <c r="A76" s="3">
        <v>0.14954091816367265</v>
      </c>
      <c r="B76" s="3">
        <v>0.4</v>
      </c>
      <c r="C76" s="3">
        <v>0.14367088607594936</v>
      </c>
      <c r="D76" s="3">
        <v>0.28380952380952379</v>
      </c>
      <c r="E76" s="3">
        <v>0.17407582938388627</v>
      </c>
      <c r="F76" s="3">
        <v>0.12415173867228661</v>
      </c>
      <c r="G76" s="3">
        <v>0.12061299176578226</v>
      </c>
    </row>
    <row r="77" spans="1:7" x14ac:dyDescent="0.25">
      <c r="A77" s="3">
        <v>0.13957947855340622</v>
      </c>
      <c r="B77" s="3">
        <v>0.14542080848243871</v>
      </c>
      <c r="C77" s="3">
        <v>0.14501547987616101</v>
      </c>
      <c r="D77" s="3">
        <v>0.14093730602110491</v>
      </c>
      <c r="E77" s="3">
        <v>0.15550119331742243</v>
      </c>
      <c r="F77" s="3">
        <v>0.1269102822580645</v>
      </c>
      <c r="G77" s="3">
        <v>0.19589350544574424</v>
      </c>
    </row>
    <row r="78" spans="1:7" x14ac:dyDescent="0.25">
      <c r="A78" s="3">
        <v>0.14203781512605043</v>
      </c>
      <c r="B78" s="3">
        <v>0.15153802172670097</v>
      </c>
      <c r="C78" s="3">
        <v>0.27771875000000001</v>
      </c>
      <c r="D78" s="3">
        <v>0.143555900621118</v>
      </c>
      <c r="E78" s="3">
        <v>0.11689382716049383</v>
      </c>
      <c r="F78" s="3">
        <v>0.15141753748296227</v>
      </c>
      <c r="G78" s="3">
        <v>0.18235924932975869</v>
      </c>
    </row>
    <row r="79" spans="1:7" x14ac:dyDescent="0.25">
      <c r="A79" s="3">
        <v>0.14116412213740459</v>
      </c>
      <c r="B79" s="3">
        <v>0.15298811544991511</v>
      </c>
      <c r="C79" s="3">
        <v>0.15542410714285712</v>
      </c>
      <c r="D79" s="3">
        <v>0.33170403587443947</v>
      </c>
      <c r="E79" s="3">
        <v>0.14201481481481482</v>
      </c>
      <c r="F79" s="3">
        <v>0.20412681912681913</v>
      </c>
      <c r="G79" s="3">
        <v>0.13724727838258166</v>
      </c>
    </row>
    <row r="80" spans="1:7" x14ac:dyDescent="0.25">
      <c r="A80" s="3">
        <v>0.1409426499670402</v>
      </c>
      <c r="B80" s="3">
        <v>0.1498425735797399</v>
      </c>
      <c r="C80" s="3">
        <v>0.1922107969151671</v>
      </c>
      <c r="D80" s="3">
        <v>0.20385041551246538</v>
      </c>
      <c r="E80" s="3">
        <v>0.13559964333481944</v>
      </c>
      <c r="F80" s="3">
        <v>0.32302663438256657</v>
      </c>
      <c r="G80" s="3">
        <v>0.1301909307875895</v>
      </c>
    </row>
    <row r="81" spans="1:7" x14ac:dyDescent="0.25">
      <c r="A81" s="3">
        <v>0.16566607460035523</v>
      </c>
      <c r="B81" s="3">
        <v>0.1987869822485207</v>
      </c>
      <c r="C81" s="3">
        <v>0.16550976138828633</v>
      </c>
      <c r="D81" s="3">
        <v>0.13542277825711821</v>
      </c>
      <c r="E81" s="3">
        <v>0.1224491490244915</v>
      </c>
      <c r="F81" s="3">
        <v>0.1849618768328446</v>
      </c>
      <c r="G81" s="3">
        <v>0.1825056095736724</v>
      </c>
    </row>
    <row r="82" spans="1:7" x14ac:dyDescent="0.25">
      <c r="A82" s="3">
        <v>0.15778355879292402</v>
      </c>
      <c r="B82" s="3">
        <v>0.15326060606060607</v>
      </c>
      <c r="C82" s="3">
        <v>0.18418934240362814</v>
      </c>
      <c r="D82" s="3">
        <v>0.15186198691255207</v>
      </c>
      <c r="E82" s="3">
        <v>0.14072110286320252</v>
      </c>
      <c r="F82" s="3">
        <v>0.2681379310344828</v>
      </c>
      <c r="G82" s="3">
        <v>0.12295757575757575</v>
      </c>
    </row>
    <row r="83" spans="1:7" x14ac:dyDescent="0.25">
      <c r="A83" s="3">
        <v>0.16022440392706871</v>
      </c>
      <c r="B83" s="3">
        <v>0.26485477178423239</v>
      </c>
      <c r="C83" s="3">
        <v>0.19063057703747768</v>
      </c>
      <c r="D83" s="3">
        <v>0.25621908127208481</v>
      </c>
      <c r="E83" s="3">
        <v>0.14783568904593639</v>
      </c>
      <c r="F83" s="3">
        <v>0.14391000000000001</v>
      </c>
      <c r="G83" s="3">
        <v>0.12388228941684666</v>
      </c>
    </row>
    <row r="84" spans="1:7" x14ac:dyDescent="0.25">
      <c r="A84" s="3">
        <v>0.19593073593073593</v>
      </c>
      <c r="B84" s="3">
        <v>0.16148184494602552</v>
      </c>
      <c r="C84" s="3">
        <v>0.18975893599334995</v>
      </c>
      <c r="D84" s="3">
        <v>0.14435861423220975</v>
      </c>
      <c r="E84" s="3">
        <v>0.21223964165733483</v>
      </c>
      <c r="F84" s="3">
        <v>0.16053672316384179</v>
      </c>
      <c r="G84" s="3">
        <v>0.16561305732484075</v>
      </c>
    </row>
    <row r="85" spans="1:7" x14ac:dyDescent="0.25">
      <c r="A85" s="3">
        <v>0.14381854436689931</v>
      </c>
      <c r="B85" s="3">
        <v>0.26999999999999996</v>
      </c>
      <c r="C85" s="3">
        <v>0.15139767932489451</v>
      </c>
      <c r="D85" s="3">
        <v>0.11852327447833066</v>
      </c>
      <c r="E85" s="3">
        <v>0.15657824933687003</v>
      </c>
      <c r="F85" s="3">
        <v>0.16248484848484848</v>
      </c>
      <c r="G85" s="3">
        <v>0.1570961145194274</v>
      </c>
    </row>
    <row r="86" spans="1:7" x14ac:dyDescent="0.25">
      <c r="A86" s="3">
        <v>0.12299016393442623</v>
      </c>
      <c r="B86" s="3">
        <v>0.22329568106312292</v>
      </c>
      <c r="C86" s="3">
        <v>0.14205382436260625</v>
      </c>
      <c r="D86" s="3">
        <v>0.15818181818181817</v>
      </c>
      <c r="E86" s="3">
        <v>0.14427770859277708</v>
      </c>
      <c r="F86" s="3">
        <v>0.15673413063477462</v>
      </c>
      <c r="G86" s="3">
        <v>0.162265625</v>
      </c>
    </row>
    <row r="87" spans="1:7" x14ac:dyDescent="0.25">
      <c r="A87" s="3">
        <v>0.12702170418006431</v>
      </c>
      <c r="B87" s="3">
        <v>0.21728813559322036</v>
      </c>
      <c r="C87" s="3">
        <v>0.13827225130890053</v>
      </c>
      <c r="D87" s="3">
        <v>0.1605578512396694</v>
      </c>
      <c r="E87" s="3">
        <v>0.13735632183908045</v>
      </c>
      <c r="F87" s="3">
        <v>0.17738356164383562</v>
      </c>
      <c r="G87" s="3">
        <v>0.15050081654872074</v>
      </c>
    </row>
    <row r="88" spans="1:7" x14ac:dyDescent="0.25">
      <c r="A88" s="3">
        <v>0.15176305970149254</v>
      </c>
      <c r="B88" s="3">
        <v>0.20693670886075949</v>
      </c>
      <c r="C88" s="3">
        <v>0.1534925558312655</v>
      </c>
      <c r="D88" s="3">
        <v>0.14424757281553399</v>
      </c>
      <c r="E88" s="3">
        <v>0.27871212121212119</v>
      </c>
      <c r="F88" s="3">
        <v>0.14257096069868996</v>
      </c>
      <c r="G88" s="3">
        <v>0.15959330143540668</v>
      </c>
    </row>
    <row r="89" spans="1:7" x14ac:dyDescent="0.25">
      <c r="A89" s="3">
        <v>0.19519582245430811</v>
      </c>
      <c r="B89" s="3">
        <v>0.17036371066612177</v>
      </c>
      <c r="C89" s="3">
        <v>0.1336950146627566</v>
      </c>
      <c r="D89" s="3">
        <v>0.12987659963436929</v>
      </c>
      <c r="E89" s="3">
        <v>0.12852789498359118</v>
      </c>
      <c r="F89" s="3">
        <v>0.13373821408763173</v>
      </c>
      <c r="G89" s="3">
        <v>0.14304147465437789</v>
      </c>
    </row>
    <row r="90" spans="1:7" x14ac:dyDescent="0.25">
      <c r="A90" s="3">
        <v>0.13671151776103335</v>
      </c>
      <c r="B90" s="3">
        <v>0.14776916802610113</v>
      </c>
      <c r="C90" s="3">
        <v>0.15582102519548219</v>
      </c>
      <c r="D90" s="3">
        <v>0.1197</v>
      </c>
      <c r="E90" s="3">
        <v>0.14419529837251355</v>
      </c>
      <c r="F90" s="3">
        <v>0.14359635811836113</v>
      </c>
      <c r="G90" s="3">
        <v>0.15258188824662813</v>
      </c>
    </row>
    <row r="91" spans="1:7" x14ac:dyDescent="0.25">
      <c r="A91" s="3">
        <v>0.56834862385321105</v>
      </c>
      <c r="B91" s="3">
        <v>0.13431597023468805</v>
      </c>
      <c r="C91" s="3">
        <v>0.19499550763701706</v>
      </c>
      <c r="D91" s="3">
        <v>0.18376875551632835</v>
      </c>
      <c r="E91" s="3">
        <v>0.1410818888224746</v>
      </c>
      <c r="F91" s="3">
        <v>0.15532428355957767</v>
      </c>
      <c r="G91" s="3">
        <v>0.13238465052535406</v>
      </c>
    </row>
    <row r="92" spans="1:7" x14ac:dyDescent="0.25">
      <c r="A92" s="3">
        <v>0.12711939636040834</v>
      </c>
      <c r="B92" s="3">
        <v>0.16305691056910571</v>
      </c>
      <c r="C92" s="3">
        <v>0.18812394366197183</v>
      </c>
      <c r="D92" s="3">
        <v>0.18738188976377954</v>
      </c>
      <c r="E92" s="3">
        <v>0.14036929057337219</v>
      </c>
      <c r="F92" s="3">
        <v>0.17733050847457626</v>
      </c>
      <c r="G92" s="3">
        <v>0.12698850574712645</v>
      </c>
    </row>
    <row r="93" spans="1:7" x14ac:dyDescent="0.25">
      <c r="A93" s="3">
        <v>0.1541163107678328</v>
      </c>
      <c r="B93" s="3">
        <v>0.21890566037735848</v>
      </c>
      <c r="C93" s="3">
        <v>0.15210106382978722</v>
      </c>
      <c r="D93" s="3">
        <v>0.14044803695150115</v>
      </c>
      <c r="E93" s="3">
        <v>0.13676923076923078</v>
      </c>
      <c r="F93" s="3">
        <v>0.22680232558139538</v>
      </c>
      <c r="G93" s="3">
        <v>0.13123217341699944</v>
      </c>
    </row>
    <row r="94" spans="1:7" x14ac:dyDescent="0.25">
      <c r="A94" s="3">
        <v>0.11856051467631686</v>
      </c>
      <c r="B94" s="3">
        <v>0.13155879180151026</v>
      </c>
      <c r="C94" s="3">
        <v>0.18758695652173915</v>
      </c>
      <c r="D94" s="3">
        <v>0.25145038167938932</v>
      </c>
      <c r="E94" s="3">
        <v>0.13140013726835964</v>
      </c>
      <c r="F94" s="3">
        <v>0.1327570093457944</v>
      </c>
      <c r="G94" s="3">
        <v>0.11301457194899818</v>
      </c>
    </row>
    <row r="95" spans="1:7" x14ac:dyDescent="0.25">
      <c r="A95" s="3">
        <v>0.19213240418118466</v>
      </c>
      <c r="B95" s="3">
        <v>0.32809523809523811</v>
      </c>
      <c r="C95" s="3">
        <v>0.13594805194805196</v>
      </c>
      <c r="D95" s="3">
        <v>0.16359271523178809</v>
      </c>
      <c r="E95" s="3">
        <v>0.11905840286054828</v>
      </c>
      <c r="F95" s="3">
        <v>0.20083965330444203</v>
      </c>
      <c r="G95" s="3">
        <v>0.14565826330532214</v>
      </c>
    </row>
    <row r="96" spans="1:7" x14ac:dyDescent="0.25">
      <c r="A96" s="3">
        <v>0.13341515023275496</v>
      </c>
      <c r="B96" s="3">
        <v>0.22707278481012658</v>
      </c>
      <c r="C96" s="3">
        <v>0.16351805205709488</v>
      </c>
      <c r="D96" s="3">
        <v>0.21834274952919019</v>
      </c>
      <c r="E96" s="3">
        <v>0.13467217346411978</v>
      </c>
      <c r="F96" s="3">
        <v>0.31380281690140849</v>
      </c>
      <c r="G96" s="3">
        <v>0.15237424547283704</v>
      </c>
    </row>
    <row r="97" spans="1:7" x14ac:dyDescent="0.25">
      <c r="A97" s="3">
        <v>0.19088697017268447</v>
      </c>
      <c r="B97" s="3">
        <v>0.19888701517706575</v>
      </c>
      <c r="C97" s="3">
        <v>0.1497</v>
      </c>
      <c r="D97" s="3">
        <v>0.19527526132404183</v>
      </c>
      <c r="E97" s="3">
        <v>0.11851987208771128</v>
      </c>
      <c r="F97" s="3">
        <v>0.14809</v>
      </c>
      <c r="G97" s="3">
        <v>0.14077133105802048</v>
      </c>
    </row>
    <row r="98" spans="1:7" x14ac:dyDescent="0.25">
      <c r="A98" s="3">
        <v>0.1383863227354529</v>
      </c>
      <c r="B98" s="3">
        <v>0.22787688442211054</v>
      </c>
      <c r="C98" s="3">
        <v>0.15309547738693469</v>
      </c>
      <c r="D98" s="3">
        <v>0.13427672955974843</v>
      </c>
      <c r="E98" s="3">
        <v>0.12582368655387358</v>
      </c>
      <c r="F98" s="3">
        <v>0.12949876746096958</v>
      </c>
      <c r="G98" s="3">
        <v>0.13676987060998153</v>
      </c>
    </row>
    <row r="99" spans="1:7" x14ac:dyDescent="0.25">
      <c r="A99" s="3">
        <v>0.15374216027874565</v>
      </c>
      <c r="B99" s="3">
        <v>0.1746917808219178</v>
      </c>
      <c r="C99" s="3">
        <v>0.26463999999999999</v>
      </c>
      <c r="D99" s="3">
        <v>0.12292130201895343</v>
      </c>
      <c r="E99" s="3">
        <v>0.25816091954022991</v>
      </c>
      <c r="F99" s="3">
        <v>0.13826254826254827</v>
      </c>
      <c r="G99" s="3">
        <v>0.24607142857142858</v>
      </c>
    </row>
    <row r="100" spans="1:7" x14ac:dyDescent="0.25">
      <c r="A100" s="3">
        <v>0.15493379790940767</v>
      </c>
      <c r="B100" s="3">
        <v>0.53069182389937108</v>
      </c>
      <c r="C100" s="3">
        <v>0.14665376106194689</v>
      </c>
      <c r="D100" s="3">
        <v>0.15037844036697248</v>
      </c>
      <c r="E100" s="3">
        <v>0.17174362089914946</v>
      </c>
      <c r="F100" s="3">
        <v>0.16343324250681199</v>
      </c>
      <c r="G100" s="3">
        <v>0.13042428675932699</v>
      </c>
    </row>
    <row r="101" spans="1:7" x14ac:dyDescent="0.25">
      <c r="A101" s="3">
        <v>0.14422185430463577</v>
      </c>
      <c r="B101" s="3">
        <v>0.19186440677966102</v>
      </c>
      <c r="C101" s="3">
        <v>0.14047030878859856</v>
      </c>
      <c r="D101" s="3">
        <v>0.15178082191780823</v>
      </c>
      <c r="E101" s="3">
        <v>0.21746753246753248</v>
      </c>
      <c r="F101" s="3">
        <v>0.13683495145631067</v>
      </c>
      <c r="G101" s="3">
        <v>0.1668</v>
      </c>
    </row>
    <row r="102" spans="1:7" x14ac:dyDescent="0.25">
      <c r="A102" s="3">
        <v>0.1431517027863777</v>
      </c>
      <c r="B102" s="3">
        <v>0.14465824665676077</v>
      </c>
      <c r="C102" s="3">
        <v>0.1362883295194508</v>
      </c>
      <c r="D102" s="3">
        <v>0.15890936254980079</v>
      </c>
      <c r="E102" s="3">
        <v>0.15265091863517061</v>
      </c>
      <c r="F102" s="3">
        <v>0.15310027598896042</v>
      </c>
      <c r="G102" s="3">
        <v>0.13182729805013926</v>
      </c>
    </row>
    <row r="103" spans="1:7" x14ac:dyDescent="0.25">
      <c r="A103" s="3">
        <v>0.14546201232032854</v>
      </c>
      <c r="B103" s="3">
        <v>0.20155303030303032</v>
      </c>
      <c r="C103" s="3">
        <v>0.21820564516129032</v>
      </c>
      <c r="D103" s="3">
        <v>0.13320261437908495</v>
      </c>
      <c r="E103" s="3">
        <v>0.37224489795918364</v>
      </c>
      <c r="F103" s="3">
        <v>0.14144632206759442</v>
      </c>
      <c r="G103" s="3">
        <v>0.1476068376068376</v>
      </c>
    </row>
    <row r="104" spans="1:7" x14ac:dyDescent="0.25">
      <c r="A104" s="3">
        <v>0.15118794326241136</v>
      </c>
      <c r="B104" s="3">
        <v>0.13798795180722892</v>
      </c>
      <c r="C104" s="3">
        <v>0.19098850574712642</v>
      </c>
      <c r="D104" s="3">
        <v>0.15845283018867926</v>
      </c>
      <c r="E104" s="3">
        <v>0.15772652388797362</v>
      </c>
      <c r="F104" s="3">
        <v>0.1313399014778325</v>
      </c>
      <c r="G104" s="3">
        <v>0.13496124031007753</v>
      </c>
    </row>
    <row r="105" spans="1:7" x14ac:dyDescent="0.25">
      <c r="A105" s="3">
        <v>0.18660629921259844</v>
      </c>
      <c r="B105" s="3">
        <v>0.20444444444444446</v>
      </c>
      <c r="C105" s="3">
        <v>0.20262729124236251</v>
      </c>
      <c r="D105" s="3">
        <v>0.15857274401473298</v>
      </c>
      <c r="E105" s="3">
        <v>0.14543478260869566</v>
      </c>
      <c r="F105" s="3">
        <v>0.20650853889943074</v>
      </c>
      <c r="G105" s="3">
        <v>0.12392821535393818</v>
      </c>
    </row>
    <row r="106" spans="1:7" x14ac:dyDescent="0.25">
      <c r="A106" s="3">
        <v>0.1503054032889585</v>
      </c>
      <c r="B106" s="3">
        <v>0.19513163766175814</v>
      </c>
      <c r="C106" s="3">
        <v>0.18258620689655172</v>
      </c>
      <c r="D106" s="3">
        <v>0.22112706007442851</v>
      </c>
      <c r="E106" s="3">
        <v>0.17528892455858747</v>
      </c>
      <c r="F106" s="3">
        <v>0.14583129584352078</v>
      </c>
      <c r="G106" s="3">
        <v>0.13049040511727081</v>
      </c>
    </row>
    <row r="107" spans="1:7" x14ac:dyDescent="0.25">
      <c r="A107" s="3">
        <v>0.1348397976391231</v>
      </c>
      <c r="B107" s="3">
        <v>0.15704225352112675</v>
      </c>
      <c r="C107" s="3">
        <v>1.4061475409836066E-2</v>
      </c>
      <c r="D107" s="3">
        <v>0.15000434593654935</v>
      </c>
      <c r="E107" s="3">
        <v>0.13970731707317072</v>
      </c>
      <c r="F107" s="3">
        <v>0.13353358561967835</v>
      </c>
      <c r="G107" s="3">
        <v>0.13804433497536947</v>
      </c>
    </row>
    <row r="108" spans="1:7" x14ac:dyDescent="0.25">
      <c r="A108" s="3">
        <v>0.13907926829268294</v>
      </c>
      <c r="B108" s="3">
        <v>0.14523012552301254</v>
      </c>
      <c r="C108" s="3">
        <v>0.15654984423676011</v>
      </c>
      <c r="D108" s="3">
        <v>0.14813804173354736</v>
      </c>
      <c r="E108" s="3">
        <v>0.4376678445229682</v>
      </c>
      <c r="F108" s="3">
        <v>0.24352803738317758</v>
      </c>
      <c r="G108" s="3">
        <v>0.21</v>
      </c>
    </row>
    <row r="109" spans="1:7" x14ac:dyDescent="0.25">
      <c r="A109" s="3">
        <v>0.12457282343368592</v>
      </c>
      <c r="B109" s="3">
        <v>0.15413974950560316</v>
      </c>
      <c r="C109" s="3">
        <v>0.29151578947368423</v>
      </c>
      <c r="D109" s="3">
        <v>0.13286127167630057</v>
      </c>
      <c r="E109" s="3">
        <v>0.11643724696356277</v>
      </c>
      <c r="F109" s="3">
        <v>0.20980952380952381</v>
      </c>
      <c r="G109" s="3">
        <v>0.13519064124783362</v>
      </c>
    </row>
    <row r="110" spans="1:7" x14ac:dyDescent="0.25">
      <c r="A110" s="3">
        <v>0.1266369578134284</v>
      </c>
      <c r="B110" s="3">
        <v>0.18122641509433962</v>
      </c>
      <c r="C110" s="3">
        <v>0.14534306569343067</v>
      </c>
      <c r="D110" s="3">
        <v>0.13472151898734178</v>
      </c>
      <c r="E110" s="3">
        <v>0.13574946004319655</v>
      </c>
      <c r="F110" s="3">
        <v>0.16714139344262294</v>
      </c>
      <c r="G110" s="3">
        <v>0.12404009720534628</v>
      </c>
    </row>
    <row r="111" spans="1:7" x14ac:dyDescent="0.25">
      <c r="A111" s="3">
        <v>0.15552247191011234</v>
      </c>
      <c r="B111" s="3">
        <v>0.42429752066115706</v>
      </c>
      <c r="C111" s="3">
        <v>0.15424365942028986</v>
      </c>
      <c r="D111" s="3">
        <v>0.16331495098039214</v>
      </c>
      <c r="E111" s="3">
        <v>0.15976707252514558</v>
      </c>
      <c r="F111" s="3">
        <v>0.13970976253298154</v>
      </c>
      <c r="G111" s="3">
        <v>0.16597615499254845</v>
      </c>
    </row>
    <row r="112" spans="1:7" x14ac:dyDescent="0.25">
      <c r="A112" s="3">
        <v>0.16381625441696113</v>
      </c>
      <c r="B112" s="3">
        <v>0.19936708860759494</v>
      </c>
      <c r="C112" s="3">
        <v>0.15388819875776397</v>
      </c>
      <c r="D112" s="3">
        <v>0.1550681818181818</v>
      </c>
      <c r="E112" s="3">
        <v>0.21097142857142859</v>
      </c>
      <c r="F112" s="3">
        <v>0.3105590062111801</v>
      </c>
      <c r="G112" s="3">
        <v>0.29133504492939666</v>
      </c>
    </row>
    <row r="113" spans="1:7" x14ac:dyDescent="0.25">
      <c r="A113" s="3">
        <v>0.13647684130599849</v>
      </c>
      <c r="B113" s="3">
        <v>0.22187368421052631</v>
      </c>
      <c r="C113" s="3">
        <v>0.16082524271844661</v>
      </c>
      <c r="D113" s="3">
        <v>0.14388235294117646</v>
      </c>
      <c r="E113" s="3">
        <v>0.126678445229682</v>
      </c>
      <c r="F113" s="3">
        <v>0.18812000000000001</v>
      </c>
      <c r="G113" s="3">
        <v>0.12855072463768116</v>
      </c>
    </row>
    <row r="114" spans="1:7" x14ac:dyDescent="0.25">
      <c r="A114" s="3">
        <v>0.1364276344556187</v>
      </c>
      <c r="B114" s="3">
        <v>0.17547619047619048</v>
      </c>
      <c r="C114" s="3">
        <v>0.13885</v>
      </c>
      <c r="D114" s="3">
        <v>0.16387856257744735</v>
      </c>
      <c r="E114" s="3">
        <v>0.20146341463414633</v>
      </c>
      <c r="F114" s="3">
        <v>0.14843913043478263</v>
      </c>
      <c r="G114" s="3">
        <v>0.12088335773548071</v>
      </c>
    </row>
    <row r="115" spans="1:7" x14ac:dyDescent="0.25">
      <c r="A115" s="3">
        <v>0.13401205337925096</v>
      </c>
      <c r="B115" s="3">
        <v>0.15734042553191488</v>
      </c>
      <c r="C115" s="3">
        <v>0.19160493827160494</v>
      </c>
      <c r="D115" s="3">
        <v>0.13228855721393035</v>
      </c>
      <c r="E115" s="3">
        <v>0.17854901960784314</v>
      </c>
      <c r="F115" s="3">
        <v>0.16478688524590165</v>
      </c>
      <c r="G115" s="3">
        <v>0.19306167400881058</v>
      </c>
    </row>
    <row r="116" spans="1:7" x14ac:dyDescent="0.25">
      <c r="A116" s="3">
        <v>0.13223596995139195</v>
      </c>
      <c r="B116" s="3">
        <v>0.20808080808080809</v>
      </c>
      <c r="C116" s="3">
        <v>0.18232752613240416</v>
      </c>
      <c r="D116" s="3">
        <v>0.20004341534008682</v>
      </c>
      <c r="E116" s="3">
        <v>0.12258928571428572</v>
      </c>
      <c r="F116" s="3">
        <v>0.1764906103286385</v>
      </c>
      <c r="G116" s="3">
        <v>0.17826615969581749</v>
      </c>
    </row>
    <row r="117" spans="1:7" x14ac:dyDescent="0.25">
      <c r="A117" s="3">
        <v>0.63102325581395347</v>
      </c>
      <c r="B117" s="3">
        <v>0.24282644628099173</v>
      </c>
      <c r="C117" s="3">
        <v>0.29901060070671381</v>
      </c>
      <c r="D117" s="3">
        <v>0.15161904761904763</v>
      </c>
      <c r="E117" s="3">
        <v>0.17197674418604653</v>
      </c>
      <c r="F117" s="3">
        <v>0.13109042553191491</v>
      </c>
      <c r="G117" s="3">
        <v>0.15841987716359576</v>
      </c>
    </row>
    <row r="118" spans="1:7" x14ac:dyDescent="0.25">
      <c r="A118" s="3">
        <v>0.14539195354624637</v>
      </c>
      <c r="B118" s="3">
        <v>0.18931010452961675</v>
      </c>
      <c r="C118" s="3">
        <v>0.13668063704945516</v>
      </c>
      <c r="D118" s="3">
        <v>0.29469055374592834</v>
      </c>
      <c r="E118" s="3">
        <v>0.43010968921389398</v>
      </c>
      <c r="F118" s="3">
        <v>0.15359543436905518</v>
      </c>
      <c r="G118" s="3">
        <v>0.16107424071991</v>
      </c>
    </row>
    <row r="119" spans="1:7" x14ac:dyDescent="0.25">
      <c r="A119" s="3">
        <v>0.15019179894179893</v>
      </c>
      <c r="B119" s="3">
        <v>0.16614623419461244</v>
      </c>
      <c r="C119" s="3">
        <v>0.15486593843098312</v>
      </c>
      <c r="D119" s="3">
        <v>0.13791666666666666</v>
      </c>
      <c r="E119" s="3">
        <v>0.141055900621118</v>
      </c>
      <c r="F119" s="3">
        <v>2.5016546184738955</v>
      </c>
      <c r="G119" s="3">
        <v>0.16875598086124402</v>
      </c>
    </row>
    <row r="120" spans="1:7" x14ac:dyDescent="0.25">
      <c r="A120" s="3">
        <v>0.16360566448801742</v>
      </c>
      <c r="B120" s="3">
        <v>0.16830875122910519</v>
      </c>
      <c r="C120" s="3">
        <v>0.18239102835378757</v>
      </c>
      <c r="D120" s="3">
        <v>0.35306122448979593</v>
      </c>
      <c r="E120" s="3">
        <v>0.26110969387755101</v>
      </c>
      <c r="F120" s="3">
        <v>0.18063815342837744</v>
      </c>
      <c r="G120" s="3">
        <v>0.11017383348581884</v>
      </c>
    </row>
    <row r="121" spans="1:7" x14ac:dyDescent="0.25">
      <c r="A121" s="3">
        <v>0.12652615540883697</v>
      </c>
      <c r="B121" s="3">
        <v>0.1769928400954654</v>
      </c>
      <c r="C121" s="3">
        <v>0.18668965517241379</v>
      </c>
      <c r="D121" s="3">
        <v>0.18138573743922204</v>
      </c>
      <c r="E121" s="3">
        <v>1.0750694444444444</v>
      </c>
      <c r="F121" s="3">
        <v>0.16389523809523809</v>
      </c>
      <c r="G121" s="3">
        <v>0.1562875</v>
      </c>
    </row>
    <row r="122" spans="1:7" x14ac:dyDescent="0.25">
      <c r="A122" s="3">
        <v>0.21023738872403558</v>
      </c>
      <c r="B122" s="3">
        <v>0.38536345776031433</v>
      </c>
      <c r="C122" s="3">
        <v>0.16898480243161096</v>
      </c>
      <c r="D122" s="3">
        <v>0.13832397003745317</v>
      </c>
      <c r="E122" s="3">
        <v>0.16364611260053619</v>
      </c>
      <c r="F122" s="3">
        <v>0.15860939724727099</v>
      </c>
      <c r="G122" s="3">
        <v>0.13970149253731343</v>
      </c>
    </row>
    <row r="123" spans="1:7" x14ac:dyDescent="0.25">
      <c r="A123" s="3">
        <v>0.1220178320037541</v>
      </c>
      <c r="B123" s="3">
        <v>0.13313592780597858</v>
      </c>
      <c r="C123" s="3">
        <v>0.14759999999999998</v>
      </c>
      <c r="D123" s="3">
        <v>0.16241610738255033</v>
      </c>
      <c r="E123" s="3">
        <v>0.13595282433271261</v>
      </c>
      <c r="F123" s="3">
        <v>0.18731141199226306</v>
      </c>
      <c r="G123" s="3">
        <v>0.14327198364008181</v>
      </c>
    </row>
    <row r="124" spans="1:7" x14ac:dyDescent="0.25">
      <c r="A124" s="3">
        <v>0.12722246035147877</v>
      </c>
      <c r="B124" s="3">
        <v>0.14928733889310083</v>
      </c>
      <c r="C124" s="3">
        <v>0.14639244774106541</v>
      </c>
      <c r="D124" s="3">
        <v>0.18275862068965515</v>
      </c>
      <c r="E124" s="3">
        <v>0.16875681570338058</v>
      </c>
      <c r="F124" s="3">
        <v>0.21200316706254949</v>
      </c>
      <c r="G124" s="3">
        <v>0.12493575207860921</v>
      </c>
    </row>
    <row r="125" spans="1:7" x14ac:dyDescent="0.25">
      <c r="A125" s="3">
        <v>0.16591586327782648</v>
      </c>
      <c r="B125" s="3">
        <v>0.15620333988212179</v>
      </c>
      <c r="C125" s="3">
        <v>0.1240864133263925</v>
      </c>
      <c r="D125" s="3">
        <v>0.18214501510574019</v>
      </c>
      <c r="E125" s="3">
        <v>0.14908163265306121</v>
      </c>
      <c r="F125" s="3">
        <v>0.163856</v>
      </c>
      <c r="G125" s="3">
        <v>0.12660399529964747</v>
      </c>
    </row>
    <row r="126" spans="1:7" x14ac:dyDescent="0.25">
      <c r="A126" s="3">
        <v>0.13613279270146983</v>
      </c>
      <c r="B126" s="3">
        <v>0.16865306122448981</v>
      </c>
      <c r="C126" s="3">
        <v>0.40243816254416959</v>
      </c>
      <c r="D126" s="3">
        <v>0.16297530864197529</v>
      </c>
      <c r="E126" s="3">
        <v>0.17190518783542039</v>
      </c>
      <c r="F126" s="3">
        <v>0.14939017504234894</v>
      </c>
      <c r="G126" s="3">
        <v>0.13534144059869038</v>
      </c>
    </row>
    <row r="127" spans="1:7" x14ac:dyDescent="0.25">
      <c r="A127" s="3">
        <v>0.20197292069632494</v>
      </c>
      <c r="B127" s="3">
        <v>0.27921694480102693</v>
      </c>
      <c r="C127" s="3">
        <v>0.21885375494071146</v>
      </c>
      <c r="D127" s="3">
        <v>0.17595127610208816</v>
      </c>
      <c r="E127" s="3">
        <v>0.18223280423280425</v>
      </c>
      <c r="F127" s="3">
        <v>0.14510399999999998</v>
      </c>
      <c r="G127" s="3">
        <v>0.1318472906403941</v>
      </c>
    </row>
    <row r="128" spans="1:7" x14ac:dyDescent="0.25">
      <c r="A128" s="3">
        <v>0.13518843120070115</v>
      </c>
      <c r="B128" s="3">
        <v>0.16956468424279583</v>
      </c>
      <c r="C128" s="3">
        <v>0.14710679611650487</v>
      </c>
      <c r="D128" s="3">
        <v>0.13678767876787679</v>
      </c>
      <c r="E128" s="3">
        <v>0.68455089820359283</v>
      </c>
      <c r="F128" s="3">
        <v>0.15030232558139534</v>
      </c>
      <c r="G128" s="3">
        <v>0.12028834099456749</v>
      </c>
    </row>
    <row r="129" spans="1:7" x14ac:dyDescent="0.25">
      <c r="A129" s="3">
        <v>0.1389025389025389</v>
      </c>
      <c r="B129" s="3">
        <v>0.15299700726806328</v>
      </c>
      <c r="C129" s="3">
        <v>0.1695273631840796</v>
      </c>
      <c r="D129" s="3">
        <v>0.20865185185185187</v>
      </c>
      <c r="E129" s="3">
        <v>0.16043348281016442</v>
      </c>
      <c r="F129" s="3">
        <v>0.1843223819301848</v>
      </c>
      <c r="G129" s="3">
        <v>0.45847457627118643</v>
      </c>
    </row>
    <row r="130" spans="1:7" x14ac:dyDescent="0.25">
      <c r="A130" s="3">
        <v>0.14375212224108658</v>
      </c>
      <c r="B130" s="3">
        <v>0.14189493433395872</v>
      </c>
      <c r="C130" s="3">
        <v>0.1576091081593928</v>
      </c>
      <c r="D130" s="3">
        <v>0.16753323485967503</v>
      </c>
      <c r="E130" s="3">
        <v>0.27933760683760683</v>
      </c>
      <c r="F130" s="3">
        <v>0.16893203883495145</v>
      </c>
      <c r="G130" s="3">
        <v>0.11680911680911681</v>
      </c>
    </row>
    <row r="131" spans="1:7" x14ac:dyDescent="0.25">
      <c r="A131" s="3">
        <v>0.15067495559502664</v>
      </c>
      <c r="B131" s="3">
        <v>0.24513157894736842</v>
      </c>
      <c r="C131" s="3">
        <v>0.16256353591160222</v>
      </c>
      <c r="D131" s="3">
        <v>0.78866666666666674</v>
      </c>
      <c r="E131" s="3">
        <v>0.29628458498023713</v>
      </c>
      <c r="F131" s="3">
        <v>0.14071883530482257</v>
      </c>
      <c r="G131" s="3">
        <v>0.17077064220183485</v>
      </c>
    </row>
    <row r="132" spans="1:7" x14ac:dyDescent="0.25">
      <c r="A132" s="3">
        <v>0.11855429292929293</v>
      </c>
      <c r="B132" s="3">
        <v>0.21546052631578946</v>
      </c>
      <c r="C132" s="3">
        <v>0.17751533742331288</v>
      </c>
      <c r="D132" s="3">
        <v>0.12739726027397261</v>
      </c>
      <c r="E132" s="3">
        <v>0.1690885072655218</v>
      </c>
      <c r="F132" s="3">
        <v>0.27187499999999998</v>
      </c>
      <c r="G132" s="3">
        <v>0.11970574276222117</v>
      </c>
    </row>
    <row r="133" spans="1:7" x14ac:dyDescent="0.25">
      <c r="A133" s="3">
        <v>0.11402470406587752</v>
      </c>
      <c r="B133" s="3">
        <v>0.18470588235294116</v>
      </c>
      <c r="C133" s="3">
        <v>0.21302961275626422</v>
      </c>
      <c r="D133" s="3">
        <v>0.12810756972111553</v>
      </c>
      <c r="E133" s="3">
        <v>0.2901965601965602</v>
      </c>
      <c r="F133" s="3">
        <v>0.16055912914398812</v>
      </c>
      <c r="G133" s="3">
        <v>0.12310690423162583</v>
      </c>
    </row>
    <row r="134" spans="1:7" x14ac:dyDescent="0.25">
      <c r="A134" s="3">
        <v>0.160098320360508</v>
      </c>
      <c r="B134" s="3">
        <v>0.1608101265822785</v>
      </c>
      <c r="C134" s="3">
        <v>0.56231788079470202</v>
      </c>
      <c r="D134" s="3">
        <v>0.1542824730572887</v>
      </c>
      <c r="E134" s="3">
        <v>0.1351781356759395</v>
      </c>
      <c r="F134" s="3">
        <v>0.3875632183908046</v>
      </c>
      <c r="G134" s="3">
        <v>0.14419708029197081</v>
      </c>
    </row>
    <row r="135" spans="1:7" x14ac:dyDescent="0.25">
      <c r="A135" s="3">
        <v>0.18911458333333334</v>
      </c>
      <c r="B135" s="3">
        <v>0.15010089020771514</v>
      </c>
      <c r="C135" s="3">
        <v>0.22676567656765675</v>
      </c>
      <c r="D135" s="3">
        <v>0.14493379389752448</v>
      </c>
      <c r="E135" s="3">
        <v>0.13669902912621359</v>
      </c>
      <c r="F135" s="3">
        <v>0.15416864608076009</v>
      </c>
      <c r="G135" s="3">
        <v>0.12613810741687981</v>
      </c>
    </row>
    <row r="136" spans="1:7" x14ac:dyDescent="0.25">
      <c r="A136" s="3">
        <v>0.12092637737688933</v>
      </c>
      <c r="B136" s="3">
        <v>0.15897394136807816</v>
      </c>
      <c r="C136" s="3">
        <v>0.17944621938232161</v>
      </c>
      <c r="D136" s="3">
        <v>0.188834008097166</v>
      </c>
      <c r="E136" s="3">
        <v>0.28353356890459364</v>
      </c>
      <c r="F136" s="3">
        <v>0.42835937499999999</v>
      </c>
      <c r="G136" s="3">
        <v>0.11913653136531366</v>
      </c>
    </row>
    <row r="137" spans="1:7" x14ac:dyDescent="0.25">
      <c r="A137" s="3">
        <v>0.17271875</v>
      </c>
      <c r="B137" s="3">
        <v>0.16438417074255224</v>
      </c>
      <c r="C137" s="3">
        <v>0.16877338877338879</v>
      </c>
      <c r="D137" s="3">
        <v>0.13496147006520451</v>
      </c>
      <c r="E137" s="3">
        <v>1.2395474667978357E-2</v>
      </c>
      <c r="F137" s="3">
        <v>0.12431044776119403</v>
      </c>
      <c r="G137" s="3">
        <v>0.13547266881028938</v>
      </c>
    </row>
    <row r="138" spans="1:7" x14ac:dyDescent="0.25">
      <c r="A138" s="3">
        <v>0.14698162729658792</v>
      </c>
      <c r="B138" s="3">
        <v>0.14491537376586744</v>
      </c>
      <c r="C138" s="3">
        <v>0.17814720812182741</v>
      </c>
      <c r="D138" s="3">
        <v>0.19803234501347708</v>
      </c>
      <c r="E138" s="3">
        <v>0.19569178082191779</v>
      </c>
      <c r="F138" s="3">
        <v>0.28999999999999998</v>
      </c>
      <c r="G138" s="3">
        <v>0.15970930232558139</v>
      </c>
    </row>
    <row r="139" spans="1:7" x14ac:dyDescent="0.25">
      <c r="A139" s="3">
        <v>0.1282535575679172</v>
      </c>
      <c r="B139" s="3">
        <v>0.14007072905331883</v>
      </c>
      <c r="C139" s="3">
        <v>0.14033934707903778</v>
      </c>
      <c r="D139" s="3">
        <v>0.14362366092221707</v>
      </c>
      <c r="E139" s="3">
        <v>0.1270997375328084</v>
      </c>
      <c r="F139" s="3">
        <v>0.14661874070401587</v>
      </c>
      <c r="G139" s="3">
        <v>0.23569979716024342</v>
      </c>
    </row>
    <row r="140" spans="1:7" x14ac:dyDescent="0.25">
      <c r="A140" s="3">
        <v>0.17722222222222223</v>
      </c>
      <c r="B140" s="3">
        <v>0.16758076634109692</v>
      </c>
      <c r="C140" s="3">
        <v>0.14461427886919023</v>
      </c>
      <c r="D140" s="3">
        <v>0.24287356321839082</v>
      </c>
      <c r="E140" s="3">
        <v>0.16821002386634845</v>
      </c>
      <c r="F140" s="3">
        <v>0.2026602564102564</v>
      </c>
      <c r="G140" s="3">
        <v>0.25741444866920149</v>
      </c>
    </row>
    <row r="141" spans="1:7" x14ac:dyDescent="0.25">
      <c r="A141" s="3">
        <v>0.1406713780918728</v>
      </c>
      <c r="B141" s="3">
        <v>0.17250400427122264</v>
      </c>
      <c r="C141" s="3">
        <v>0.12548321048321048</v>
      </c>
      <c r="D141" s="3">
        <v>0.28826923076923078</v>
      </c>
      <c r="E141" s="3">
        <v>0.19391188251001337</v>
      </c>
      <c r="F141" s="3">
        <v>0.13697179044329302</v>
      </c>
      <c r="G141" s="3">
        <v>0.22037593984962409</v>
      </c>
    </row>
    <row r="142" spans="1:7" x14ac:dyDescent="0.25">
      <c r="A142" s="3">
        <v>0.13904313336638571</v>
      </c>
      <c r="B142" s="3">
        <v>0.16644743656136718</v>
      </c>
      <c r="C142" s="3">
        <v>0.18881670533642692</v>
      </c>
      <c r="D142" s="3">
        <v>0.23469613259668506</v>
      </c>
      <c r="E142" s="3">
        <v>0.13177351427234441</v>
      </c>
      <c r="F142" s="3">
        <v>0.14193505923650726</v>
      </c>
      <c r="G142" s="3">
        <v>0.1545769576957696</v>
      </c>
    </row>
    <row r="143" spans="1:7" x14ac:dyDescent="0.25">
      <c r="A143" s="3">
        <v>0.13711904761904764</v>
      </c>
      <c r="B143" s="3">
        <v>0.16154817275747507</v>
      </c>
      <c r="C143" s="3">
        <v>0.134009840098401</v>
      </c>
      <c r="D143" s="3">
        <v>0.44283018867924528</v>
      </c>
      <c r="E143" s="3">
        <v>0.13577639751552795</v>
      </c>
      <c r="F143" s="3">
        <v>0.1342583732057416</v>
      </c>
      <c r="G143" s="3">
        <v>0.13687344913151364</v>
      </c>
    </row>
    <row r="144" spans="1:7" x14ac:dyDescent="0.25">
      <c r="A144" s="3">
        <v>0.12609540636042404</v>
      </c>
      <c r="B144" s="3">
        <v>0.13211514392991239</v>
      </c>
      <c r="C144" s="3">
        <v>0.17061495844875346</v>
      </c>
      <c r="D144" s="3">
        <v>0.13889596602972401</v>
      </c>
      <c r="E144" s="3">
        <v>0.17352188552188552</v>
      </c>
      <c r="F144" s="3">
        <v>0.14804847471792729</v>
      </c>
      <c r="G144" s="3">
        <v>0.18444444444444444</v>
      </c>
    </row>
    <row r="145" spans="1:7" x14ac:dyDescent="0.25">
      <c r="A145" s="3">
        <v>0.15956521739130436</v>
      </c>
      <c r="B145" s="3">
        <v>0.23599531615925057</v>
      </c>
      <c r="C145" s="3">
        <v>0.17643513789581206</v>
      </c>
      <c r="D145" s="3">
        <v>0.24288961038961041</v>
      </c>
      <c r="E145" s="3">
        <v>0.13671896316507504</v>
      </c>
      <c r="F145" s="3">
        <v>0.1410621761658031</v>
      </c>
      <c r="G145" s="3">
        <v>0.15210922787193973</v>
      </c>
    </row>
    <row r="146" spans="1:7" x14ac:dyDescent="0.25">
      <c r="A146" s="3">
        <v>0.16546153846153847</v>
      </c>
      <c r="B146" s="3">
        <v>0.17492814371257484</v>
      </c>
      <c r="C146" s="3">
        <v>0.15334296724470134</v>
      </c>
      <c r="D146" s="3">
        <v>0.1481207400194742</v>
      </c>
      <c r="E146" s="3">
        <v>0.130620884289746</v>
      </c>
      <c r="F146" s="3">
        <v>0.1595943396226415</v>
      </c>
      <c r="G146" s="3">
        <v>0.33201492537313432</v>
      </c>
    </row>
    <row r="147" spans="1:7" x14ac:dyDescent="0.25">
      <c r="A147" s="3">
        <v>0.13236270753512133</v>
      </c>
      <c r="B147" s="3">
        <v>0.15871854885898187</v>
      </c>
      <c r="C147" s="3">
        <v>0.18293636363636362</v>
      </c>
      <c r="D147" s="3">
        <v>0.12312125748502994</v>
      </c>
      <c r="E147" s="3">
        <v>0.13023375142531357</v>
      </c>
      <c r="F147" s="3">
        <v>0.19416497975708502</v>
      </c>
      <c r="G147" s="3">
        <v>0.11272070211667527</v>
      </c>
    </row>
    <row r="148" spans="1:7" x14ac:dyDescent="0.25">
      <c r="A148" s="3">
        <v>0.12138518518518519</v>
      </c>
      <c r="B148" s="3">
        <v>0.13511498257839721</v>
      </c>
      <c r="C148" s="3">
        <v>0.16452471482889733</v>
      </c>
      <c r="D148" s="3">
        <v>0.12824956672443674</v>
      </c>
      <c r="E148" s="3">
        <v>0.12683389544688028</v>
      </c>
      <c r="F148" s="3">
        <v>0.13995352439969017</v>
      </c>
      <c r="G148" s="3">
        <v>0.14151515151515151</v>
      </c>
    </row>
    <row r="149" spans="1:7" x14ac:dyDescent="0.25">
      <c r="A149" s="3">
        <v>0.13192526401299756</v>
      </c>
      <c r="B149" s="3">
        <v>0.1539875</v>
      </c>
      <c r="C149" s="3">
        <v>0.27491582491582495</v>
      </c>
      <c r="D149" s="3">
        <v>0.14053321678321679</v>
      </c>
      <c r="E149" s="3">
        <v>0.13923464249748238</v>
      </c>
      <c r="F149" s="3">
        <v>0.16971397733405288</v>
      </c>
      <c r="G149" s="3">
        <v>0.14406182602444284</v>
      </c>
    </row>
    <row r="150" spans="1:7" x14ac:dyDescent="0.25">
      <c r="A150" s="3">
        <v>0.60741935483870968</v>
      </c>
      <c r="B150" s="3">
        <v>0.17770401106500691</v>
      </c>
      <c r="C150" s="3">
        <v>0.15638069705093832</v>
      </c>
      <c r="D150" s="3">
        <v>0.20687804878048779</v>
      </c>
      <c r="E150" s="3">
        <v>0.19253521126760562</v>
      </c>
      <c r="F150" s="3">
        <v>0.19109022556390975</v>
      </c>
      <c r="G150" s="3">
        <v>0.12937398373983738</v>
      </c>
    </row>
    <row r="151" spans="1:7" x14ac:dyDescent="0.25">
      <c r="A151" s="3">
        <v>0.19317037037037035</v>
      </c>
      <c r="B151" s="3">
        <v>0.21440443213296401</v>
      </c>
      <c r="C151" s="3">
        <v>0.13856366459627328</v>
      </c>
      <c r="D151" s="3">
        <v>0.13867595818815331</v>
      </c>
      <c r="E151" s="3">
        <v>0.16748238308776425</v>
      </c>
      <c r="F151" s="3">
        <v>0.13158558558558558</v>
      </c>
      <c r="G151" s="3">
        <v>0.14721999999999999</v>
      </c>
    </row>
    <row r="152" spans="1:7" x14ac:dyDescent="0.25">
      <c r="A152" s="3">
        <v>0.16011126564673159</v>
      </c>
      <c r="B152" s="3">
        <v>0.28132947976878614</v>
      </c>
      <c r="C152" s="3">
        <v>0.21026785714285717</v>
      </c>
      <c r="D152" s="3">
        <v>0.13810045662100456</v>
      </c>
      <c r="E152" s="3">
        <v>0.14732142857142858</v>
      </c>
      <c r="F152" s="3">
        <v>0.17374225526641884</v>
      </c>
      <c r="G152" s="3">
        <v>0.14814086294416243</v>
      </c>
    </row>
    <row r="153" spans="1:7" x14ac:dyDescent="0.25">
      <c r="A153" s="3">
        <v>0.11974670184696569</v>
      </c>
      <c r="B153" s="3">
        <v>0.14966112956810632</v>
      </c>
      <c r="C153" s="3">
        <v>0.14668635170603675</v>
      </c>
      <c r="D153" s="3">
        <v>0.14429458005792303</v>
      </c>
      <c r="E153" s="3">
        <v>0.13603492552645097</v>
      </c>
      <c r="F153" s="3">
        <v>0.15886473429951692</v>
      </c>
      <c r="G153" s="3">
        <v>0.89966666666666673</v>
      </c>
    </row>
    <row r="154" spans="1:7" x14ac:dyDescent="0.25">
      <c r="A154" s="3">
        <v>0.1561136890951276</v>
      </c>
      <c r="B154" s="3">
        <v>0.28446428571428573</v>
      </c>
      <c r="C154" s="3">
        <v>0.15431999999999998</v>
      </c>
      <c r="D154" s="3">
        <v>0.13226582278481011</v>
      </c>
      <c r="E154" s="3">
        <v>0.16446153846153846</v>
      </c>
      <c r="F154" s="3">
        <v>0.1332962962962963</v>
      </c>
      <c r="G154" s="3">
        <v>0.17569911504424779</v>
      </c>
    </row>
    <row r="155" spans="1:7" x14ac:dyDescent="0.25">
      <c r="A155" s="3">
        <v>0.12350065473592317</v>
      </c>
      <c r="B155" s="3">
        <v>0.13921077065923862</v>
      </c>
      <c r="C155" s="3">
        <v>0.13560850439882699</v>
      </c>
      <c r="D155" s="3">
        <v>0.14344303797468352</v>
      </c>
      <c r="E155" s="3">
        <v>0.17964063579820319</v>
      </c>
      <c r="F155" s="3">
        <v>0.23549376797698945</v>
      </c>
      <c r="G155" s="3">
        <v>0.18813753581661891</v>
      </c>
    </row>
    <row r="156" spans="1:7" x14ac:dyDescent="0.25">
      <c r="A156" s="3">
        <v>0.15707426856714179</v>
      </c>
      <c r="B156" s="3">
        <v>0.19220750551876378</v>
      </c>
      <c r="C156" s="3">
        <v>0.17988999999999999</v>
      </c>
      <c r="D156" s="3">
        <v>0.19349253731343283</v>
      </c>
      <c r="E156" s="3">
        <v>0.1270629865534324</v>
      </c>
      <c r="F156" s="3">
        <v>0.14504555314533621</v>
      </c>
      <c r="G156" s="3">
        <v>0.17278074866310161</v>
      </c>
    </row>
    <row r="157" spans="1:7" x14ac:dyDescent="0.25">
      <c r="A157" s="3">
        <v>0.37936936936936938</v>
      </c>
      <c r="B157" s="3">
        <v>0.14452264808362369</v>
      </c>
      <c r="C157" s="3">
        <v>0.17354911981828508</v>
      </c>
      <c r="D157" s="3">
        <v>0.19518304431599229</v>
      </c>
      <c r="E157" s="3">
        <v>0.19554216867469881</v>
      </c>
      <c r="F157" s="3">
        <v>0.14039942252165544</v>
      </c>
      <c r="G157" s="3">
        <v>0.17099783080260303</v>
      </c>
    </row>
    <row r="158" spans="1:7" x14ac:dyDescent="0.25">
      <c r="A158" s="3">
        <v>0.15056532663316582</v>
      </c>
      <c r="B158" s="3">
        <v>0.15234513274336284</v>
      </c>
      <c r="C158" s="3">
        <v>0.22190100430416068</v>
      </c>
      <c r="D158" s="3">
        <v>0.20063241106719368</v>
      </c>
      <c r="E158" s="3">
        <v>0.17986836692719047</v>
      </c>
      <c r="F158" s="3">
        <v>0.20260053619302948</v>
      </c>
      <c r="G158" s="3">
        <v>0.13724461105904404</v>
      </c>
    </row>
    <row r="159" spans="1:7" x14ac:dyDescent="0.25">
      <c r="A159" s="3">
        <v>0.14229022082018927</v>
      </c>
      <c r="B159" s="3">
        <v>0.17456962025316455</v>
      </c>
      <c r="C159" s="3">
        <v>0.15092651757188499</v>
      </c>
      <c r="D159" s="3">
        <v>0.13936741214057508</v>
      </c>
      <c r="E159" s="3">
        <v>0.12624203821656052</v>
      </c>
      <c r="F159" s="3">
        <v>0.14603749999999999</v>
      </c>
      <c r="G159" s="3">
        <v>0.1458967082860386</v>
      </c>
    </row>
    <row r="160" spans="1:7" x14ac:dyDescent="0.25">
      <c r="A160" s="3">
        <v>0.88833333333333342</v>
      </c>
      <c r="B160" s="3">
        <v>0.14331395348837209</v>
      </c>
      <c r="C160" s="3">
        <v>0.13619187264348553</v>
      </c>
      <c r="D160" s="3">
        <v>0.41247524752475245</v>
      </c>
      <c r="E160" s="3">
        <v>0.16471111111111111</v>
      </c>
      <c r="F160" s="3">
        <v>0.1689872068230277</v>
      </c>
      <c r="G160" s="3">
        <v>0.11805594405594405</v>
      </c>
    </row>
    <row r="161" spans="1:7" x14ac:dyDescent="0.25">
      <c r="A161" s="3">
        <v>0.11911245865490629</v>
      </c>
      <c r="B161" s="3">
        <v>0.15540457343887423</v>
      </c>
      <c r="C161" s="3">
        <v>0.16477693891557996</v>
      </c>
      <c r="D161" s="3">
        <v>0.18175869120654395</v>
      </c>
      <c r="E161" s="3">
        <v>0.14682531097890753</v>
      </c>
      <c r="F161" s="3">
        <v>0.15236886632825719</v>
      </c>
      <c r="G161" s="3">
        <v>0.16338359201773836</v>
      </c>
    </row>
    <row r="162" spans="1:7" x14ac:dyDescent="0.25">
      <c r="A162" s="3">
        <v>0.11981566820276497</v>
      </c>
      <c r="B162" s="3">
        <v>0.16635327635327635</v>
      </c>
      <c r="C162" s="3">
        <v>0.15024590163934426</v>
      </c>
      <c r="D162" s="3">
        <v>0.12874458874458874</v>
      </c>
      <c r="E162" s="3">
        <v>0.25590782122905026</v>
      </c>
      <c r="F162" s="3">
        <v>0.14275022542831381</v>
      </c>
      <c r="G162" s="3">
        <v>0.13642131979695432</v>
      </c>
    </row>
    <row r="163" spans="1:7" x14ac:dyDescent="0.25">
      <c r="A163" s="3">
        <v>0.12458476321207962</v>
      </c>
      <c r="B163" s="3">
        <v>0.20957657021877207</v>
      </c>
      <c r="C163" s="3">
        <v>0.12820927723840345</v>
      </c>
      <c r="D163" s="3">
        <v>0.16214488636363636</v>
      </c>
      <c r="E163" s="3">
        <v>0.19795348837209303</v>
      </c>
      <c r="F163" s="3">
        <v>0.15958758314855875</v>
      </c>
      <c r="G163" s="3">
        <v>0.19949999999999998</v>
      </c>
    </row>
    <row r="164" spans="1:7" x14ac:dyDescent="0.25">
      <c r="A164" s="3">
        <v>0.17772811918063314</v>
      </c>
      <c r="B164" s="3">
        <v>0.15550143266475647</v>
      </c>
      <c r="C164" s="3">
        <v>0.1544518272425249</v>
      </c>
      <c r="D164" s="3">
        <v>0.20934591194968555</v>
      </c>
      <c r="E164" s="3">
        <v>0.12616293532338307</v>
      </c>
      <c r="F164" s="3">
        <v>0.14612426035502959</v>
      </c>
      <c r="G164" s="3">
        <v>0.13326837909654562</v>
      </c>
    </row>
    <row r="165" spans="1:7" x14ac:dyDescent="0.25">
      <c r="A165" s="3">
        <v>0.15972337482710927</v>
      </c>
      <c r="B165" s="3">
        <v>0.15123089632383313</v>
      </c>
      <c r="C165" s="3">
        <v>0.15304647160068846</v>
      </c>
      <c r="D165" s="3">
        <v>0.1262512077294686</v>
      </c>
      <c r="E165" s="3">
        <v>0.13806167400881056</v>
      </c>
      <c r="F165" s="3">
        <v>0.16394441735738663</v>
      </c>
      <c r="G165" s="3">
        <v>0.1082542372881356</v>
      </c>
    </row>
    <row r="166" spans="1:7" x14ac:dyDescent="0.25">
      <c r="A166" s="3">
        <v>0.15174289245982694</v>
      </c>
      <c r="B166" s="3">
        <v>0.16008387698042872</v>
      </c>
      <c r="C166" s="3">
        <v>0.20154150197628459</v>
      </c>
      <c r="D166" s="3">
        <v>0.14737819025522042</v>
      </c>
      <c r="E166" s="3">
        <v>0.12442959001782532</v>
      </c>
      <c r="F166" s="3">
        <v>0.13604676454594888</v>
      </c>
      <c r="G166" s="3">
        <v>0.19889999999999999</v>
      </c>
    </row>
    <row r="167" spans="1:7" x14ac:dyDescent="0.25">
      <c r="A167" s="3">
        <v>0.12076228686058176</v>
      </c>
      <c r="B167" s="3">
        <v>0.20601415094339623</v>
      </c>
      <c r="C167" s="3">
        <v>0.21812440191387561</v>
      </c>
      <c r="D167" s="3">
        <v>3.3790988671472708</v>
      </c>
      <c r="E167" s="3">
        <v>0.14167805618830676</v>
      </c>
      <c r="F167" s="3">
        <v>0.15080267558528429</v>
      </c>
      <c r="G167" s="3">
        <v>0.12408632513110125</v>
      </c>
    </row>
    <row r="168" spans="1:7" x14ac:dyDescent="0.25">
      <c r="A168" s="3">
        <v>0.13445899772209569</v>
      </c>
      <c r="B168" s="3">
        <v>0.16283180428134558</v>
      </c>
      <c r="C168" s="3">
        <v>0.15059071729957804</v>
      </c>
      <c r="D168" s="3">
        <v>0.16537095088819226</v>
      </c>
      <c r="E168" s="3">
        <v>0.16824909017387787</v>
      </c>
      <c r="F168" s="3">
        <v>0.1466422018348624</v>
      </c>
      <c r="G168" s="3">
        <v>0.21657934508816123</v>
      </c>
    </row>
    <row r="169" spans="1:7" x14ac:dyDescent="0.25">
      <c r="A169" s="3">
        <v>0.11876760563380281</v>
      </c>
      <c r="B169" s="3">
        <v>0.14685714285714285</v>
      </c>
      <c r="C169" s="3">
        <v>0.12722569879015436</v>
      </c>
      <c r="D169" s="3">
        <v>0.1935282258064516</v>
      </c>
      <c r="E169" s="3">
        <v>0.14232837933474876</v>
      </c>
      <c r="F169" s="3">
        <v>0.14684447783621338</v>
      </c>
      <c r="G169" s="3">
        <v>0.11816838995568685</v>
      </c>
    </row>
    <row r="170" spans="1:7" x14ac:dyDescent="0.25">
      <c r="A170" s="3">
        <v>0.13180650684931505</v>
      </c>
      <c r="B170" s="3">
        <v>0.15456131605184448</v>
      </c>
      <c r="C170" s="3">
        <v>0.23049256505576207</v>
      </c>
      <c r="D170" s="3">
        <v>0.18187873612297181</v>
      </c>
      <c r="E170" s="3">
        <v>0.15938325991189428</v>
      </c>
      <c r="F170" s="3">
        <v>0.14470010905125408</v>
      </c>
      <c r="G170" s="3">
        <v>0.11612322274881517</v>
      </c>
    </row>
    <row r="171" spans="1:7" x14ac:dyDescent="0.25">
      <c r="A171" s="3">
        <v>0.16198863636363639</v>
      </c>
      <c r="B171" s="3">
        <v>0.15022636484687082</v>
      </c>
      <c r="C171" s="3">
        <v>0.13583333333333333</v>
      </c>
      <c r="D171" s="3">
        <v>0.13232682060390763</v>
      </c>
      <c r="E171" s="3">
        <v>0.12418303785337806</v>
      </c>
      <c r="F171" s="3">
        <v>0.17240121580547113</v>
      </c>
      <c r="G171" s="3">
        <v>0.17170483460559796</v>
      </c>
    </row>
    <row r="172" spans="1:7" x14ac:dyDescent="0.25">
      <c r="A172" s="3">
        <v>0.23265943012211668</v>
      </c>
      <c r="B172" s="3">
        <v>0.15291266375545853</v>
      </c>
      <c r="C172" s="3">
        <v>0.15661341853035146</v>
      </c>
      <c r="D172" s="3">
        <v>0.15049056603773586</v>
      </c>
      <c r="E172" s="3">
        <v>0.13744827586206895</v>
      </c>
      <c r="F172" s="3">
        <v>0.19838368580060425</v>
      </c>
      <c r="G172" s="3">
        <v>0.15175291375291375</v>
      </c>
    </row>
    <row r="173" spans="1:7" x14ac:dyDescent="0.25">
      <c r="A173" s="3">
        <v>0.15515547543938712</v>
      </c>
      <c r="B173" s="3">
        <v>0.23203065134099618</v>
      </c>
      <c r="C173" s="3">
        <v>0.24769902912621358</v>
      </c>
      <c r="D173" s="3">
        <v>0.12732433690088413</v>
      </c>
      <c r="E173" s="3">
        <v>0.12806596701649176</v>
      </c>
      <c r="F173" s="3">
        <v>0.15590452261306531</v>
      </c>
      <c r="G173" s="3">
        <v>0.13301564722617354</v>
      </c>
    </row>
    <row r="174" spans="1:7" x14ac:dyDescent="0.25">
      <c r="A174" s="3">
        <v>0.13914785142024763</v>
      </c>
      <c r="B174" s="3">
        <v>0.16898783454987834</v>
      </c>
      <c r="C174" s="3">
        <v>0.15355976829910481</v>
      </c>
      <c r="D174" s="3">
        <v>0.1659016393442623</v>
      </c>
      <c r="E174" s="3">
        <v>0.13346835443037974</v>
      </c>
      <c r="F174" s="3">
        <v>0.1401323155216285</v>
      </c>
      <c r="G174" s="3">
        <v>0.12105195362816659</v>
      </c>
    </row>
    <row r="175" spans="1:7" x14ac:dyDescent="0.25">
      <c r="A175" s="3">
        <v>0.13643822393822394</v>
      </c>
      <c r="B175" s="3">
        <v>0.17708503865393363</v>
      </c>
      <c r="C175" s="3">
        <v>0.14656160458452722</v>
      </c>
      <c r="D175" s="3">
        <v>0.22093000000000002</v>
      </c>
      <c r="E175" s="3">
        <v>0.15586075949367087</v>
      </c>
      <c r="F175" s="3">
        <v>0.17345098039215684</v>
      </c>
      <c r="G175" s="3">
        <v>0.12775</v>
      </c>
    </row>
    <row r="176" spans="1:7" x14ac:dyDescent="0.25">
      <c r="A176" s="3">
        <v>0.1616457211250748</v>
      </c>
      <c r="B176" s="3">
        <v>0.15907026259758694</v>
      </c>
      <c r="C176" s="3">
        <v>0.15018875502008033</v>
      </c>
      <c r="D176" s="3">
        <v>0.18821953327571306</v>
      </c>
      <c r="E176" s="3">
        <v>0.22539325842696628</v>
      </c>
      <c r="F176" s="3">
        <v>0.12589205397301348</v>
      </c>
      <c r="G176" s="3">
        <v>0.17557213930348259</v>
      </c>
    </row>
    <row r="177" spans="1:7" x14ac:dyDescent="0.25">
      <c r="A177" s="3">
        <v>0.18647294589178356</v>
      </c>
      <c r="B177" s="3">
        <v>0.28803278688524592</v>
      </c>
      <c r="C177" s="3">
        <v>0.26846420323325637</v>
      </c>
      <c r="D177" s="3">
        <v>0.21900473933649289</v>
      </c>
      <c r="E177" s="3">
        <v>0.14083294770939378</v>
      </c>
      <c r="F177" s="3">
        <v>0.38897560975609752</v>
      </c>
      <c r="G177" s="3">
        <v>0.11399395509499136</v>
      </c>
    </row>
    <row r="178" spans="1:7" x14ac:dyDescent="0.25">
      <c r="A178" s="3">
        <v>0.16241007194244603</v>
      </c>
      <c r="B178" s="3">
        <v>0.2018080888183981</v>
      </c>
      <c r="C178" s="3">
        <v>0.13123945147679325</v>
      </c>
      <c r="D178" s="3">
        <v>0.17701941747572816</v>
      </c>
      <c r="E178" s="3">
        <v>0.1667475035663338</v>
      </c>
      <c r="F178" s="3">
        <v>0.17903887688984879</v>
      </c>
      <c r="G178" s="3">
        <v>0.14418987341772152</v>
      </c>
    </row>
    <row r="179" spans="1:7" x14ac:dyDescent="0.25">
      <c r="A179" s="3">
        <v>0.15618390804597701</v>
      </c>
      <c r="B179" s="3">
        <v>0.16428954423592493</v>
      </c>
      <c r="C179" s="3">
        <v>0.15900555275113579</v>
      </c>
      <c r="D179" s="3">
        <v>0.13565974547890153</v>
      </c>
      <c r="E179" s="3">
        <v>0.13791044776119404</v>
      </c>
      <c r="F179" s="3">
        <v>0.25644677661169418</v>
      </c>
      <c r="G179" s="3">
        <v>0.1128695652173913</v>
      </c>
    </row>
    <row r="180" spans="1:7" x14ac:dyDescent="0.25">
      <c r="A180" s="3">
        <v>0.15820362473347549</v>
      </c>
      <c r="B180" s="3">
        <v>0.15637499999999999</v>
      </c>
      <c r="C180" s="3">
        <v>0.16115942028985508</v>
      </c>
      <c r="D180" s="3">
        <v>0.13945501285347045</v>
      </c>
      <c r="E180" s="3">
        <v>0.16512304250559284</v>
      </c>
      <c r="F180" s="3">
        <v>0.21567484662576689</v>
      </c>
      <c r="G180" s="3">
        <v>0.11320350535540409</v>
      </c>
    </row>
    <row r="181" spans="1:7" x14ac:dyDescent="0.25">
      <c r="A181" s="3">
        <v>0.1437912087912088</v>
      </c>
      <c r="B181" s="3">
        <v>0.14956730769230769</v>
      </c>
      <c r="C181" s="3">
        <v>0.21093406593406591</v>
      </c>
      <c r="D181" s="3">
        <v>0.15125570776255709</v>
      </c>
      <c r="E181" s="3">
        <v>0.19336787564766839</v>
      </c>
      <c r="F181" s="3">
        <v>0.1696108663729809</v>
      </c>
      <c r="G181" s="3">
        <v>0.13935143288084464</v>
      </c>
    </row>
    <row r="182" spans="1:7" x14ac:dyDescent="0.25">
      <c r="A182" s="3">
        <v>0.13569438397910319</v>
      </c>
      <c r="B182" s="3">
        <v>0.1756595964821521</v>
      </c>
      <c r="C182" s="3">
        <v>0.18889743589743588</v>
      </c>
      <c r="D182" s="3">
        <v>0.26022360248447202</v>
      </c>
      <c r="E182" s="3">
        <v>0.14093490607252077</v>
      </c>
      <c r="F182" s="3">
        <v>0.16034852546916892</v>
      </c>
      <c r="G182" s="3">
        <v>0.13969899665551841</v>
      </c>
    </row>
    <row r="183" spans="1:7" x14ac:dyDescent="0.25">
      <c r="A183" s="3">
        <v>0.14782731776362348</v>
      </c>
      <c r="B183" s="3">
        <v>0.17419702411493074</v>
      </c>
      <c r="C183" s="3">
        <v>0.18238327526132406</v>
      </c>
      <c r="D183" s="3">
        <v>0.26792176039119803</v>
      </c>
      <c r="E183" s="3">
        <v>0.18704109589041096</v>
      </c>
      <c r="F183" s="3">
        <v>0.20053254437869822</v>
      </c>
      <c r="G183" s="3">
        <v>0.12523848684210526</v>
      </c>
    </row>
    <row r="184" spans="1:7" x14ac:dyDescent="0.25">
      <c r="A184" s="3">
        <v>0.13518025751072962</v>
      </c>
      <c r="B184" s="3">
        <v>0.1431748726655348</v>
      </c>
      <c r="C184" s="3">
        <v>0.14675487465181059</v>
      </c>
      <c r="D184" s="3">
        <v>0.13076422764227644</v>
      </c>
      <c r="E184" s="3">
        <v>0.13609424558223834</v>
      </c>
      <c r="F184" s="3">
        <v>0.16979527559055116</v>
      </c>
      <c r="G184" s="3">
        <v>0.19174496644295302</v>
      </c>
    </row>
    <row r="185" spans="1:7" x14ac:dyDescent="0.25">
      <c r="A185" s="3">
        <v>0.14380169407075238</v>
      </c>
      <c r="B185" s="3">
        <v>0.16260647359454855</v>
      </c>
      <c r="C185" s="3">
        <v>0.14018602312719958</v>
      </c>
      <c r="D185" s="3">
        <v>0.13498953537044789</v>
      </c>
      <c r="E185" s="3">
        <v>0.16713414634146342</v>
      </c>
      <c r="F185" s="3">
        <v>0.12441955193482689</v>
      </c>
      <c r="G185" s="3">
        <v>0.15576373864128085</v>
      </c>
    </row>
    <row r="186" spans="1:7" x14ac:dyDescent="0.25">
      <c r="A186" s="3">
        <v>0.16969249692496927</v>
      </c>
      <c r="B186" s="3">
        <v>0.16426276534710268</v>
      </c>
      <c r="C186" s="3">
        <v>0.24511450381679389</v>
      </c>
      <c r="D186" s="3">
        <v>0.22239999999999999</v>
      </c>
      <c r="E186" s="3">
        <v>0.14250596658711218</v>
      </c>
      <c r="F186" s="3">
        <v>0.14057491289198606</v>
      </c>
      <c r="G186" s="3">
        <v>0.11849919311457772</v>
      </c>
    </row>
    <row r="187" spans="1:7" x14ac:dyDescent="0.25">
      <c r="A187" s="3">
        <v>0.12877083333333333</v>
      </c>
      <c r="B187" s="3">
        <v>0.16963558413719187</v>
      </c>
      <c r="C187" s="3">
        <v>0.16960824742268044</v>
      </c>
      <c r="D187" s="3">
        <v>0.23108374384236452</v>
      </c>
      <c r="E187" s="3">
        <v>0.17372549019607844</v>
      </c>
      <c r="F187" s="3">
        <v>0.12969636635141862</v>
      </c>
      <c r="G187" s="3">
        <v>0.11768076398362891</v>
      </c>
    </row>
    <row r="188" spans="1:7" x14ac:dyDescent="0.25">
      <c r="A188" s="3">
        <v>0.16353887399463807</v>
      </c>
      <c r="B188" s="3">
        <v>0.15943887775551102</v>
      </c>
      <c r="C188" s="3">
        <v>0.13070121951219513</v>
      </c>
      <c r="D188" s="3">
        <v>0.19252</v>
      </c>
      <c r="E188" s="3">
        <v>0.34753846153846152</v>
      </c>
      <c r="F188" s="3">
        <v>0.13523809523809524</v>
      </c>
      <c r="G188" s="3">
        <v>0.15922999999999998</v>
      </c>
    </row>
    <row r="189" spans="1:7" x14ac:dyDescent="0.25">
      <c r="A189" s="3">
        <v>0.15952205882352941</v>
      </c>
      <c r="B189" s="3">
        <v>0.16806843764070237</v>
      </c>
      <c r="C189" s="3">
        <v>0.16031399680681213</v>
      </c>
      <c r="D189" s="3">
        <v>0.19005</v>
      </c>
      <c r="E189" s="3">
        <v>0.21863157894736843</v>
      </c>
      <c r="F189" s="3">
        <v>0.18427710843373493</v>
      </c>
      <c r="G189" s="3">
        <v>0.17038095238095238</v>
      </c>
    </row>
    <row r="190" spans="1:7" x14ac:dyDescent="0.25">
      <c r="A190" s="3">
        <v>0.15931985294117648</v>
      </c>
      <c r="B190" s="3">
        <v>0.14206419479800775</v>
      </c>
      <c r="C190" s="3">
        <v>0.29259740259740263</v>
      </c>
      <c r="D190" s="3">
        <v>0.21583509513742072</v>
      </c>
      <c r="E190" s="3">
        <v>0.11763760049474335</v>
      </c>
      <c r="F190" s="3">
        <v>0.26236749116607772</v>
      </c>
      <c r="G190" s="3">
        <v>0.15233421750663129</v>
      </c>
    </row>
    <row r="191" spans="1:7" x14ac:dyDescent="0.25">
      <c r="A191" s="3">
        <v>0.15626373626373627</v>
      </c>
      <c r="B191" s="3">
        <v>0.14798009950248756</v>
      </c>
      <c r="C191" s="3">
        <v>0.34574316290130797</v>
      </c>
      <c r="D191" s="3">
        <v>0.15563049853372435</v>
      </c>
      <c r="E191" s="3">
        <v>0.14493982208267925</v>
      </c>
      <c r="F191" s="3">
        <v>0.14359948486799742</v>
      </c>
      <c r="G191" s="3">
        <v>0.16902356902356902</v>
      </c>
    </row>
    <row r="192" spans="1:7" x14ac:dyDescent="0.25">
      <c r="A192" s="3">
        <v>0.16894613583138174</v>
      </c>
      <c r="B192" s="3">
        <v>0.14650924024640655</v>
      </c>
      <c r="C192" s="3">
        <v>0.1802705882352941</v>
      </c>
      <c r="D192" s="3">
        <v>0.12990428211586902</v>
      </c>
      <c r="E192" s="3">
        <v>0.12904183535762484</v>
      </c>
      <c r="F192" s="3">
        <v>0.44220512820512825</v>
      </c>
      <c r="G192" s="3">
        <v>0.11513102725366876</v>
      </c>
    </row>
    <row r="193" spans="1:7" x14ac:dyDescent="0.25">
      <c r="A193" s="3">
        <v>0.23060453400503778</v>
      </c>
      <c r="B193" s="3">
        <v>0.18584954604409856</v>
      </c>
      <c r="C193" s="3">
        <v>0.1411919104991394</v>
      </c>
      <c r="D193" s="3">
        <v>0.31925925925925924</v>
      </c>
      <c r="E193" s="3">
        <v>0.13397231543624161</v>
      </c>
      <c r="F193" s="3">
        <v>0.17739918176504965</v>
      </c>
      <c r="G193" s="3">
        <v>0.12790314528207689</v>
      </c>
    </row>
    <row r="194" spans="1:7" x14ac:dyDescent="0.25">
      <c r="A194" s="3">
        <v>0.15184481823114487</v>
      </c>
      <c r="B194" s="3">
        <v>0.17785636561479867</v>
      </c>
      <c r="C194" s="3">
        <v>0.14445565363598151</v>
      </c>
      <c r="D194" s="3">
        <v>0.1492525068368277</v>
      </c>
      <c r="E194" s="3">
        <v>0.22445993031358888</v>
      </c>
      <c r="F194" s="3">
        <v>0.1495870870870871</v>
      </c>
      <c r="G194" s="3">
        <v>0.12825462012320329</v>
      </c>
    </row>
    <row r="195" spans="1:7" x14ac:dyDescent="0.25">
      <c r="A195" s="3">
        <v>0.14864175022789425</v>
      </c>
      <c r="B195" s="3">
        <v>0.4499421965317919</v>
      </c>
      <c r="C195" s="3">
        <v>1.6527196652719665</v>
      </c>
      <c r="D195" s="3">
        <v>0.15712765957446809</v>
      </c>
      <c r="E195" s="3">
        <v>0.12103548857559553</v>
      </c>
      <c r="F195" s="3">
        <v>0.1522</v>
      </c>
      <c r="G195" s="3">
        <v>0.1329688972667295</v>
      </c>
    </row>
    <row r="196" spans="1:7" x14ac:dyDescent="0.25">
      <c r="A196" s="3">
        <v>0.14581678700361012</v>
      </c>
      <c r="B196" s="3">
        <v>0.15218096457533078</v>
      </c>
      <c r="C196" s="3">
        <v>0.21442962962962964</v>
      </c>
      <c r="D196" s="3">
        <v>0.1870871080139373</v>
      </c>
      <c r="E196" s="3">
        <v>0.16302962962962964</v>
      </c>
      <c r="F196" s="3">
        <v>0.16469401947148818</v>
      </c>
      <c r="G196" s="3">
        <v>0.20407682775712516</v>
      </c>
    </row>
    <row r="197" spans="1:7" x14ac:dyDescent="0.25">
      <c r="A197" s="3">
        <v>0.15084223758642365</v>
      </c>
      <c r="B197" s="3">
        <v>0.21768316831683171</v>
      </c>
      <c r="C197" s="3">
        <v>0.4017857142857143</v>
      </c>
      <c r="D197" s="3">
        <v>0.26668549905838046</v>
      </c>
      <c r="E197" s="3">
        <v>0.12883431085043986</v>
      </c>
      <c r="F197" s="3">
        <v>0.14307881773399014</v>
      </c>
      <c r="G197" s="3">
        <v>0.16587793427230046</v>
      </c>
    </row>
    <row r="198" spans="1:7" x14ac:dyDescent="0.25">
      <c r="A198" s="3">
        <v>0.14918406072106263</v>
      </c>
      <c r="B198" s="3">
        <v>0.17498188405797099</v>
      </c>
      <c r="C198" s="3">
        <v>0.1440566037735849</v>
      </c>
      <c r="D198" s="3">
        <v>0.21622340425531913</v>
      </c>
      <c r="E198" s="3">
        <v>0.15690374003678725</v>
      </c>
      <c r="F198" s="3">
        <v>0.17807567567567567</v>
      </c>
      <c r="G198" s="3">
        <v>0.15215000000000001</v>
      </c>
    </row>
    <row r="199" spans="1:7" x14ac:dyDescent="0.25">
      <c r="A199" s="3">
        <v>0.14355844155844158</v>
      </c>
      <c r="B199" s="3">
        <v>0.19260229132569559</v>
      </c>
      <c r="C199" s="3">
        <v>0.17070087609511889</v>
      </c>
      <c r="D199" s="3">
        <v>0.13604591836734695</v>
      </c>
      <c r="E199" s="3">
        <v>0.33486301369863014</v>
      </c>
      <c r="F199" s="3">
        <v>0.13768332251784554</v>
      </c>
      <c r="G199" s="3">
        <v>0.12765922249793218</v>
      </c>
    </row>
    <row r="200" spans="1:7" x14ac:dyDescent="0.25">
      <c r="A200" s="3">
        <v>0.25857894736842107</v>
      </c>
      <c r="B200" s="3">
        <v>0.13832120582120583</v>
      </c>
      <c r="C200" s="3">
        <v>0.13947276940903824</v>
      </c>
      <c r="D200" s="3">
        <v>0.17208333333333334</v>
      </c>
      <c r="E200" s="3">
        <v>0.12166968053044003</v>
      </c>
      <c r="F200" s="3">
        <v>0.29386440677966102</v>
      </c>
      <c r="G200" s="3">
        <v>0.22062283737024221</v>
      </c>
    </row>
    <row r="201" spans="1:7" x14ac:dyDescent="0.25">
      <c r="A201" s="3">
        <v>0.15828080229226363</v>
      </c>
      <c r="B201" s="3">
        <v>0.23327814569536426</v>
      </c>
      <c r="C201" s="3">
        <v>0.22379545454545455</v>
      </c>
      <c r="D201" s="3">
        <v>0.14146564885496182</v>
      </c>
      <c r="E201" s="3">
        <v>0.14462777777777777</v>
      </c>
      <c r="F201" s="3">
        <v>0.20853711790393015</v>
      </c>
      <c r="G201" s="3">
        <v>0.1168731052403638</v>
      </c>
    </row>
    <row r="202" spans="1:7" x14ac:dyDescent="0.25">
      <c r="A202" s="3">
        <v>0.14320960698689958</v>
      </c>
      <c r="B202" s="3">
        <v>0.15556051808843235</v>
      </c>
      <c r="C202" s="3">
        <v>0.17372789115646259</v>
      </c>
      <c r="D202" s="3">
        <v>0.23491083676268862</v>
      </c>
      <c r="E202" s="3">
        <v>0.14536752136752137</v>
      </c>
      <c r="F202" s="3">
        <v>0.16946304849884525</v>
      </c>
      <c r="G202" s="3">
        <v>0.11443327974276526</v>
      </c>
    </row>
    <row r="203" spans="1:7" x14ac:dyDescent="0.25">
      <c r="A203" s="3">
        <v>0.17307178631051753</v>
      </c>
      <c r="B203" s="3">
        <v>0.17461350691619201</v>
      </c>
      <c r="C203" s="3">
        <v>0.2683669724770642</v>
      </c>
      <c r="D203" s="3">
        <v>0.11194860813704496</v>
      </c>
      <c r="E203" s="3">
        <v>0.16596452328159644</v>
      </c>
      <c r="F203" s="3">
        <v>0.12863972400197141</v>
      </c>
      <c r="G203" s="3">
        <v>0.176343792633015</v>
      </c>
    </row>
    <row r="204" spans="1:7" x14ac:dyDescent="0.25">
      <c r="A204" s="3">
        <v>0.11415675913694408</v>
      </c>
      <c r="B204" s="3">
        <v>0.29612598425196851</v>
      </c>
      <c r="C204" s="3">
        <v>0.26969162995594714</v>
      </c>
      <c r="D204" s="3">
        <v>0.13604125083166999</v>
      </c>
      <c r="E204" s="3">
        <v>0.12983823529411764</v>
      </c>
      <c r="F204" s="3">
        <v>0.4636641221374046</v>
      </c>
      <c r="G204" s="3">
        <v>0.17967479674796749</v>
      </c>
    </row>
    <row r="205" spans="1:7" x14ac:dyDescent="0.25">
      <c r="A205" s="3">
        <v>0.11781083142639207</v>
      </c>
      <c r="B205" s="3">
        <v>0.19920149253731345</v>
      </c>
      <c r="C205" s="3">
        <v>0.13879</v>
      </c>
      <c r="D205" s="3">
        <v>0.24932270916334662</v>
      </c>
      <c r="E205" s="3">
        <v>0.14387884267631101</v>
      </c>
      <c r="F205" s="3">
        <v>0.18131652661064426</v>
      </c>
      <c r="G205" s="3">
        <v>0.21702594810379242</v>
      </c>
    </row>
    <row r="206" spans="1:7" x14ac:dyDescent="0.25">
      <c r="A206" s="3">
        <v>0.3919029850746269</v>
      </c>
      <c r="B206" s="3">
        <v>0.17021369385085042</v>
      </c>
      <c r="C206" s="3">
        <v>0.20777647747220596</v>
      </c>
      <c r="D206" s="3">
        <v>0.13876478318002627</v>
      </c>
      <c r="E206" s="3">
        <v>0.12830163043478263</v>
      </c>
      <c r="F206" s="3">
        <v>0.13727140077821012</v>
      </c>
      <c r="G206" s="3">
        <v>0.20508833922261485</v>
      </c>
    </row>
    <row r="207" spans="1:7" x14ac:dyDescent="0.25">
      <c r="A207" s="3">
        <v>0.15936170212765957</v>
      </c>
      <c r="B207" s="3">
        <v>0.17562068965517241</v>
      </c>
      <c r="C207" s="3">
        <v>0.13558798999165972</v>
      </c>
      <c r="D207" s="3">
        <v>0.16557993730407525</v>
      </c>
      <c r="E207" s="3">
        <v>0.13983481575603557</v>
      </c>
      <c r="F207" s="3">
        <v>0.17565529622980253</v>
      </c>
      <c r="G207" s="3">
        <v>0.13544498948843728</v>
      </c>
    </row>
    <row r="208" spans="1:7" x14ac:dyDescent="0.25">
      <c r="A208" s="3">
        <v>0.20841346153846155</v>
      </c>
      <c r="B208" s="3">
        <v>0.14851173020527858</v>
      </c>
      <c r="C208" s="3">
        <v>0.18803056027164686</v>
      </c>
      <c r="D208" s="3">
        <v>0.16209714285714286</v>
      </c>
      <c r="E208" s="3">
        <v>0.1855109489051095</v>
      </c>
      <c r="F208" s="3">
        <v>0.18448377581120945</v>
      </c>
      <c r="G208" s="3">
        <v>0.15300115874855155</v>
      </c>
    </row>
    <row r="209" spans="1:7" x14ac:dyDescent="0.25">
      <c r="A209" s="3">
        <v>0.13785714285714284</v>
      </c>
      <c r="B209" s="3">
        <v>0.17709999999999998</v>
      </c>
      <c r="C209" s="3">
        <v>0.19212044105173876</v>
      </c>
      <c r="D209" s="3">
        <v>0.14807464724624489</v>
      </c>
      <c r="E209" s="3">
        <v>0.13828947368421052</v>
      </c>
      <c r="F209" s="3">
        <v>0.19355895196506551</v>
      </c>
      <c r="G209" s="3">
        <v>0.13037068598210483</v>
      </c>
    </row>
    <row r="210" spans="1:7" x14ac:dyDescent="0.25">
      <c r="A210" s="3">
        <v>0.13522474410324878</v>
      </c>
      <c r="B210" s="3">
        <v>0.15110550651534257</v>
      </c>
      <c r="C210" s="3">
        <v>0.14847201210287445</v>
      </c>
      <c r="D210" s="3">
        <v>1.2293074324324324E-2</v>
      </c>
      <c r="E210" s="3">
        <v>0.1530365093499555</v>
      </c>
      <c r="F210" s="3">
        <v>0.28051999999999999</v>
      </c>
      <c r="G210" s="3">
        <v>0.11717164697706742</v>
      </c>
    </row>
    <row r="211" spans="1:7" x14ac:dyDescent="0.25">
      <c r="A211" s="3">
        <v>0.1939707078925956</v>
      </c>
      <c r="B211" s="3">
        <v>0.17349037823490376</v>
      </c>
      <c r="C211" s="3">
        <v>0.1969750283768445</v>
      </c>
      <c r="D211" s="3">
        <v>0.1319313725490196</v>
      </c>
      <c r="E211" s="3">
        <v>0.20985393258426968</v>
      </c>
      <c r="F211" s="3">
        <v>0.12445083682008368</v>
      </c>
      <c r="G211" s="3">
        <v>0.24125806451612905</v>
      </c>
    </row>
    <row r="212" spans="1:7" x14ac:dyDescent="0.25">
      <c r="A212" s="3">
        <v>0.13848837209302325</v>
      </c>
      <c r="B212" s="3">
        <v>0.18974358974358974</v>
      </c>
      <c r="C212" s="3">
        <v>0.41709923664122139</v>
      </c>
      <c r="D212" s="3">
        <v>0.15328451882845187</v>
      </c>
      <c r="E212" s="3">
        <v>0.16501319261213721</v>
      </c>
      <c r="F212" s="3">
        <v>0.22442460317460317</v>
      </c>
      <c r="G212" s="3">
        <v>0.68450819672131147</v>
      </c>
    </row>
    <row r="213" spans="1:7" x14ac:dyDescent="0.25">
      <c r="A213" s="3">
        <v>0.15494170403587443</v>
      </c>
      <c r="B213" s="3">
        <v>0.13760891590678825</v>
      </c>
      <c r="C213" s="3">
        <v>0.14870203160270881</v>
      </c>
      <c r="D213" s="3">
        <v>0.13296678121420388</v>
      </c>
      <c r="E213" s="3">
        <v>0.15885869565217392</v>
      </c>
      <c r="F213" s="3">
        <v>0.13004366812227075</v>
      </c>
      <c r="G213" s="3">
        <v>0.13922266139657444</v>
      </c>
    </row>
    <row r="214" spans="1:7" x14ac:dyDescent="0.25">
      <c r="A214" s="3">
        <v>0.14604735883424408</v>
      </c>
      <c r="B214" s="3">
        <v>0.145424769703173</v>
      </c>
      <c r="C214" s="3">
        <v>0.14894495412844036</v>
      </c>
      <c r="D214" s="3">
        <v>0.11357929515418502</v>
      </c>
      <c r="E214" s="3">
        <v>0.12330188679245284</v>
      </c>
      <c r="F214" s="3">
        <v>0.15407198306280875</v>
      </c>
      <c r="G214" s="3">
        <v>0.12279871323529411</v>
      </c>
    </row>
    <row r="215" spans="1:7" x14ac:dyDescent="0.25">
      <c r="A215" s="3">
        <v>0.20968641114982578</v>
      </c>
      <c r="B215" s="3">
        <v>0.14345254470426411</v>
      </c>
      <c r="C215" s="3">
        <v>0.13296835443037974</v>
      </c>
      <c r="D215" s="3">
        <v>0.20429338103756708</v>
      </c>
      <c r="E215" s="3">
        <v>0.13184466019417476</v>
      </c>
      <c r="F215" s="3">
        <v>0.13036190476190476</v>
      </c>
      <c r="G215" s="3">
        <v>0.27453333333333335</v>
      </c>
    </row>
    <row r="216" spans="1:7" x14ac:dyDescent="0.25">
      <c r="A216" s="3">
        <v>0.12505466778805718</v>
      </c>
      <c r="B216" s="3">
        <v>0.21033587786259544</v>
      </c>
      <c r="C216" s="3">
        <v>0.15905130687318492</v>
      </c>
      <c r="D216" s="3">
        <v>0.14144699140401146</v>
      </c>
      <c r="E216" s="3">
        <v>0.13957558139534884</v>
      </c>
      <c r="F216" s="3">
        <v>0.13196419167983148</v>
      </c>
      <c r="G216" s="3">
        <v>0.11885095206828628</v>
      </c>
    </row>
    <row r="217" spans="1:7" x14ac:dyDescent="0.25">
      <c r="A217" s="3">
        <v>0.16240647118301316</v>
      </c>
      <c r="B217" s="3">
        <v>0.13720194647201944</v>
      </c>
      <c r="C217" s="3">
        <v>0.40920560747663548</v>
      </c>
      <c r="D217" s="3">
        <v>0.18850730688935283</v>
      </c>
      <c r="E217" s="3">
        <v>0.17067982456140351</v>
      </c>
      <c r="F217" s="3">
        <v>0.12084581497797356</v>
      </c>
      <c r="G217" s="3">
        <v>0.12961802154750246</v>
      </c>
    </row>
    <row r="218" spans="1:7" x14ac:dyDescent="0.25">
      <c r="A218" s="3">
        <v>0.37363957597173142</v>
      </c>
      <c r="B218" s="3">
        <v>0.16147307286166843</v>
      </c>
      <c r="C218" s="3">
        <v>0.23774257425742576</v>
      </c>
      <c r="D218" s="3">
        <v>0.1532260795935648</v>
      </c>
      <c r="E218" s="3">
        <v>0.27872131147540985</v>
      </c>
      <c r="F218" s="3">
        <v>0.14261055634807418</v>
      </c>
      <c r="G218" s="3">
        <v>0.23366834170854273</v>
      </c>
    </row>
    <row r="219" spans="1:7" x14ac:dyDescent="0.25">
      <c r="A219" s="3">
        <v>0.12721099434114794</v>
      </c>
      <c r="B219" s="3">
        <v>0.20586901763224183</v>
      </c>
      <c r="C219" s="3">
        <v>0.22376595744680852</v>
      </c>
      <c r="D219" s="3">
        <v>0.138836291913215</v>
      </c>
      <c r="E219" s="3">
        <v>0.25621329211746524</v>
      </c>
      <c r="F219" s="3">
        <v>0.12217409240924092</v>
      </c>
      <c r="G219" s="3">
        <v>0.17472936030617822</v>
      </c>
    </row>
    <row r="220" spans="1:7" x14ac:dyDescent="0.25">
      <c r="A220" s="3">
        <v>0.18481302774427022</v>
      </c>
      <c r="B220" s="3">
        <v>0.16458106637649619</v>
      </c>
      <c r="C220" s="3">
        <v>0.16233442622950819</v>
      </c>
      <c r="D220" s="3">
        <v>0.13321596244131456</v>
      </c>
      <c r="E220" s="3">
        <v>0.12945863125638407</v>
      </c>
      <c r="F220" s="3">
        <v>0.13452687358062074</v>
      </c>
      <c r="G220" s="3">
        <v>0.15629173086800205</v>
      </c>
    </row>
    <row r="221" spans="1:7" x14ac:dyDescent="0.25">
      <c r="A221" s="3">
        <v>0.19806167400881058</v>
      </c>
      <c r="B221" s="3">
        <v>0.18674939172749391</v>
      </c>
      <c r="C221" s="3">
        <v>0.14489287275907303</v>
      </c>
      <c r="D221" s="3">
        <v>0.30490291262135921</v>
      </c>
      <c r="E221" s="3">
        <v>0.13027607361963189</v>
      </c>
      <c r="F221" s="3">
        <v>0.13183562992125983</v>
      </c>
      <c r="G221" s="3">
        <v>0.17997356828193833</v>
      </c>
    </row>
    <row r="222" spans="1:7" x14ac:dyDescent="0.25">
      <c r="A222" s="3">
        <v>0.31395939086294417</v>
      </c>
      <c r="B222" s="3">
        <v>0.13404421925380008</v>
      </c>
      <c r="C222" s="3">
        <v>0.15437545653761869</v>
      </c>
      <c r="D222" s="3">
        <v>0.15441944194419441</v>
      </c>
      <c r="E222" s="3">
        <v>0.53772727272727272</v>
      </c>
      <c r="F222" s="3">
        <v>0.14006557377049181</v>
      </c>
      <c r="G222" s="3">
        <v>0.13606567164179104</v>
      </c>
    </row>
    <row r="223" spans="1:7" x14ac:dyDescent="0.25">
      <c r="A223" s="3">
        <v>0.13314711359404097</v>
      </c>
      <c r="B223" s="3">
        <v>0.17222999999999999</v>
      </c>
      <c r="C223" s="3">
        <v>0.16935483870967741</v>
      </c>
      <c r="D223" s="3">
        <v>0.13783993115318416</v>
      </c>
      <c r="E223" s="3">
        <v>0.19763157894736841</v>
      </c>
      <c r="F223" s="3">
        <v>0.2996777546777547</v>
      </c>
      <c r="G223" s="3">
        <v>0.1383924205378973</v>
      </c>
    </row>
    <row r="224" spans="1:7" x14ac:dyDescent="0.25">
      <c r="A224" s="3">
        <v>0.14958041958041959</v>
      </c>
      <c r="B224" s="3">
        <v>0.26639534883720928</v>
      </c>
      <c r="C224" s="3">
        <v>0.15863636363636366</v>
      </c>
      <c r="D224" s="3">
        <v>0.11799480856586633</v>
      </c>
      <c r="E224" s="3">
        <v>0.17095238095238097</v>
      </c>
      <c r="F224" s="3">
        <v>0.13311607992388202</v>
      </c>
      <c r="G224" s="3">
        <v>0.12970682730923697</v>
      </c>
    </row>
    <row r="225" spans="1:7" x14ac:dyDescent="0.25">
      <c r="A225" s="3">
        <v>0.1517900552486188</v>
      </c>
      <c r="B225" s="3">
        <v>0.15748296228986824</v>
      </c>
      <c r="C225" s="3">
        <v>0.17300140252454418</v>
      </c>
      <c r="D225" s="3">
        <v>0.1222573726541555</v>
      </c>
      <c r="E225" s="3">
        <v>0.16463111760409058</v>
      </c>
      <c r="F225" s="3">
        <v>0.15068337129840548</v>
      </c>
      <c r="G225" s="3">
        <v>0.14755757152826238</v>
      </c>
    </row>
    <row r="226" spans="1:7" x14ac:dyDescent="0.25">
      <c r="A226" s="3">
        <v>0.15056101556101556</v>
      </c>
      <c r="B226" s="3">
        <v>0.1879502292075966</v>
      </c>
      <c r="C226" s="3">
        <v>0.27267973856209149</v>
      </c>
      <c r="D226" s="3">
        <v>0.12722154718509518</v>
      </c>
      <c r="E226" s="3">
        <v>0.12808856088560885</v>
      </c>
      <c r="F226" s="3">
        <v>0.20574683544303796</v>
      </c>
      <c r="G226" s="3">
        <v>0.12849137931034482</v>
      </c>
    </row>
    <row r="227" spans="1:7" x14ac:dyDescent="0.25">
      <c r="A227" s="3">
        <v>0.23973190348525469</v>
      </c>
      <c r="B227" s="3">
        <v>0.22663999999999998</v>
      </c>
      <c r="C227" s="3">
        <v>0.15819102749638206</v>
      </c>
      <c r="D227" s="3">
        <v>0.30208609271523179</v>
      </c>
      <c r="E227" s="3">
        <v>0.12711074785451573</v>
      </c>
      <c r="F227" s="3">
        <v>0.12636708860759494</v>
      </c>
      <c r="G227" s="3">
        <v>0.26726495726495725</v>
      </c>
    </row>
    <row r="228" spans="1:7" x14ac:dyDescent="0.25">
      <c r="A228" s="3">
        <v>0.1209090909090909</v>
      </c>
      <c r="B228" s="3">
        <v>0.16248366013071897</v>
      </c>
      <c r="C228" s="3">
        <v>0.47015479876160993</v>
      </c>
      <c r="D228" s="3">
        <v>0.1313716012084592</v>
      </c>
      <c r="E228" s="3">
        <v>0.15405698778833107</v>
      </c>
      <c r="F228" s="3">
        <v>0.15284266409266409</v>
      </c>
      <c r="G228" s="3">
        <v>0.1234423251589464</v>
      </c>
    </row>
    <row r="229" spans="1:7" x14ac:dyDescent="0.25">
      <c r="A229" s="3">
        <v>0.19396825396825396</v>
      </c>
      <c r="B229" s="3">
        <v>0.1934679163662581</v>
      </c>
      <c r="C229" s="3">
        <v>0.31607750472589796</v>
      </c>
      <c r="D229" s="3">
        <v>0.21875871687587167</v>
      </c>
      <c r="E229" s="3">
        <v>0.14922659430122118</v>
      </c>
      <c r="F229" s="3">
        <v>0.16239515377446412</v>
      </c>
      <c r="G229" s="3">
        <v>0.1231264367816092</v>
      </c>
    </row>
    <row r="230" spans="1:7" x14ac:dyDescent="0.25">
      <c r="A230" s="3">
        <v>0.12958395989974936</v>
      </c>
      <c r="B230" s="3">
        <v>0.13429483767961681</v>
      </c>
      <c r="C230" s="3">
        <v>0.15602187286397812</v>
      </c>
      <c r="D230" s="3">
        <v>0.13105823863636365</v>
      </c>
      <c r="E230" s="3">
        <v>0.2535978835978836</v>
      </c>
      <c r="F230" s="3">
        <v>0.12889017341040462</v>
      </c>
      <c r="G230" s="3">
        <v>0.15328382838283827</v>
      </c>
    </row>
    <row r="231" spans="1:7" x14ac:dyDescent="0.25">
      <c r="A231" s="3">
        <v>0.1525967812092214</v>
      </c>
      <c r="B231" s="3">
        <v>0.18518808777429469</v>
      </c>
      <c r="C231" s="3">
        <v>0.12954974582425563</v>
      </c>
      <c r="D231" s="3">
        <v>0.16523577235772358</v>
      </c>
      <c r="E231" s="3">
        <v>0.14740691489361701</v>
      </c>
      <c r="F231" s="3">
        <v>0.13672776280323451</v>
      </c>
      <c r="G231" s="3">
        <v>0.16022540983606556</v>
      </c>
    </row>
    <row r="232" spans="1:7" x14ac:dyDescent="0.25">
      <c r="A232" s="3">
        <v>0.13213333333333332</v>
      </c>
      <c r="B232" s="3">
        <v>0.14065626250500199</v>
      </c>
      <c r="C232" s="3">
        <v>0.1533264887063655</v>
      </c>
      <c r="D232" s="3">
        <v>0.17782111634162745</v>
      </c>
      <c r="E232" s="3">
        <v>0.13975772259236827</v>
      </c>
      <c r="F232" s="3">
        <v>0.19632750397456278</v>
      </c>
      <c r="G232" s="3">
        <v>0.12748704663212435</v>
      </c>
    </row>
    <row r="233" spans="1:7" x14ac:dyDescent="0.25">
      <c r="A233" s="3">
        <v>0.12844908393694079</v>
      </c>
      <c r="B233" s="3">
        <v>1.6643835616438358E-2</v>
      </c>
      <c r="C233" s="3">
        <v>0.15125999999999998</v>
      </c>
      <c r="D233" s="3">
        <v>0.13231343283582089</v>
      </c>
      <c r="E233" s="3">
        <v>0.13197735849056605</v>
      </c>
      <c r="F233" s="3">
        <v>0.14126990608411596</v>
      </c>
      <c r="G233" s="3">
        <v>0.24973684210526317</v>
      </c>
    </row>
    <row r="234" spans="1:7" x14ac:dyDescent="0.25">
      <c r="A234" s="3">
        <v>0.19849557522123892</v>
      </c>
      <c r="B234" s="3">
        <v>0.15561874670879408</v>
      </c>
      <c r="C234" s="3">
        <v>0.13780909090909091</v>
      </c>
      <c r="D234" s="3">
        <v>0.13706008583690987</v>
      </c>
      <c r="E234" s="3">
        <v>0.14025069637883009</v>
      </c>
      <c r="F234" s="3">
        <v>0.22282685512367492</v>
      </c>
      <c r="G234" s="3">
        <v>0.35881188118811885</v>
      </c>
    </row>
    <row r="235" spans="1:7" x14ac:dyDescent="0.25">
      <c r="A235" s="3">
        <v>0.17168900804289544</v>
      </c>
      <c r="B235" s="3">
        <v>0.20344173441734414</v>
      </c>
      <c r="C235" s="3">
        <v>0.138599124452783</v>
      </c>
      <c r="D235" s="3">
        <v>0.14138517618469015</v>
      </c>
      <c r="E235" s="3">
        <v>0.13875335120643431</v>
      </c>
      <c r="F235" s="3">
        <v>0.14546999999999999</v>
      </c>
      <c r="G235" s="3">
        <v>0.12352387843704776</v>
      </c>
    </row>
    <row r="236" spans="1:7" x14ac:dyDescent="0.25">
      <c r="A236" s="3">
        <v>0.15809790209790212</v>
      </c>
      <c r="B236" s="3">
        <v>0.21111111111111111</v>
      </c>
      <c r="C236" s="3">
        <v>0.18007067137809188</v>
      </c>
      <c r="D236" s="3">
        <v>0.1369258589511754</v>
      </c>
      <c r="E236" s="3">
        <v>0.17369032258064518</v>
      </c>
      <c r="F236" s="3">
        <v>0.15397356828193831</v>
      </c>
      <c r="G236" s="3">
        <v>0.12462491397109429</v>
      </c>
    </row>
    <row r="237" spans="1:7" x14ac:dyDescent="0.25">
      <c r="A237" s="3">
        <v>0.2452403100775194</v>
      </c>
      <c r="B237" s="3">
        <v>0.13342484248424843</v>
      </c>
      <c r="C237" s="3">
        <v>0.16035555555555556</v>
      </c>
      <c r="D237" s="3">
        <v>0.134639564124057</v>
      </c>
      <c r="E237" s="3">
        <v>0.13667623833452977</v>
      </c>
      <c r="F237" s="3">
        <v>0.22675603217158177</v>
      </c>
      <c r="G237" s="3">
        <v>0.12970162351908732</v>
      </c>
    </row>
    <row r="238" spans="1:7" x14ac:dyDescent="0.25">
      <c r="A238" s="3">
        <v>0.14764627659574467</v>
      </c>
      <c r="B238" s="3">
        <v>0.20275827482447342</v>
      </c>
      <c r="C238" s="3">
        <v>0.20150389729481891</v>
      </c>
      <c r="D238" s="3">
        <v>0.16139112903225805</v>
      </c>
      <c r="E238" s="3">
        <v>0.18667647058823528</v>
      </c>
      <c r="F238" s="3">
        <v>0.1520635747785305</v>
      </c>
      <c r="G238" s="3">
        <v>0.22193069306930693</v>
      </c>
    </row>
    <row r="239" spans="1:7" x14ac:dyDescent="0.25">
      <c r="A239" s="3">
        <v>0.16237357259380097</v>
      </c>
      <c r="B239" s="3">
        <v>0.16154111558366879</v>
      </c>
      <c r="C239" s="3">
        <v>0.16093023255813954</v>
      </c>
      <c r="D239" s="3">
        <v>0.23874576271186443</v>
      </c>
      <c r="E239" s="3">
        <v>0.1301153846153846</v>
      </c>
      <c r="F239" s="3">
        <v>0.17544999999999999</v>
      </c>
      <c r="G239" s="3">
        <v>0.1992488789237668</v>
      </c>
    </row>
    <row r="240" spans="1:7" x14ac:dyDescent="0.25">
      <c r="A240" s="3">
        <v>0.21376470588235294</v>
      </c>
      <c r="B240" s="3">
        <v>0.15987874465049928</v>
      </c>
      <c r="C240" s="3">
        <v>0.38486607142857138</v>
      </c>
      <c r="D240" s="3">
        <v>0.13526068576796618</v>
      </c>
      <c r="E240" s="3">
        <v>0.12532374100719423</v>
      </c>
      <c r="F240" s="3">
        <v>0.73067672610882484</v>
      </c>
      <c r="G240" s="3">
        <v>0.11639650145772595</v>
      </c>
    </row>
    <row r="241" spans="1:7" x14ac:dyDescent="0.25">
      <c r="A241" s="3">
        <v>0.18639741518578351</v>
      </c>
      <c r="B241" s="3">
        <v>0.26241573033707866</v>
      </c>
      <c r="C241" s="3">
        <v>0.13130268199233716</v>
      </c>
      <c r="D241" s="3">
        <v>0.14389777777777776</v>
      </c>
      <c r="E241" s="3">
        <v>0.19393750000000001</v>
      </c>
      <c r="F241" s="3">
        <v>0.15674628792769529</v>
      </c>
      <c r="G241" s="3">
        <v>0.19742038216560509</v>
      </c>
    </row>
    <row r="242" spans="1:7" x14ac:dyDescent="0.25">
      <c r="A242" s="3">
        <v>0.12718635809987819</v>
      </c>
      <c r="B242" s="3">
        <v>0.25556291390728475</v>
      </c>
      <c r="C242" s="3">
        <v>0.17073919107391911</v>
      </c>
      <c r="D242" s="3">
        <v>0.12415676959619953</v>
      </c>
      <c r="E242" s="3">
        <v>0.21832558139534883</v>
      </c>
      <c r="F242" s="3">
        <v>0.17330700368615062</v>
      </c>
      <c r="G242" s="3">
        <v>0.20327753303964757</v>
      </c>
    </row>
    <row r="243" spans="1:7" x14ac:dyDescent="0.25">
      <c r="A243" s="3">
        <v>0.14613015184381778</v>
      </c>
      <c r="B243" s="3">
        <v>0.17270313329792883</v>
      </c>
      <c r="C243" s="3">
        <v>0.13618491921005388</v>
      </c>
      <c r="D243" s="3">
        <v>1.2173529411764705</v>
      </c>
      <c r="E243" s="3">
        <v>0.32617250673854448</v>
      </c>
      <c r="F243" s="3">
        <v>0.12913592233009707</v>
      </c>
      <c r="G243" s="3">
        <v>0.15246728971962614</v>
      </c>
    </row>
    <row r="244" spans="1:7" x14ac:dyDescent="0.25">
      <c r="A244" s="3">
        <v>0.12994771863117871</v>
      </c>
      <c r="B244" s="3">
        <v>0.19262207357859534</v>
      </c>
      <c r="C244" s="3">
        <v>0.17442782834850454</v>
      </c>
      <c r="D244" s="3">
        <v>0.14137755102040817</v>
      </c>
      <c r="E244" s="3">
        <v>0.19605080831408775</v>
      </c>
      <c r="F244" s="3">
        <v>0.23306422018348624</v>
      </c>
      <c r="G244" s="3">
        <v>0.1177466727856815</v>
      </c>
    </row>
    <row r="245" spans="1:7" x14ac:dyDescent="0.25">
      <c r="A245" s="3">
        <v>0.41931034482758622</v>
      </c>
      <c r="B245" s="3">
        <v>0.17892307692307691</v>
      </c>
      <c r="C245" s="3">
        <v>0.1553601108033241</v>
      </c>
      <c r="D245" s="3">
        <v>0.12391710449503796</v>
      </c>
      <c r="E245" s="3">
        <v>0.13206818181818183</v>
      </c>
      <c r="F245" s="3">
        <v>0.1376765676567657</v>
      </c>
      <c r="G245" s="3">
        <v>0.1396734693877551</v>
      </c>
    </row>
    <row r="246" spans="1:7" x14ac:dyDescent="0.25">
      <c r="A246" s="3">
        <v>0.55884955752212384</v>
      </c>
      <c r="B246" s="3">
        <v>0.16976060191518469</v>
      </c>
      <c r="C246" s="3">
        <v>0.12712765957446809</v>
      </c>
      <c r="D246" s="3">
        <v>0.20676767676767677</v>
      </c>
      <c r="E246" s="3">
        <v>0.19821755519655357</v>
      </c>
      <c r="F246" s="3">
        <v>0.17849865951742627</v>
      </c>
      <c r="G246" s="3">
        <v>0.15867855695176328</v>
      </c>
    </row>
    <row r="247" spans="1:7" x14ac:dyDescent="0.25">
      <c r="A247" s="3">
        <v>0.14979550102249489</v>
      </c>
      <c r="B247" s="3">
        <v>0.22663043478260872</v>
      </c>
      <c r="C247" s="3">
        <v>0.15258732737611699</v>
      </c>
      <c r="D247" s="3">
        <v>0.13938558297048864</v>
      </c>
      <c r="E247" s="3">
        <v>0.14188349514563106</v>
      </c>
      <c r="F247" s="3">
        <v>0.13559775571860164</v>
      </c>
      <c r="G247" s="3">
        <v>0.13232062055591468</v>
      </c>
    </row>
    <row r="248" spans="1:7" x14ac:dyDescent="0.25">
      <c r="A248" s="3">
        <v>0.20710794297352342</v>
      </c>
      <c r="B248" s="3">
        <v>0.16278993435448577</v>
      </c>
      <c r="C248" s="3">
        <v>0.19935251798561149</v>
      </c>
      <c r="D248" s="3">
        <v>0.12903521126760562</v>
      </c>
      <c r="E248" s="3">
        <v>0.12044444444444444</v>
      </c>
      <c r="F248" s="3">
        <v>0.16964959568733154</v>
      </c>
      <c r="G248" s="3">
        <v>0.13913015463917527</v>
      </c>
    </row>
    <row r="249" spans="1:7" x14ac:dyDescent="0.25">
      <c r="A249" s="3">
        <v>0.1334747145187602</v>
      </c>
      <c r="B249" s="3">
        <v>0.16667357083678544</v>
      </c>
      <c r="C249" s="3">
        <v>0.17700953336678374</v>
      </c>
      <c r="D249" s="3">
        <v>0.15296875000000001</v>
      </c>
      <c r="E249" s="3">
        <v>0.16158176943699734</v>
      </c>
      <c r="F249" s="3">
        <v>0.12826012793176972</v>
      </c>
      <c r="G249" s="3">
        <v>0.12739534883720929</v>
      </c>
    </row>
    <row r="250" spans="1:7" x14ac:dyDescent="0.25">
      <c r="A250" s="3">
        <v>0.15090304182509506</v>
      </c>
      <c r="B250" s="3">
        <v>0.35970548862115126</v>
      </c>
      <c r="C250" s="3">
        <v>0.14492439184746878</v>
      </c>
      <c r="D250" s="3">
        <v>0.15579216354344122</v>
      </c>
      <c r="E250" s="3">
        <v>0.13897688145597639</v>
      </c>
      <c r="F250" s="3">
        <v>0.16879194630872482</v>
      </c>
      <c r="G250" s="3">
        <v>0.15529113924050633</v>
      </c>
    </row>
    <row r="251" spans="1:7" x14ac:dyDescent="0.25">
      <c r="A251" s="3">
        <v>0.13909507445589919</v>
      </c>
      <c r="B251" s="3">
        <v>0.13766757865937074</v>
      </c>
      <c r="C251" s="3">
        <v>0.21999109528049868</v>
      </c>
      <c r="D251" s="3">
        <v>0.14749012972363226</v>
      </c>
      <c r="E251" s="3">
        <v>0.38391420911528146</v>
      </c>
      <c r="F251" s="3">
        <v>0.52657657657657664</v>
      </c>
      <c r="G251" s="3">
        <v>0.14836236933797911</v>
      </c>
    </row>
    <row r="252" spans="1:7" x14ac:dyDescent="0.25">
      <c r="A252" s="3">
        <v>0.13014686248331109</v>
      </c>
      <c r="B252" s="3">
        <v>0.869140625</v>
      </c>
      <c r="C252" s="3">
        <v>0.14825549450549452</v>
      </c>
      <c r="D252" s="3">
        <v>0.22845896147403683</v>
      </c>
      <c r="E252" s="3">
        <v>0.14660876132930514</v>
      </c>
      <c r="F252" s="3">
        <v>0.16362412177985949</v>
      </c>
      <c r="G252" s="3">
        <v>0.13276199804113614</v>
      </c>
    </row>
    <row r="253" spans="1:7" x14ac:dyDescent="0.25">
      <c r="A253" s="3">
        <v>0.1573674360573924</v>
      </c>
      <c r="B253" s="3">
        <v>0.17200000000000001</v>
      </c>
      <c r="C253" s="3">
        <v>0.15322262118491919</v>
      </c>
      <c r="D253" s="3">
        <v>0.1546033402922756</v>
      </c>
      <c r="E253" s="3">
        <v>0.13249073692877728</v>
      </c>
      <c r="G253" s="3">
        <v>0.11138018628281117</v>
      </c>
    </row>
    <row r="254" spans="1:7" x14ac:dyDescent="0.25">
      <c r="A254" s="3">
        <v>0.14751011235955055</v>
      </c>
      <c r="B254" s="3">
        <v>0.2319747899159664</v>
      </c>
      <c r="C254" s="3">
        <v>0.16722140762463344</v>
      </c>
      <c r="D254" s="3">
        <v>0.14291629955947138</v>
      </c>
      <c r="E254" s="3">
        <v>0.11669560499186109</v>
      </c>
      <c r="G254" s="3">
        <v>0.17257105943152454</v>
      </c>
    </row>
    <row r="255" spans="1:7" x14ac:dyDescent="0.25">
      <c r="A255" s="3">
        <v>0.12273042616451932</v>
      </c>
      <c r="B255" s="3">
        <v>0.14805253623188405</v>
      </c>
      <c r="C255" s="3">
        <v>0.15002000000000001</v>
      </c>
      <c r="D255" s="3">
        <v>0.14001652892561983</v>
      </c>
      <c r="E255" s="3">
        <v>0.20335038363171357</v>
      </c>
      <c r="G255" s="3">
        <v>0.16233088235294119</v>
      </c>
    </row>
    <row r="256" spans="1:7" x14ac:dyDescent="0.25">
      <c r="A256" s="3">
        <v>0.1250384812724474</v>
      </c>
      <c r="B256" s="3">
        <v>0.18243619489559162</v>
      </c>
      <c r="C256" s="3">
        <v>0.17221466731423019</v>
      </c>
      <c r="D256" s="3">
        <v>0.13295914156004954</v>
      </c>
      <c r="E256" s="3">
        <v>0.12916819012797076</v>
      </c>
      <c r="G256" s="3">
        <v>0.23772238514173999</v>
      </c>
    </row>
    <row r="257" spans="1:7" x14ac:dyDescent="0.25">
      <c r="A257" s="3">
        <v>0.12866165413533834</v>
      </c>
      <c r="B257" s="3">
        <v>0.15498781478472787</v>
      </c>
      <c r="C257" s="3">
        <v>0.16857142857142859</v>
      </c>
      <c r="D257" s="3">
        <v>0.13209006928406467</v>
      </c>
      <c r="E257" s="3">
        <v>0.13392116182572614</v>
      </c>
      <c r="G257" s="3">
        <v>0.11723951285520974</v>
      </c>
    </row>
    <row r="258" spans="1:7" x14ac:dyDescent="0.25">
      <c r="A258" s="3">
        <v>0.16388269794721408</v>
      </c>
      <c r="B258" s="3">
        <v>0.1500661521499449</v>
      </c>
      <c r="C258" s="3">
        <v>0.13938922155688624</v>
      </c>
      <c r="D258" s="3">
        <v>0.13355293048614267</v>
      </c>
      <c r="E258" s="3">
        <v>0.13098641887062187</v>
      </c>
      <c r="G258" s="3">
        <v>0.12123136388735506</v>
      </c>
    </row>
    <row r="259" spans="1:7" x14ac:dyDescent="0.25">
      <c r="A259" s="3">
        <v>0.11805352798053528</v>
      </c>
      <c r="B259" s="3">
        <v>0.19352549889135257</v>
      </c>
      <c r="C259" s="3">
        <v>0.19814494074749317</v>
      </c>
      <c r="D259" s="3">
        <v>0.26477434679334916</v>
      </c>
      <c r="E259" s="3">
        <v>0.38677966101694916</v>
      </c>
      <c r="G259" s="3">
        <v>0.15713698630136985</v>
      </c>
    </row>
    <row r="260" spans="1:7" x14ac:dyDescent="0.25">
      <c r="A260" s="3">
        <v>0.12684139784946238</v>
      </c>
      <c r="B260" s="3">
        <v>0.13807353702744693</v>
      </c>
      <c r="C260" s="3">
        <v>0.15913999999999998</v>
      </c>
      <c r="D260" s="3">
        <v>0.16956962025316458</v>
      </c>
      <c r="E260" s="3">
        <v>0.15873631386861314</v>
      </c>
      <c r="G260" s="3">
        <v>0.11950413223140495</v>
      </c>
    </row>
    <row r="261" spans="1:7" x14ac:dyDescent="0.25">
      <c r="A261" s="3">
        <v>0.15318021201413429</v>
      </c>
      <c r="B261" s="3">
        <v>0.24601139601139599</v>
      </c>
      <c r="C261" s="3">
        <v>0.22054590570719601</v>
      </c>
      <c r="D261" s="3">
        <v>0.1970266836086404</v>
      </c>
      <c r="E261" s="3">
        <v>0.12605667060212514</v>
      </c>
      <c r="G261" s="3">
        <v>0.16717678100263852</v>
      </c>
    </row>
    <row r="262" spans="1:7" x14ac:dyDescent="0.25">
      <c r="A262" s="3">
        <v>0.17661985018726592</v>
      </c>
      <c r="B262" s="3">
        <v>0.14907243355914537</v>
      </c>
      <c r="C262" s="3">
        <v>0.13960131332082551</v>
      </c>
      <c r="D262" s="3">
        <v>0.13735762144053601</v>
      </c>
      <c r="E262" s="3">
        <v>0.12587883959044369</v>
      </c>
      <c r="G262" s="3">
        <v>0.14502499999999999</v>
      </c>
    </row>
    <row r="263" spans="1:7" x14ac:dyDescent="0.25">
      <c r="A263" s="3">
        <v>0.16290666666666667</v>
      </c>
      <c r="B263" s="3">
        <v>0.15075546719681909</v>
      </c>
      <c r="C263" s="3">
        <v>0.17975011568718186</v>
      </c>
      <c r="D263" s="3">
        <v>0.16688057798555037</v>
      </c>
      <c r="E263" s="3">
        <v>0.13526592635885448</v>
      </c>
      <c r="G263" s="3">
        <v>0.14848072562358278</v>
      </c>
    </row>
    <row r="264" spans="1:7" x14ac:dyDescent="0.25">
      <c r="A264" s="3">
        <v>0.12181184668989548</v>
      </c>
      <c r="B264" s="3">
        <v>0.14350197976242851</v>
      </c>
      <c r="C264" s="3">
        <v>0.16606847697756788</v>
      </c>
      <c r="D264" s="3">
        <v>0.12789898132427843</v>
      </c>
      <c r="E264" s="3">
        <v>0.13885287846481878</v>
      </c>
      <c r="G264" s="3">
        <v>0.16455913978494624</v>
      </c>
    </row>
    <row r="265" spans="1:7" x14ac:dyDescent="0.25">
      <c r="A265" s="3">
        <v>0.13818815331010453</v>
      </c>
      <c r="B265" s="3">
        <v>0.18539176626826029</v>
      </c>
      <c r="C265" s="3">
        <v>0.13694096601073344</v>
      </c>
      <c r="D265" s="3">
        <v>0.20533333333333334</v>
      </c>
      <c r="E265" s="3">
        <v>0.13154010695187165</v>
      </c>
      <c r="G265" s="3">
        <v>0.14923728813559323</v>
      </c>
    </row>
    <row r="266" spans="1:7" x14ac:dyDescent="0.25">
      <c r="A266" s="3">
        <v>0.40013793103448281</v>
      </c>
      <c r="B266" s="3">
        <v>0.16304432537749636</v>
      </c>
      <c r="C266" s="3">
        <v>0.2060906862745098</v>
      </c>
      <c r="D266" s="3">
        <v>0.18403361344537816</v>
      </c>
      <c r="E266" s="3">
        <v>0.13737182249030588</v>
      </c>
      <c r="G266" s="3">
        <v>0.11906354515050167</v>
      </c>
    </row>
    <row r="267" spans="1:7" x14ac:dyDescent="0.25">
      <c r="A267" s="3">
        <v>0.16977046340407104</v>
      </c>
      <c r="B267" s="3">
        <v>0.34099999999999997</v>
      </c>
      <c r="C267" s="3">
        <v>0.15778071334214003</v>
      </c>
      <c r="D267" s="3">
        <v>0.16245631067961167</v>
      </c>
      <c r="E267" s="3">
        <v>0.14312016865776528</v>
      </c>
      <c r="G267" s="3">
        <v>0.19488997555012225</v>
      </c>
    </row>
    <row r="268" spans="1:7" x14ac:dyDescent="0.25">
      <c r="A268" s="3">
        <v>0.54852320675105481</v>
      </c>
      <c r="B268" s="3">
        <v>0.29249999999999998</v>
      </c>
      <c r="C268" s="3">
        <v>0.13323954983922828</v>
      </c>
      <c r="D268" s="3">
        <v>0.13944475291504718</v>
      </c>
      <c r="E268" s="3">
        <v>0.14425090252707581</v>
      </c>
      <c r="G268" s="3">
        <v>0.16491228070175437</v>
      </c>
    </row>
    <row r="269" spans="1:7" x14ac:dyDescent="0.25">
      <c r="B269" s="3">
        <v>0.14511912865895168</v>
      </c>
      <c r="C269" s="3">
        <v>0.21004464285714283</v>
      </c>
      <c r="D269" s="3">
        <v>0.11364303178484107</v>
      </c>
      <c r="E269" s="3">
        <v>0.13687711864406779</v>
      </c>
      <c r="G269" s="3">
        <v>0.19586046511627905</v>
      </c>
    </row>
    <row r="270" spans="1:7" x14ac:dyDescent="0.25">
      <c r="B270" s="3">
        <v>0.25118343195266274</v>
      </c>
      <c r="C270" s="3">
        <v>0.2013658536585366</v>
      </c>
      <c r="D270" s="3">
        <v>0.14168688619295206</v>
      </c>
      <c r="E270" s="3">
        <v>0.12361224489795919</v>
      </c>
      <c r="G270" s="3">
        <v>0.12493045897079277</v>
      </c>
    </row>
    <row r="271" spans="1:7" x14ac:dyDescent="0.25">
      <c r="B271" s="3">
        <v>0.1590725806451613</v>
      </c>
      <c r="C271" s="3">
        <v>0.13333333333333333</v>
      </c>
      <c r="D271" s="3">
        <v>0.15537866224433389</v>
      </c>
      <c r="E271" s="3">
        <v>0.14512922465208747</v>
      </c>
      <c r="G271" s="3">
        <v>0.13819383259911894</v>
      </c>
    </row>
    <row r="272" spans="1:7" x14ac:dyDescent="0.25">
      <c r="B272" s="3">
        <v>0.18137085137085138</v>
      </c>
      <c r="C272" s="3">
        <v>0.12751956947162427</v>
      </c>
      <c r="D272" s="3">
        <v>0.1500174672489083</v>
      </c>
      <c r="E272" s="3">
        <v>0.16657327586206899</v>
      </c>
      <c r="G272" s="3">
        <v>0.12552486187845305</v>
      </c>
    </row>
    <row r="273" spans="2:7" x14ac:dyDescent="0.25">
      <c r="B273" s="3">
        <v>0.14598455598455598</v>
      </c>
      <c r="C273" s="3">
        <v>0.13064139941690964</v>
      </c>
      <c r="D273" s="3">
        <v>0.1532431149097816</v>
      </c>
      <c r="E273" s="3">
        <v>0.24105882352941177</v>
      </c>
      <c r="G273" s="3">
        <v>0.16200214132762314</v>
      </c>
    </row>
    <row r="274" spans="2:7" x14ac:dyDescent="0.25">
      <c r="B274" s="3">
        <v>0.1529187314172448</v>
      </c>
      <c r="C274" s="3">
        <v>0.14611607142857141</v>
      </c>
      <c r="D274" s="3">
        <v>0.1177072072072072</v>
      </c>
      <c r="E274" s="3">
        <v>0.15900602409638553</v>
      </c>
      <c r="G274" s="3">
        <v>0.12919671382930167</v>
      </c>
    </row>
    <row r="275" spans="2:7" x14ac:dyDescent="0.25">
      <c r="B275" s="3">
        <v>0.16016521739130435</v>
      </c>
      <c r="C275" s="3">
        <v>0.1342238946378175</v>
      </c>
      <c r="D275" s="3">
        <v>0.13521198156682029</v>
      </c>
      <c r="E275" s="3">
        <v>0.21682326621923939</v>
      </c>
      <c r="G275" s="3">
        <v>0.13600756859035004</v>
      </c>
    </row>
    <row r="276" spans="2:7" x14ac:dyDescent="0.25">
      <c r="B276" s="3">
        <v>0.1512</v>
      </c>
      <c r="C276" s="3">
        <v>0.15918527459263729</v>
      </c>
      <c r="D276" s="3">
        <v>0.13147556845670053</v>
      </c>
      <c r="E276" s="3">
        <v>0.21290076335877861</v>
      </c>
      <c r="G276" s="3">
        <v>0.15981586402266287</v>
      </c>
    </row>
    <row r="277" spans="2:7" x14ac:dyDescent="0.25">
      <c r="C277" s="3">
        <v>0.42820143884892087</v>
      </c>
      <c r="D277" s="3">
        <v>0.17381460674157304</v>
      </c>
      <c r="E277" s="3">
        <v>0.17391432791728212</v>
      </c>
      <c r="G277" s="3">
        <v>0.1177980218636127</v>
      </c>
    </row>
    <row r="278" spans="2:7" x14ac:dyDescent="0.25">
      <c r="C278" s="3">
        <v>0.16389165284687673</v>
      </c>
      <c r="D278" s="3">
        <v>0.18750682438580527</v>
      </c>
      <c r="E278" s="3">
        <v>0.14570413706644381</v>
      </c>
      <c r="G278" s="3">
        <v>0.15510121457489878</v>
      </c>
    </row>
    <row r="279" spans="2:7" x14ac:dyDescent="0.25">
      <c r="C279" s="3">
        <v>0.1800679117147708</v>
      </c>
      <c r="D279" s="3">
        <v>0.12668148148148148</v>
      </c>
      <c r="E279" s="3">
        <v>0.14317103620474408</v>
      </c>
      <c r="G279" s="3">
        <v>0.13057391304347826</v>
      </c>
    </row>
    <row r="280" spans="2:7" x14ac:dyDescent="0.25">
      <c r="C280" s="3">
        <v>0.21510921177587844</v>
      </c>
      <c r="D280" s="3">
        <v>0.15252327290543852</v>
      </c>
      <c r="E280" s="3">
        <v>0.16241194486983157</v>
      </c>
      <c r="G280" s="3">
        <v>0.14952153110047847</v>
      </c>
    </row>
    <row r="281" spans="2:7" x14ac:dyDescent="0.25">
      <c r="C281" s="3">
        <v>0.18275229357798167</v>
      </c>
      <c r="D281" s="3">
        <v>0.11369330453563715</v>
      </c>
      <c r="E281" s="3">
        <v>0.19329051383399209</v>
      </c>
      <c r="G281" s="3">
        <v>0.14337438423645321</v>
      </c>
    </row>
    <row r="282" spans="2:7" x14ac:dyDescent="0.25">
      <c r="C282" s="3">
        <v>0.17904250350303597</v>
      </c>
      <c r="D282" s="3">
        <v>0.14161066666666666</v>
      </c>
      <c r="E282" s="3">
        <v>0.19366035570854848</v>
      </c>
      <c r="G282" s="3">
        <v>0.12445612431444242</v>
      </c>
    </row>
    <row r="283" spans="2:7" x14ac:dyDescent="0.25">
      <c r="C283" s="3">
        <v>0.1536875</v>
      </c>
      <c r="D283" s="3">
        <v>0.12974670719351572</v>
      </c>
      <c r="E283" s="3">
        <v>0.20820422535211269</v>
      </c>
    </row>
    <row r="284" spans="2:7" x14ac:dyDescent="0.25">
      <c r="C284" s="3">
        <v>0.12571304724750756</v>
      </c>
      <c r="D284" s="3">
        <v>0.23939393939393938</v>
      </c>
      <c r="E284" s="3">
        <v>0.19905904059040591</v>
      </c>
    </row>
    <row r="285" spans="2:7" x14ac:dyDescent="0.25">
      <c r="C285" s="3">
        <v>0.20783950617283953</v>
      </c>
      <c r="D285" s="3">
        <v>0.20369973190348525</v>
      </c>
      <c r="E285" s="3">
        <v>0.18311320754716981</v>
      </c>
    </row>
    <row r="286" spans="2:7" x14ac:dyDescent="0.25">
      <c r="C286" s="3">
        <v>0.16244</v>
      </c>
      <c r="D286" s="3">
        <v>0.1296004842615012</v>
      </c>
      <c r="E286" s="3">
        <v>0.21267605633802816</v>
      </c>
    </row>
    <row r="287" spans="2:7" x14ac:dyDescent="0.25">
      <c r="C287" s="3">
        <v>0.20266843971631207</v>
      </c>
      <c r="D287" s="3">
        <v>0.13865004299226139</v>
      </c>
      <c r="E287" s="3">
        <v>0.1425374449339207</v>
      </c>
    </row>
    <row r="288" spans="2:7" x14ac:dyDescent="0.25">
      <c r="C288" s="3">
        <v>0.18752674897119342</v>
      </c>
      <c r="D288" s="3">
        <v>0.18405940594059406</v>
      </c>
      <c r="E288" s="3">
        <v>0.14523012552301257</v>
      </c>
    </row>
    <row r="289" spans="3:5" x14ac:dyDescent="0.25">
      <c r="C289" s="3">
        <v>0.20474308300395255</v>
      </c>
      <c r="D289" s="3">
        <v>0.11976054732041048</v>
      </c>
      <c r="E289" s="3">
        <v>0.1517890909090909</v>
      </c>
    </row>
    <row r="290" spans="3:5" x14ac:dyDescent="0.25">
      <c r="C290" s="3">
        <v>0.1627956989247312</v>
      </c>
      <c r="D290" s="3">
        <v>0.12812730627306271</v>
      </c>
      <c r="E290" s="3">
        <v>0.14552284263959392</v>
      </c>
    </row>
    <row r="291" spans="3:5" x14ac:dyDescent="0.25">
      <c r="C291" s="3">
        <v>0.14174740484429066</v>
      </c>
      <c r="D291" s="3">
        <v>0.16888421052631578</v>
      </c>
      <c r="E291" s="3">
        <v>0.15895015906680804</v>
      </c>
    </row>
    <row r="292" spans="3:5" x14ac:dyDescent="0.25">
      <c r="C292" s="3">
        <v>0.14743424897720631</v>
      </c>
      <c r="D292" s="3">
        <v>0.18043583535108959</v>
      </c>
      <c r="E292" s="3">
        <v>0.14694207836456558</v>
      </c>
    </row>
    <row r="293" spans="3:5" x14ac:dyDescent="0.25">
      <c r="C293" s="3">
        <v>0.18382089552238803</v>
      </c>
      <c r="D293" s="3">
        <v>0.18668991756499684</v>
      </c>
      <c r="E293" s="3">
        <v>0.13538135593220338</v>
      </c>
    </row>
    <row r="294" spans="3:5" x14ac:dyDescent="0.25">
      <c r="C294" s="3">
        <v>0.17812592592592594</v>
      </c>
      <c r="D294" s="3">
        <v>0.11780249593054802</v>
      </c>
      <c r="E294" s="3">
        <v>0.13239211507725093</v>
      </c>
    </row>
    <row r="295" spans="3:5" x14ac:dyDescent="0.25">
      <c r="C295" s="3">
        <v>0.13476485148514852</v>
      </c>
      <c r="D295" s="3">
        <v>0.16677354709418837</v>
      </c>
      <c r="E295" s="3">
        <v>0.4125988700564972</v>
      </c>
    </row>
    <row r="296" spans="3:5" x14ac:dyDescent="0.25">
      <c r="D296" s="3">
        <v>0.12213080168776372</v>
      </c>
      <c r="E296" s="3">
        <v>0.1554243860404998</v>
      </c>
    </row>
    <row r="297" spans="3:5" x14ac:dyDescent="0.25">
      <c r="D297" s="3">
        <v>0.13092050209205019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47B8D-7856-416F-A1FA-63EBBC1BF02A}">
  <dimension ref="A1:G19"/>
  <sheetViews>
    <sheetView workbookViewId="0">
      <selection activeCell="M20" sqref="M20"/>
    </sheetView>
  </sheetViews>
  <sheetFormatPr defaultRowHeight="15" x14ac:dyDescent="0.25"/>
  <sheetData>
    <row r="1" spans="1:7" x14ac:dyDescent="0.25">
      <c r="A1" t="s">
        <v>2067</v>
      </c>
    </row>
    <row r="3" spans="1:7" ht="15.75" thickBot="1" x14ac:dyDescent="0.3">
      <c r="A3" t="s">
        <v>2068</v>
      </c>
    </row>
    <row r="4" spans="1:7" x14ac:dyDescent="0.25">
      <c r="A4" s="6" t="s">
        <v>2069</v>
      </c>
      <c r="B4" s="6" t="s">
        <v>2066</v>
      </c>
      <c r="C4" s="6" t="s">
        <v>2065</v>
      </c>
      <c r="D4" s="6" t="s">
        <v>2070</v>
      </c>
      <c r="E4" s="6" t="s">
        <v>2071</v>
      </c>
    </row>
    <row r="5" spans="1:7" x14ac:dyDescent="0.25">
      <c r="A5" t="s">
        <v>37</v>
      </c>
      <c r="B5">
        <v>267</v>
      </c>
      <c r="C5">
        <v>45.704186672230144</v>
      </c>
      <c r="D5">
        <v>0.17117672910947621</v>
      </c>
      <c r="E5">
        <v>7.8302988424512315E-3</v>
      </c>
    </row>
    <row r="6" spans="1:7" x14ac:dyDescent="0.25">
      <c r="A6" t="s">
        <v>18</v>
      </c>
      <c r="B6">
        <v>275</v>
      </c>
      <c r="C6">
        <v>51.690388697367887</v>
      </c>
      <c r="D6">
        <v>0.18796504980861051</v>
      </c>
      <c r="E6">
        <v>4.7134028528570699E-3</v>
      </c>
    </row>
    <row r="7" spans="1:7" x14ac:dyDescent="0.25">
      <c r="A7" t="s">
        <v>32</v>
      </c>
      <c r="B7">
        <v>294</v>
      </c>
      <c r="C7">
        <v>54.585573935688402</v>
      </c>
      <c r="D7">
        <v>0.1856652174683279</v>
      </c>
      <c r="E7">
        <v>1.1171282164452534E-2</v>
      </c>
    </row>
    <row r="8" spans="1:7" x14ac:dyDescent="0.25">
      <c r="A8" t="s">
        <v>42</v>
      </c>
      <c r="B8">
        <v>296</v>
      </c>
      <c r="C8">
        <v>54.476140338939516</v>
      </c>
      <c r="D8">
        <v>0.18404101465857944</v>
      </c>
      <c r="E8">
        <v>4.2511922734754112E-2</v>
      </c>
    </row>
    <row r="9" spans="1:7" x14ac:dyDescent="0.25">
      <c r="A9" t="s">
        <v>25</v>
      </c>
      <c r="B9">
        <v>295</v>
      </c>
      <c r="C9">
        <v>51.075001867990835</v>
      </c>
      <c r="D9">
        <v>0.17313559955251132</v>
      </c>
      <c r="E9">
        <v>7.311093438007032E-3</v>
      </c>
    </row>
    <row r="10" spans="1:7" x14ac:dyDescent="0.25">
      <c r="A10" t="s">
        <v>14</v>
      </c>
      <c r="B10">
        <v>251</v>
      </c>
      <c r="C10">
        <v>46.926121763400381</v>
      </c>
      <c r="D10">
        <v>0.18695666041195372</v>
      </c>
      <c r="E10">
        <v>2.6246953182135678E-2</v>
      </c>
    </row>
    <row r="11" spans="1:7" ht="15.75" thickBot="1" x14ac:dyDescent="0.3">
      <c r="A11" s="4" t="s">
        <v>59</v>
      </c>
      <c r="B11" s="4">
        <v>281</v>
      </c>
      <c r="C11" s="4">
        <v>44.911325019252843</v>
      </c>
      <c r="D11" s="4">
        <v>0.15982677942794607</v>
      </c>
      <c r="E11" s="4">
        <v>4.7769063295833702E-3</v>
      </c>
    </row>
    <row r="14" spans="1:7" ht="15.75" thickBot="1" x14ac:dyDescent="0.3">
      <c r="A14" t="s">
        <v>2072</v>
      </c>
    </row>
    <row r="15" spans="1:7" x14ac:dyDescent="0.25">
      <c r="A15" s="6" t="s">
        <v>2073</v>
      </c>
      <c r="B15" s="6" t="s">
        <v>2074</v>
      </c>
      <c r="C15" s="6" t="s">
        <v>2075</v>
      </c>
      <c r="D15" s="6" t="s">
        <v>2076</v>
      </c>
      <c r="E15" s="6" t="s">
        <v>2077</v>
      </c>
      <c r="F15" s="6" t="s">
        <v>2078</v>
      </c>
      <c r="G15" s="6" t="s">
        <v>2079</v>
      </c>
    </row>
    <row r="16" spans="1:7" x14ac:dyDescent="0.25">
      <c r="A16" t="s">
        <v>2080</v>
      </c>
      <c r="B16">
        <v>0.18750902970322159</v>
      </c>
      <c r="C16">
        <v>6</v>
      </c>
      <c r="D16">
        <v>3.1251504950536933E-2</v>
      </c>
      <c r="E16">
        <v>2.0864787042167277</v>
      </c>
      <c r="F16">
        <v>5.1857166704564951E-2</v>
      </c>
      <c r="G16">
        <v>2.1032210688050141</v>
      </c>
    </row>
    <row r="17" spans="1:7" x14ac:dyDescent="0.25">
      <c r="A17" t="s">
        <v>2081</v>
      </c>
      <c r="B17">
        <v>29.237268293303206</v>
      </c>
      <c r="C17">
        <v>1952</v>
      </c>
      <c r="D17">
        <v>1.4978108756815166E-2</v>
      </c>
    </row>
    <row r="19" spans="1:7" ht="15.75" thickBot="1" x14ac:dyDescent="0.3">
      <c r="A19" s="4" t="s">
        <v>2082</v>
      </c>
      <c r="B19" s="4">
        <v>29.424777323006428</v>
      </c>
      <c r="C19" s="4">
        <v>1958</v>
      </c>
      <c r="D19" s="4"/>
      <c r="E19" s="4"/>
      <c r="F19" s="4"/>
      <c r="G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raw_copy</vt:lpstr>
      <vt:lpstr>working_copy</vt:lpstr>
      <vt:lpstr>Cost_Descriptive_Statistics</vt:lpstr>
      <vt:lpstr>PerformanceScore_DesStats</vt:lpstr>
      <vt:lpstr>Cost_Per_Mile_DescStats</vt:lpstr>
      <vt:lpstr>ANOVA TABLE</vt:lpstr>
      <vt:lpstr>ANOVA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Nordhoff</dc:creator>
  <cp:lastModifiedBy>Ethan Nordhoff</cp:lastModifiedBy>
  <dcterms:created xsi:type="dcterms:W3CDTF">2026-04-27T20:05:16Z</dcterms:created>
  <dcterms:modified xsi:type="dcterms:W3CDTF">2026-05-05T21:59:32Z</dcterms:modified>
</cp:coreProperties>
</file>